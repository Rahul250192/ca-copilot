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Ankush\"/>
    </mc:Choice>
  </mc:AlternateContent>
  <xr:revisionPtr revIDLastSave="0" documentId="13_ncr:1_{DAF3C854-82AC-4142-A252-4EF19D694C86}" xr6:coauthVersionLast="36" xr6:coauthVersionMax="36" xr10:uidLastSave="{00000000-0000-0000-0000-000000000000}"/>
  <bookViews>
    <workbookView xWindow="0" yWindow="0" windowWidth="24972" windowHeight="1015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Sheet1!$A$1:$XFC$4289</definedName>
  </definedNames>
  <calcPr calcId="191029"/>
</workbook>
</file>

<file path=xl/calcChain.xml><?xml version="1.0" encoding="utf-8"?>
<calcChain xmlns="http://schemas.openxmlformats.org/spreadsheetml/2006/main">
  <c r="N4289" i="1" l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 l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 l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 l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6" i="1"/>
  <c r="N3235" i="1"/>
  <c r="N3234" i="1"/>
  <c r="N3233" i="1"/>
  <c r="N3232" i="1"/>
  <c r="N3231" i="1"/>
  <c r="N3230" i="1"/>
  <c r="N3229" i="1"/>
  <c r="N3228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 l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5" i="1"/>
  <c r="N3144" i="1"/>
  <c r="N3143" i="1"/>
  <c r="N3142" i="1"/>
  <c r="N3141" i="1"/>
  <c r="N3140" i="1"/>
  <c r="N3139" i="1"/>
  <c r="N3138" i="1"/>
  <c r="N3137" i="1"/>
  <c r="N3136" i="1"/>
  <c r="N3135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 l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2999" i="1"/>
  <c r="N2998" i="1"/>
  <c r="N2996" i="1"/>
  <c r="N2995" i="1"/>
  <c r="N2994" i="1"/>
  <c r="N2993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 l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09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69" i="1"/>
  <c r="N2368" i="1"/>
  <c r="N2367" i="1"/>
  <c r="N2366" i="1"/>
  <c r="N2365" i="1"/>
  <c r="N2364" i="1"/>
  <c r="N2363" i="1"/>
  <c r="N2362" i="1"/>
  <c r="N2361" i="1"/>
  <c r="N2360" i="1"/>
  <c r="N2359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0" i="1"/>
  <c r="N2339" i="1"/>
  <c r="N2338" i="1"/>
  <c r="N2337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2" i="1"/>
  <c r="N1741" i="1"/>
  <c r="N1740" i="1"/>
  <c r="N1739" i="1"/>
  <c r="N1738" i="1"/>
  <c r="N1737" i="1"/>
  <c r="N1736" i="1"/>
  <c r="N1735" i="1"/>
  <c r="N1734" i="1"/>
  <c r="N1733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0" i="1"/>
  <c r="N1709" i="1"/>
  <c r="N1708" i="1"/>
  <c r="N1707" i="1"/>
  <c r="N1706" i="1"/>
  <c r="N1705" i="1"/>
  <c r="N1704" i="1"/>
  <c r="N1703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6" i="1"/>
  <c r="N1375" i="1"/>
  <c r="N1374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49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6" i="1"/>
  <c r="N974" i="1"/>
  <c r="N973" i="1" l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1" i="1"/>
  <c r="N680" i="1"/>
  <c r="N679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34" i="1"/>
  <c r="N433" i="1"/>
  <c r="N432" i="1"/>
  <c r="N431" i="1"/>
  <c r="N430" i="1"/>
  <c r="N429" i="1"/>
  <c r="N428" i="1" l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89" i="1"/>
  <c r="N388" i="1"/>
  <c r="N387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5" i="1" l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1" i="1"/>
  <c r="N340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4" i="1"/>
  <c r="N323" i="1"/>
  <c r="N322" i="1"/>
  <c r="N321" i="1"/>
  <c r="N320" i="1"/>
  <c r="N319" i="1"/>
  <c r="N318" i="1"/>
  <c r="N317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296" i="1"/>
  <c r="N295" i="1"/>
  <c r="N294" i="1"/>
  <c r="N293" i="1"/>
  <c r="N292" i="1"/>
  <c r="N291" i="1"/>
  <c r="N290" i="1"/>
  <c r="N289" i="1"/>
  <c r="N288" i="1"/>
  <c r="N286" i="1"/>
  <c r="N285" i="1"/>
  <c r="N284" i="1"/>
  <c r="N283" i="1"/>
  <c r="N282" i="1"/>
  <c r="N281" i="1"/>
  <c r="N280" i="1"/>
  <c r="N279" i="1"/>
  <c r="N278" i="1"/>
  <c r="N274" i="1"/>
  <c r="N273" i="1"/>
  <c r="N272" i="1"/>
  <c r="N271" i="1"/>
  <c r="N270" i="1"/>
  <c r="N269" i="1"/>
  <c r="N267" i="1"/>
  <c r="N263" i="1"/>
  <c r="N262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3" i="1"/>
  <c r="N241" i="1"/>
  <c r="N240" i="1"/>
  <c r="N239" i="1"/>
  <c r="N238" i="1"/>
  <c r="N237" i="1"/>
  <c r="N236" i="1"/>
  <c r="N235" i="1"/>
  <c r="N203" i="1" l="1"/>
  <c r="N202" i="1"/>
  <c r="N201" i="1"/>
  <c r="N200" i="1"/>
  <c r="H200" i="1"/>
  <c r="N199" i="1"/>
  <c r="N198" i="1"/>
  <c r="N197" i="1"/>
  <c r="N196" i="1"/>
  <c r="N195" i="1"/>
  <c r="N194" i="1"/>
  <c r="N193" i="1"/>
  <c r="N192" i="1"/>
  <c r="N191" i="1"/>
  <c r="N190" i="1"/>
  <c r="N189" i="1"/>
  <c r="H189" i="1"/>
  <c r="N188" i="1"/>
  <c r="H188" i="1"/>
  <c r="N187" i="1"/>
  <c r="N186" i="1"/>
  <c r="H186" i="1"/>
  <c r="N185" i="1"/>
  <c r="H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H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H159" i="1"/>
  <c r="N158" i="1"/>
  <c r="H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H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H124" i="1"/>
  <c r="N123" i="1"/>
  <c r="N122" i="1"/>
  <c r="N121" i="1"/>
  <c r="N120" i="1"/>
  <c r="N119" i="1"/>
  <c r="H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H96" i="1"/>
  <c r="N95" i="1"/>
  <c r="H95" i="1"/>
  <c r="N94" i="1"/>
  <c r="H94" i="1"/>
  <c r="N93" i="1"/>
  <c r="H93" i="1"/>
  <c r="N92" i="1"/>
  <c r="N91" i="1"/>
  <c r="N90" i="1"/>
  <c r="N89" i="1"/>
  <c r="N88" i="1"/>
  <c r="N86" i="1"/>
  <c r="N85" i="1"/>
  <c r="N84" i="1"/>
  <c r="N83" i="1"/>
  <c r="N82" i="1"/>
  <c r="N81" i="1"/>
  <c r="N80" i="1"/>
  <c r="N79" i="1"/>
  <c r="N78" i="1"/>
  <c r="N76" i="1" l="1"/>
  <c r="N75" i="1"/>
  <c r="N74" i="1"/>
  <c r="N73" i="1"/>
  <c r="N72" i="1"/>
  <c r="N71" i="1"/>
  <c r="N70" i="1"/>
  <c r="N69" i="1"/>
  <c r="N68" i="1" l="1"/>
  <c r="N67" i="1"/>
  <c r="N66" i="1"/>
  <c r="N65" i="1"/>
  <c r="N64" i="1"/>
  <c r="N63" i="1"/>
  <c r="N62" i="1"/>
  <c r="N61" i="1"/>
  <c r="N60" i="1"/>
  <c r="N59" i="1"/>
  <c r="N58" i="1"/>
  <c r="N57" i="1"/>
  <c r="N55" i="1" l="1"/>
  <c r="N54" i="1"/>
  <c r="N53" i="1"/>
  <c r="N52" i="1"/>
  <c r="N51" i="1"/>
  <c r="N50" i="1"/>
  <c r="N49" i="1"/>
  <c r="N48" i="1" l="1"/>
  <c r="N47" i="1"/>
  <c r="N46" i="1"/>
  <c r="N45" i="1"/>
  <c r="N44" i="1"/>
  <c r="N43" i="1"/>
  <c r="N42" i="1"/>
  <c r="N41" i="1"/>
  <c r="N40" i="1"/>
  <c r="N39" i="1"/>
  <c r="N38" i="1"/>
  <c r="N37" i="1"/>
  <c r="N36" i="1" l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 l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<sst xmlns="http://schemas.openxmlformats.org/spreadsheetml/2006/main" count="26884" uniqueCount="6046">
  <si>
    <t>S.No</t>
  </si>
  <si>
    <t xml:space="preserve">GSTIN of the supplier </t>
  </si>
  <si>
    <t>Name of the supplier</t>
  </si>
  <si>
    <t>Invoice No</t>
  </si>
  <si>
    <t>Date</t>
  </si>
  <si>
    <t>Value</t>
  </si>
  <si>
    <t>Inputs/ Input
Services/ cap
ital goods</t>
  </si>
  <si>
    <t>HSN/SAC</t>
  </si>
  <si>
    <t>Central Tax</t>
  </si>
  <si>
    <t>State Tax</t>
  </si>
  <si>
    <t>Integrated Tax</t>
  </si>
  <si>
    <t>Cess</t>
  </si>
  <si>
    <t>Yes/No</t>
  </si>
  <si>
    <t>Amount of eligible ITC</t>
  </si>
  <si>
    <t>07AINPS8621C1Z2</t>
  </si>
  <si>
    <t>SEA GOAL NAVIGATION</t>
  </si>
  <si>
    <t>379</t>
  </si>
  <si>
    <t>28/12/2024</t>
  </si>
  <si>
    <t>Input Services</t>
  </si>
  <si>
    <t>Yes</t>
  </si>
  <si>
    <t>07AEIPG0053P1ZF</t>
  </si>
  <si>
    <t>Amar Nath &amp; Co.</t>
  </si>
  <si>
    <t>2024-25/176</t>
  </si>
  <si>
    <t>23/01/2025</t>
  </si>
  <si>
    <t>Input</t>
  </si>
  <si>
    <t>07AFHPB0330E1ZA</t>
  </si>
  <si>
    <t>ANAND HELMETS</t>
  </si>
  <si>
    <t>AH/2024-25/93</t>
  </si>
  <si>
    <t>28/01/2025</t>
  </si>
  <si>
    <t>AH/2024-25/94</t>
  </si>
  <si>
    <t>31/01/2025</t>
  </si>
  <si>
    <t>09ACRPG2684D1ZE</t>
  </si>
  <si>
    <t>M/S DASS AGRICULTURAL STORE</t>
  </si>
  <si>
    <t>GST/3193/2024-25</t>
  </si>
  <si>
    <t>14/01/2025</t>
  </si>
  <si>
    <t>18AAKFP3333R1ZL</t>
  </si>
  <si>
    <t>PERFECT AUTO AGENCY</t>
  </si>
  <si>
    <t>POP/24-25/2496</t>
  </si>
  <si>
    <t>03/01/2025</t>
  </si>
  <si>
    <t>POP/24-25/2521</t>
  </si>
  <si>
    <t>06/01/2025</t>
  </si>
  <si>
    <t>POP/24-25/2559</t>
  </si>
  <si>
    <t>09/01/2025</t>
  </si>
  <si>
    <t>POP/24-25/2575</t>
  </si>
  <si>
    <t>10/01/2025</t>
  </si>
  <si>
    <t>POP/24-25/2633</t>
  </si>
  <si>
    <t>18/01/2025</t>
  </si>
  <si>
    <t>09ADSPA9217C1ZK</t>
  </si>
  <si>
    <t>M/S RAM PRAKASH AGARWAL</t>
  </si>
  <si>
    <t>CH/T/1036</t>
  </si>
  <si>
    <t>2024-25/185</t>
  </si>
  <si>
    <t>11/02/2025</t>
  </si>
  <si>
    <t>09AAJPG8273C1ZN</t>
  </si>
  <si>
    <t>VINSON INDUSTRIES</t>
  </si>
  <si>
    <t>5/2024-25</t>
  </si>
  <si>
    <t>07BDHPY9170N1ZJ</t>
  </si>
  <si>
    <t>SHAGUN AUTOMOBILES</t>
  </si>
  <si>
    <t>274</t>
  </si>
  <si>
    <t>PAA/24-25/974</t>
  </si>
  <si>
    <t>31/03/2025</t>
  </si>
  <si>
    <t>Inputs</t>
  </si>
  <si>
    <t>POP/24-25/3180</t>
  </si>
  <si>
    <t>384</t>
  </si>
  <si>
    <t>28/02/2025</t>
  </si>
  <si>
    <t>Input Service</t>
  </si>
  <si>
    <t>PAPOP/CR25/4</t>
  </si>
  <si>
    <t>02/04/2025</t>
  </si>
  <si>
    <t>PAPOP/CR25/5</t>
  </si>
  <si>
    <t>27AJCPB6913G1ZJ</t>
  </si>
  <si>
    <t>S MOTORS / SANA ENGINEERING</t>
  </si>
  <si>
    <t>54-GST25/26</t>
  </si>
  <si>
    <t>28/05/2025</t>
  </si>
  <si>
    <t>PAPOP/25-26/351</t>
  </si>
  <si>
    <t>13/05/2025</t>
  </si>
  <si>
    <t>PAPOP/25-26/358</t>
  </si>
  <si>
    <t>14/05/2025</t>
  </si>
  <si>
    <t>PAPOP/25-26/388</t>
  </si>
  <si>
    <t>17/05/2025</t>
  </si>
  <si>
    <t>PAPOP/25-26/404</t>
  </si>
  <si>
    <t>19/05/2025</t>
  </si>
  <si>
    <t>27AFDPB0351F1Z5</t>
  </si>
  <si>
    <t>MS. SANA INDUSTRIES / S S S TRANSPORT/SANA MULTIVISION CORPORATION</t>
  </si>
  <si>
    <t>88-GST2025-26</t>
  </si>
  <si>
    <t>CH/T/250</t>
  </si>
  <si>
    <t>10/06/2025</t>
  </si>
  <si>
    <t>07ADBFS9415K1ZR</t>
  </si>
  <si>
    <t>STEELITE INDIA</t>
  </si>
  <si>
    <t>2025-26/42</t>
  </si>
  <si>
    <t>11/06/2025</t>
  </si>
  <si>
    <t>2025-26/7</t>
  </si>
  <si>
    <t>09AAACD6090N2Z7</t>
  </si>
  <si>
    <t>DEWAN TYRES LTD</t>
  </si>
  <si>
    <t>DTL/25-26/0337</t>
  </si>
  <si>
    <t>09/06/2025</t>
  </si>
  <si>
    <t>DTL/25-26/0390</t>
  </si>
  <si>
    <t>20/06/2025</t>
  </si>
  <si>
    <t>DTL/25-26/0391</t>
  </si>
  <si>
    <t>287/2025-26</t>
  </si>
  <si>
    <t>27AABCV3609C1ZN</t>
  </si>
  <si>
    <t>VRL LOGISTICS LIMITED</t>
  </si>
  <si>
    <t>8921101583</t>
  </si>
  <si>
    <t>03/06/2025</t>
  </si>
  <si>
    <t>Input Service(RCM)</t>
  </si>
  <si>
    <t>00440262</t>
  </si>
  <si>
    <t>8921101584</t>
  </si>
  <si>
    <t>2025-26/37</t>
  </si>
  <si>
    <t>PAPOP/25-26/825</t>
  </si>
  <si>
    <t>08/07/2025</t>
  </si>
  <si>
    <t xml:space="preserve">Yes </t>
  </si>
  <si>
    <t>PAPOP/25-26/883</t>
  </si>
  <si>
    <t>16/07/2025</t>
  </si>
  <si>
    <t>DTL/25-26/CN/43</t>
  </si>
  <si>
    <t>01/07/2025</t>
  </si>
  <si>
    <t>2025-26/86</t>
  </si>
  <si>
    <t>25/08/2025</t>
  </si>
  <si>
    <t>07AAJPG8273C1ZR</t>
  </si>
  <si>
    <t>36/2025-26</t>
  </si>
  <si>
    <t>27/08/2025</t>
  </si>
  <si>
    <t>2025-26/13</t>
  </si>
  <si>
    <t>07BLBPA3993B1ZI</t>
  </si>
  <si>
    <t>AGGARWAL TYRES</t>
  </si>
  <si>
    <t>KB/25-26/1957</t>
  </si>
  <si>
    <t>23/08/2025</t>
  </si>
  <si>
    <t>07AAAFT2640R1ZU</t>
  </si>
  <si>
    <t>TYRE SALES (DELHI)</t>
  </si>
  <si>
    <t>733</t>
  </si>
  <si>
    <t>26/08/2025</t>
  </si>
  <si>
    <t xml:space="preserve">Inputs </t>
  </si>
  <si>
    <t>CH/T/459</t>
  </si>
  <si>
    <t>295/2025-26</t>
  </si>
  <si>
    <t>PAPOP/CR25/58</t>
  </si>
  <si>
    <t>18/08/2025</t>
  </si>
  <si>
    <t>PAPOP/CR25/62</t>
  </si>
  <si>
    <t>20/08/2025</t>
  </si>
  <si>
    <t>2025-26/2</t>
  </si>
  <si>
    <t>06/05/2025</t>
  </si>
  <si>
    <t>07ACNPS3896B1Z6</t>
  </si>
  <si>
    <t>JOT ENTERPRISES</t>
  </si>
  <si>
    <t>J-03</t>
  </si>
  <si>
    <t>07/05/2025</t>
  </si>
  <si>
    <t>07BSZPS3497K1ZG</t>
  </si>
  <si>
    <t>EVERGREEN LOGISTICS</t>
  </si>
  <si>
    <t>EGL/25-26/02679</t>
  </si>
  <si>
    <t>Input 
Services</t>
  </si>
  <si>
    <t>07DMJPS4328K1ZI</t>
  </si>
  <si>
    <t>GLOBAL SPARES HUB</t>
  </si>
  <si>
    <t>GSH002/25-26</t>
  </si>
  <si>
    <t>03/05/2025</t>
  </si>
  <si>
    <t>GSH003/25-26</t>
  </si>
  <si>
    <t>07AAXPS4249L1ZQ</t>
  </si>
  <si>
    <t>LOVELY ENGG. WORKS</t>
  </si>
  <si>
    <t>A000029</t>
  </si>
  <si>
    <t>09AJMPV4245K1ZH</t>
  </si>
  <si>
    <t>M/S JHANKAR MOBILE GALLERY</t>
  </si>
  <si>
    <t>A000577</t>
  </si>
  <si>
    <t>26/07/2025</t>
  </si>
  <si>
    <t>Capital Goods</t>
  </si>
  <si>
    <t>No</t>
  </si>
  <si>
    <t>07AGUPG8364K1ZN</t>
  </si>
  <si>
    <t>GARG ENTERPRISES</t>
  </si>
  <si>
    <t>E005708</t>
  </si>
  <si>
    <t>19/07/2025</t>
  </si>
  <si>
    <t>07GEFPK1868R1ZN</t>
  </si>
  <si>
    <t>K.L AUTO PARTS</t>
  </si>
  <si>
    <t>068</t>
  </si>
  <si>
    <t>25/07/2025</t>
  </si>
  <si>
    <t>PAPOP/25-26/766</t>
  </si>
  <si>
    <t>PAPOP/25-26/943</t>
  </si>
  <si>
    <t>24/07/2025</t>
  </si>
  <si>
    <t>PAPOP/25-26/944</t>
  </si>
  <si>
    <t>PAPOP/CR25/49</t>
  </si>
  <si>
    <t>10/07/2025</t>
  </si>
  <si>
    <t>PAPOP/25-26/1135</t>
  </si>
  <si>
    <t>PAPOP/25-26/1175</t>
  </si>
  <si>
    <t>28/2025-26</t>
  </si>
  <si>
    <t>11/08/2025</t>
  </si>
  <si>
    <t>EGL/25-26/02764</t>
  </si>
  <si>
    <t>2025-26/10</t>
  </si>
  <si>
    <t>A000129</t>
  </si>
  <si>
    <t>08/08/2025</t>
  </si>
  <si>
    <t>2025-26/14</t>
  </si>
  <si>
    <t>11/09/2025</t>
  </si>
  <si>
    <t xml:space="preserve">Input </t>
  </si>
  <si>
    <t>A000157</t>
  </si>
  <si>
    <t>06/09/2025</t>
  </si>
  <si>
    <t>07OUMPS0596F1ZT</t>
  </si>
  <si>
    <t>JASS EV INTERNATIONAL</t>
  </si>
  <si>
    <t>IGST-52</t>
  </si>
  <si>
    <t>PAA/25-26/304</t>
  </si>
  <si>
    <t>01/09/2025</t>
  </si>
  <si>
    <t>PAA/25-26/305</t>
  </si>
  <si>
    <t>PAPOP/25-26/1211</t>
  </si>
  <si>
    <t>PAPOP/25-26/1269</t>
  </si>
  <si>
    <t>08/09/2025</t>
  </si>
  <si>
    <t>09AKPPR1825F1ZV</t>
  </si>
  <si>
    <t>R T M INDUSTRIES</t>
  </si>
  <si>
    <t>665</t>
  </si>
  <si>
    <t>05/09/2025</t>
  </si>
  <si>
    <t>19BKIPS4311R1ZF</t>
  </si>
  <si>
    <t>D S P PROFILE</t>
  </si>
  <si>
    <t>IGST/5/24-25</t>
  </si>
  <si>
    <t>03/04/2024</t>
  </si>
  <si>
    <t>-</t>
  </si>
  <si>
    <t>06AFIPC9999M1ZK</t>
  </si>
  <si>
    <t>RELIANCE SPARES  INTERNATIONAL</t>
  </si>
  <si>
    <t>RSI/24-25/17</t>
  </si>
  <si>
    <t>10/04/2024</t>
  </si>
  <si>
    <t>09AAMCS4830R1ZH</t>
  </si>
  <si>
    <t>M/S SURABHI AUTOMOTIVE PRIVATE LIMITED</t>
  </si>
  <si>
    <t>SAPL/2024-25/45</t>
  </si>
  <si>
    <t>30/04/2024</t>
  </si>
  <si>
    <t>07AAACC6106G4Z0</t>
  </si>
  <si>
    <t>CANARA BANK</t>
  </si>
  <si>
    <t>0701042440056948</t>
  </si>
  <si>
    <t>07AHFPK5315G1ZK</t>
  </si>
  <si>
    <t>VINOD AUTOMOBILES</t>
  </si>
  <si>
    <t>07AMJPK6397H1ZJ</t>
  </si>
  <si>
    <t>Y.K.ENTERPRISES</t>
  </si>
  <si>
    <t>08/04/2024</t>
  </si>
  <si>
    <t>06DQVPM2653D1ZL</t>
  </si>
  <si>
    <t>RITIK RUBBER INDUSTRIES</t>
  </si>
  <si>
    <t>25/03/2024</t>
  </si>
  <si>
    <t>07ALPPG8604E1Z3</t>
  </si>
  <si>
    <t>GUPTA AUTO INDUSTRIES</t>
  </si>
  <si>
    <t>07AQDPS3902J1ZR</t>
  </si>
  <si>
    <t>SHRI VINAYAK RUBBER INDUSTRIES</t>
  </si>
  <si>
    <t>10/2024-25</t>
  </si>
  <si>
    <t>01/04/2024</t>
  </si>
  <si>
    <t>13/2024-25</t>
  </si>
  <si>
    <t>02/04/2024</t>
  </si>
  <si>
    <t>07AAACA1543R1ZJ</t>
  </si>
  <si>
    <t>CI CAR INTERNATIONAL PVT LTD</t>
  </si>
  <si>
    <t>AAM/24-25/7556</t>
  </si>
  <si>
    <t>13/05/2024</t>
  </si>
  <si>
    <t>08ABOFM0317P1ZT</t>
  </si>
  <si>
    <t>MARUTI LOGISTICS AND SERVICES (RCM)</t>
  </si>
  <si>
    <t>NMR24B000038</t>
  </si>
  <si>
    <t>14/05/2024</t>
  </si>
  <si>
    <t>NMR24B000043</t>
  </si>
  <si>
    <t>22/05/2024</t>
  </si>
  <si>
    <t>0701052440038696</t>
  </si>
  <si>
    <t>31/05/2024</t>
  </si>
  <si>
    <t>07ARIPJ7653D1ZQ</t>
  </si>
  <si>
    <t>Vishal Auto Enterprise</t>
  </si>
  <si>
    <t>075/2024-2025</t>
  </si>
  <si>
    <t>07GEQPP7191B1Z0</t>
  </si>
  <si>
    <t>SARASWATI AUTO PARTS</t>
  </si>
  <si>
    <t>GST-25</t>
  </si>
  <si>
    <t>06/05/2024</t>
  </si>
  <si>
    <t>GST-26</t>
  </si>
  <si>
    <t>15/05/2024</t>
  </si>
  <si>
    <t>08AAFCB8535K1ZB</t>
  </si>
  <si>
    <t>BLD INDUSTRIES PRIVATE LIMITED</t>
  </si>
  <si>
    <t>BLD/125/2024-25</t>
  </si>
  <si>
    <t>08/05/2024</t>
  </si>
  <si>
    <t>BLD/130/2024-25</t>
  </si>
  <si>
    <t>16/05/2024</t>
  </si>
  <si>
    <t>09AAOFC5544K1ZY</t>
  </si>
  <si>
    <t>HKNC AND COMAPANY</t>
  </si>
  <si>
    <t>HKNCHO/24-25/4</t>
  </si>
  <si>
    <t>07/05/2024</t>
  </si>
  <si>
    <t>07ALZPK2288G1ZH</t>
  </si>
  <si>
    <t>SHIV SHAKTI ENGG WORKS</t>
  </si>
  <si>
    <t>12/06/2024</t>
  </si>
  <si>
    <t>15/06/2024</t>
  </si>
  <si>
    <t>07AABPN9866C1ZJ</t>
  </si>
  <si>
    <t>VINAYAK AUTO INDUSTRIES</t>
  </si>
  <si>
    <t>GST/55/2024-25</t>
  </si>
  <si>
    <t>06/06/2024</t>
  </si>
  <si>
    <t>0701062440137054</t>
  </si>
  <si>
    <t>30/06/2024</t>
  </si>
  <si>
    <t>086/2024-2025</t>
  </si>
  <si>
    <t>05/06/2024</t>
  </si>
  <si>
    <t>07AGKPK3192K1Z1</t>
  </si>
  <si>
    <t>B P AUTO INDUSTRIES INDIA</t>
  </si>
  <si>
    <t>T-069</t>
  </si>
  <si>
    <t>03/06/2024</t>
  </si>
  <si>
    <t>09ARZPK3969N1ZG</t>
  </si>
  <si>
    <t>FIBER GLASS INDUSTRIES</t>
  </si>
  <si>
    <t>07AAJPK5229N1ZA</t>
  </si>
  <si>
    <t>GYAN SALES CORPORATIO</t>
  </si>
  <si>
    <t>01/06/2024</t>
  </si>
  <si>
    <t>27/06/2024</t>
  </si>
  <si>
    <t>09BCWPS4448B1Z2</t>
  </si>
  <si>
    <t>M/S. SANT TRADERS &amp; MANUFACTURES</t>
  </si>
  <si>
    <t>14/06/2024</t>
  </si>
  <si>
    <t>20/06/2024</t>
  </si>
  <si>
    <t>09BKMPK3736N1ZH</t>
  </si>
  <si>
    <t>S R AUTO INDUSTRIES</t>
  </si>
  <si>
    <t>25/06/2024</t>
  </si>
  <si>
    <t>0701072440041662</t>
  </si>
  <si>
    <t>31/07/2024</t>
  </si>
  <si>
    <t>07RWLPS9277M1ZW</t>
  </si>
  <si>
    <t>DS ENTERPRISES</t>
  </si>
  <si>
    <t>18</t>
  </si>
  <si>
    <t>30/07/2024</t>
  </si>
  <si>
    <t>HKNCHO/24-25/22</t>
  </si>
  <si>
    <t>05/07/2024</t>
  </si>
  <si>
    <t>NMR24B000109</t>
  </si>
  <si>
    <t>11/07/2024</t>
  </si>
  <si>
    <t>393</t>
  </si>
  <si>
    <t>26/06/2024</t>
  </si>
  <si>
    <t>394</t>
  </si>
  <si>
    <t>28/06/2024</t>
  </si>
  <si>
    <t>BLD/182/2024-25</t>
  </si>
  <si>
    <t>0701082440042592</t>
  </si>
  <si>
    <t>31/08/2024</t>
  </si>
  <si>
    <t>478</t>
  </si>
  <si>
    <t>05/08/2024</t>
  </si>
  <si>
    <t>481</t>
  </si>
  <si>
    <t>08/08/2024</t>
  </si>
  <si>
    <t>07AAKCA3036H1ZU</t>
  </si>
  <si>
    <t>ARPIT GUPTA SPARES HOUSE PVT. LTD</t>
  </si>
  <si>
    <t>GST/24-25/00977</t>
  </si>
  <si>
    <t>GST-28</t>
  </si>
  <si>
    <t>07AIBPC9541R1ZU</t>
  </si>
  <si>
    <t>V.S.A. ENTERPRISES</t>
  </si>
  <si>
    <t>201</t>
  </si>
  <si>
    <t>01/08/2024</t>
  </si>
  <si>
    <t>205</t>
  </si>
  <si>
    <t>02/08/2024</t>
  </si>
  <si>
    <t>206</t>
  </si>
  <si>
    <t>07AAIPB3019Q1ZM</t>
  </si>
  <si>
    <t>CITY  AUTO INDUSTRIES</t>
  </si>
  <si>
    <t>1179</t>
  </si>
  <si>
    <t>28/08/2024</t>
  </si>
  <si>
    <t>06AGZPH0286N1ZO</t>
  </si>
  <si>
    <t>RAHUL RUBBER FLOCKING WORKS</t>
  </si>
  <si>
    <t>392</t>
  </si>
  <si>
    <t>416</t>
  </si>
  <si>
    <t>417</t>
  </si>
  <si>
    <t>675</t>
  </si>
  <si>
    <t>12/08/2024</t>
  </si>
  <si>
    <t>680</t>
  </si>
  <si>
    <t>23/08/2024</t>
  </si>
  <si>
    <t>07AEBFS2307D1ZJ</t>
  </si>
  <si>
    <t>S.K.AUTOMOTIVE INDUSTRIES</t>
  </si>
  <si>
    <t>GST-0720-2024-25</t>
  </si>
  <si>
    <t>07AHJPK9259M1ZK</t>
  </si>
  <si>
    <t>ALPHA MOTOR REGD</t>
  </si>
  <si>
    <t>24-25/0570</t>
  </si>
  <si>
    <t>02/09/2024</t>
  </si>
  <si>
    <t>500</t>
  </si>
  <si>
    <t>27/09/2024</t>
  </si>
  <si>
    <t>07AIUPT2181P1Z8</t>
  </si>
  <si>
    <t>GREAT INDIA AUTOMOTIVES</t>
  </si>
  <si>
    <t>360</t>
  </si>
  <si>
    <t>23/09/2024</t>
  </si>
  <si>
    <t>NMR24B000181</t>
  </si>
  <si>
    <t>09/09/2024</t>
  </si>
  <si>
    <t>AAM/24-25/32963</t>
  </si>
  <si>
    <t>28/09/2024</t>
  </si>
  <si>
    <t>07AHNPB1451C1ZW</t>
  </si>
  <si>
    <t>INDUS MERCANTILES</t>
  </si>
  <si>
    <t>776</t>
  </si>
  <si>
    <t>19/09/2024</t>
  </si>
  <si>
    <t>0701092440142281</t>
  </si>
  <si>
    <t>30/09/2024</t>
  </si>
  <si>
    <t>07AEFPC0778Q1Z4</t>
  </si>
  <si>
    <t>AUTO PARTS ACCESSORIES</t>
  </si>
  <si>
    <t>46/2024</t>
  </si>
  <si>
    <t>53/2024</t>
  </si>
  <si>
    <t>14/09/2024</t>
  </si>
  <si>
    <t>BLD/233/2024-25</t>
  </si>
  <si>
    <t>07/09/2024</t>
  </si>
  <si>
    <t>689</t>
  </si>
  <si>
    <t>691</t>
  </si>
  <si>
    <t>10/09/2024</t>
  </si>
  <si>
    <t>693</t>
  </si>
  <si>
    <t>11/09/2024</t>
  </si>
  <si>
    <t>696</t>
  </si>
  <si>
    <t>17/09/2024</t>
  </si>
  <si>
    <t>832</t>
  </si>
  <si>
    <t>07AAGPJ1802R1ZJ</t>
  </si>
  <si>
    <t>ROHIT INDUSTRIES (INDIA)</t>
  </si>
  <si>
    <t>524</t>
  </si>
  <si>
    <t>06/08/2024</t>
  </si>
  <si>
    <t>525</t>
  </si>
  <si>
    <t>07/08/2024</t>
  </si>
  <si>
    <t>07AESPG8300F1ZK</t>
  </si>
  <si>
    <t>ACCOUNTSBUREAU</t>
  </si>
  <si>
    <t>AB/499/2024-25</t>
  </si>
  <si>
    <t>269</t>
  </si>
  <si>
    <t>16/09/2024</t>
  </si>
  <si>
    <t>0701102440040551</t>
  </si>
  <si>
    <t>31/10/2024</t>
  </si>
  <si>
    <t>07ALHPM1991N1ZI</t>
  </si>
  <si>
    <t>A2Z WIPER INDIA</t>
  </si>
  <si>
    <t>A2Z/2024-25/264</t>
  </si>
  <si>
    <t>27/11/2024</t>
  </si>
  <si>
    <t>724</t>
  </si>
  <si>
    <t>11/11/2024</t>
  </si>
  <si>
    <t>728</t>
  </si>
  <si>
    <t>21/11/2024</t>
  </si>
  <si>
    <t>BLD/287/2024-25</t>
  </si>
  <si>
    <t>06/11/2024</t>
  </si>
  <si>
    <t>BLD/305/2024-25</t>
  </si>
  <si>
    <t>26/11/2024</t>
  </si>
  <si>
    <t>571/2024-25</t>
  </si>
  <si>
    <t>18/11/2024</t>
  </si>
  <si>
    <t>0701112400044324</t>
  </si>
  <si>
    <t>30/11/2024</t>
  </si>
  <si>
    <t>09ABTFM8999A1ZD</t>
  </si>
  <si>
    <t>M/s VEGAS AUTO ELECTRIC INDUSTRIES</t>
  </si>
  <si>
    <t>T660</t>
  </si>
  <si>
    <t>08/11/2024</t>
  </si>
  <si>
    <t>07CSPPK6731H1ZD</t>
  </si>
  <si>
    <t>SHALU ENTERPRISES</t>
  </si>
  <si>
    <t>214</t>
  </si>
  <si>
    <t>GST/145/2024-25</t>
  </si>
  <si>
    <t>GST/24-25/01609</t>
  </si>
  <si>
    <t>07ARGPM1877J1ZE</t>
  </si>
  <si>
    <t>AMIR AUTO PARTS</t>
  </si>
  <si>
    <t>2222</t>
  </si>
  <si>
    <t>13/11/2024</t>
  </si>
  <si>
    <t>06FODPS8212G1ZU</t>
  </si>
  <si>
    <t>SAFE RIDE INNOVATION</t>
  </si>
  <si>
    <t>24-25/001</t>
  </si>
  <si>
    <t>07ATEPD8231D1Z4</t>
  </si>
  <si>
    <t>A N TRADERS</t>
  </si>
  <si>
    <t>455</t>
  </si>
  <si>
    <t>AAM/24-25/47724</t>
  </si>
  <si>
    <t>17/12/2024</t>
  </si>
  <si>
    <t>AAM/24-25/48542</t>
  </si>
  <si>
    <t>20/12/2024</t>
  </si>
  <si>
    <t>BLD/334/2024-25</t>
  </si>
  <si>
    <t>861</t>
  </si>
  <si>
    <t>05/12/2024</t>
  </si>
  <si>
    <t>07ACJPC5805G1ZV</t>
  </si>
  <si>
    <t>AZAD AUTO INDUSTRIES</t>
  </si>
  <si>
    <t>020</t>
  </si>
  <si>
    <t>0701122400139017</t>
  </si>
  <si>
    <t>31/12/2024</t>
  </si>
  <si>
    <t>07ANPPM3442G1ZV</t>
  </si>
  <si>
    <t>Original Wiper India</t>
  </si>
  <si>
    <t>OWI/1232/2024-25</t>
  </si>
  <si>
    <t>0701012500085598</t>
  </si>
  <si>
    <t>462</t>
  </si>
  <si>
    <t>01/01/2025</t>
  </si>
  <si>
    <t>740</t>
  </si>
  <si>
    <t>AAM/24-25/50941</t>
  </si>
  <si>
    <t>AAM/24-25/54403</t>
  </si>
  <si>
    <t>AAM/24-25/57121</t>
  </si>
  <si>
    <t>399</t>
  </si>
  <si>
    <t>15/01/2025</t>
  </si>
  <si>
    <t>400</t>
  </si>
  <si>
    <t>536</t>
  </si>
  <si>
    <t>25/01/2025</t>
  </si>
  <si>
    <t>GST-31</t>
  </si>
  <si>
    <t>11/01/2025</t>
  </si>
  <si>
    <t>GST-32</t>
  </si>
  <si>
    <t>16/01/2025</t>
  </si>
  <si>
    <t>CN-001</t>
  </si>
  <si>
    <t>BLD/386/2024-25</t>
  </si>
  <si>
    <t>21/02/2025</t>
  </si>
  <si>
    <t>001</t>
  </si>
  <si>
    <t>18/02/2025</t>
  </si>
  <si>
    <t>0701022500046934</t>
  </si>
  <si>
    <t>893</t>
  </si>
  <si>
    <t>03/03/2025</t>
  </si>
  <si>
    <t>07ACFPG6068H1ZK</t>
  </si>
  <si>
    <t>SANGAT MOTORS (REGD)</t>
  </si>
  <si>
    <t>1164</t>
  </si>
  <si>
    <t>20/03/2025</t>
  </si>
  <si>
    <t>06ERMPK4248D1ZQ</t>
  </si>
  <si>
    <t>RAHUL RUBBER INDUSTRIES</t>
  </si>
  <si>
    <t>RRI/24-25/098</t>
  </si>
  <si>
    <t>18/03/2025</t>
  </si>
  <si>
    <t>774</t>
  </si>
  <si>
    <t>04/03/2025</t>
  </si>
  <si>
    <t>779</t>
  </si>
  <si>
    <t>15/03/2025</t>
  </si>
  <si>
    <t>07AOJPS4001E1Z8</t>
  </si>
  <si>
    <t>SETIA MOTORS</t>
  </si>
  <si>
    <t>SM-1061/24-25</t>
  </si>
  <si>
    <t>11/03/2025</t>
  </si>
  <si>
    <t>SM-1095/24-25</t>
  </si>
  <si>
    <t>26/03/2025</t>
  </si>
  <si>
    <t>07AAXPL0489P1ZN</t>
  </si>
  <si>
    <t>LUTHRA INTERNATIONAL</t>
  </si>
  <si>
    <t>266</t>
  </si>
  <si>
    <t>BLD/417/2024-25</t>
  </si>
  <si>
    <t>AAM/24-25/67791</t>
  </si>
  <si>
    <t>29/03/2025</t>
  </si>
  <si>
    <t>0701032500134045</t>
  </si>
  <si>
    <t>07AKWPC2930M1ZS</t>
  </si>
  <si>
    <t>SHELKA MOTORS</t>
  </si>
  <si>
    <t>TAX103</t>
  </si>
  <si>
    <t>25/03/2025</t>
  </si>
  <si>
    <t>07AABCC7181N1ZA</t>
  </si>
  <si>
    <t>SWISS INTERNATIONAL AIR LINES LTD.</t>
  </si>
  <si>
    <t>LXDEL240304083</t>
  </si>
  <si>
    <t>31/03/2024</t>
  </si>
  <si>
    <t>INPUT SERVICES</t>
  </si>
  <si>
    <t>29AACCV5763A1ZB</t>
  </si>
  <si>
    <t>VRP TELEMATICS PRIVATE LIMITED</t>
  </si>
  <si>
    <t>BLR8-44995</t>
  </si>
  <si>
    <t>29/04/2024</t>
  </si>
  <si>
    <t>CAPITAL GOOD</t>
  </si>
  <si>
    <t>09AAACI1195H1ZK</t>
  </si>
  <si>
    <t>M/S ICICI BANK LTD.,</t>
  </si>
  <si>
    <t>0135240403011135</t>
  </si>
  <si>
    <t>0135240405025593</t>
  </si>
  <si>
    <t>05/04/2024</t>
  </si>
  <si>
    <t>0135240410046516</t>
  </si>
  <si>
    <t>0135240419084976</t>
  </si>
  <si>
    <t>19/04/2024</t>
  </si>
  <si>
    <t>0135240424109415</t>
  </si>
  <si>
    <t>24/04/2024</t>
  </si>
  <si>
    <t>08AAJCB6551H1ZI</t>
  </si>
  <si>
    <t>BRAND METRICS FINTECH PRIVATE LIMITED</t>
  </si>
  <si>
    <t>BM-2023-1017</t>
  </si>
  <si>
    <t>01/01/2024</t>
  </si>
  <si>
    <t>BM-2023-1019</t>
  </si>
  <si>
    <t>07/02/2024</t>
  </si>
  <si>
    <t>BM-2023-1020</t>
  </si>
  <si>
    <t>BM-2023-1022</t>
  </si>
  <si>
    <t>17/02/2024</t>
  </si>
  <si>
    <t>BM-2023-1023</t>
  </si>
  <si>
    <t>01/03/2024</t>
  </si>
  <si>
    <t>07AADCE9043K1ZF</t>
  </si>
  <si>
    <t>EXCITEL BROADBAND PRIVATE LIMITED</t>
  </si>
  <si>
    <t>7-DLINV/9884583</t>
  </si>
  <si>
    <t>13/04/2024</t>
  </si>
  <si>
    <t>06AADCM5146R1ZZ</t>
  </si>
  <si>
    <t>MAKE MY TRIP (INDIA) PVT. LTD.</t>
  </si>
  <si>
    <t>M06AI24I22358155</t>
  </si>
  <si>
    <t>21/03/2024</t>
  </si>
  <si>
    <t>07AAACI1195H1ZO</t>
  </si>
  <si>
    <t>ICICI BANK LTD.</t>
  </si>
  <si>
    <t>0138241113870428</t>
  </si>
  <si>
    <t>07AALCA0171E1Z1</t>
  </si>
  <si>
    <t>APPARIO RETAIL PRIVATE LIMITED</t>
  </si>
  <si>
    <t>YNGD-18865</t>
  </si>
  <si>
    <t>10/05/2024</t>
  </si>
  <si>
    <t>29ADTPN9177H1ZJ</t>
  </si>
  <si>
    <t>COLOR MYLES</t>
  </si>
  <si>
    <t>IN-24750</t>
  </si>
  <si>
    <t>0135240502005744</t>
  </si>
  <si>
    <t>02/05/2024</t>
  </si>
  <si>
    <t>0135240509046550</t>
  </si>
  <si>
    <t>09/05/2024</t>
  </si>
  <si>
    <t>0135240515068821</t>
  </si>
  <si>
    <t>0135240522102473</t>
  </si>
  <si>
    <t>0135240530142622</t>
  </si>
  <si>
    <t>30/05/2024</t>
  </si>
  <si>
    <t>06AACCN8253B1ZQ</t>
  </si>
  <si>
    <t>TIGER PUG COMMERCE PRIVATE LIMITED</t>
  </si>
  <si>
    <t>DEL4-13623</t>
  </si>
  <si>
    <t>11/05/2024</t>
  </si>
  <si>
    <t>06AAECR0564M1Z7</t>
  </si>
  <si>
    <t>RK WORLDINFOCOM PRIVATE LIMITED</t>
  </si>
  <si>
    <t>DEL4-917258</t>
  </si>
  <si>
    <t>09AADCH8171P1ZV</t>
  </si>
  <si>
    <t>HALF CIRCLES MEDIA PRIVATE LIMITED</t>
  </si>
  <si>
    <t>HCMPL/24-25/017</t>
  </si>
  <si>
    <t>0138241125315053</t>
  </si>
  <si>
    <t>06AABCF5150G1ZZ</t>
  </si>
  <si>
    <t>FACEBOOK INDIA ONLINE SERVICES PRIVATE LIMITED</t>
  </si>
  <si>
    <t>ADS533-103363782</t>
  </si>
  <si>
    <t>24/05/2024</t>
  </si>
  <si>
    <t>00440452</t>
  </si>
  <si>
    <t>ADS533-103365222</t>
  </si>
  <si>
    <t>25/05/2024</t>
  </si>
  <si>
    <t>ADS533-103365898</t>
  </si>
  <si>
    <t>ADS533-103366737</t>
  </si>
  <si>
    <t>FDLB-127844</t>
  </si>
  <si>
    <t>23/06/2024</t>
  </si>
  <si>
    <t>input</t>
  </si>
  <si>
    <t>0135240605022251</t>
  </si>
  <si>
    <t>input services</t>
  </si>
  <si>
    <t>yes</t>
  </si>
  <si>
    <t>0135240612056948</t>
  </si>
  <si>
    <t>0135240621096237</t>
  </si>
  <si>
    <t>21/06/2024</t>
  </si>
  <si>
    <t>0135240626119221</t>
  </si>
  <si>
    <t>07AACCN6194P2ZQ</t>
  </si>
  <si>
    <t>AIR INDIA LIMITED</t>
  </si>
  <si>
    <t>072512BP06HWF089</t>
  </si>
  <si>
    <t>06AALCA0171E1Z3</t>
  </si>
  <si>
    <t>DEL4-761015</t>
  </si>
  <si>
    <t>13/06/2024</t>
  </si>
  <si>
    <t>072512BP06HVO083</t>
  </si>
  <si>
    <t>10AAECR0564M1ZI</t>
  </si>
  <si>
    <t>PAX1-81926</t>
  </si>
  <si>
    <t>17/06/2024</t>
  </si>
  <si>
    <t>24AAECT8346F6Z5</t>
  </si>
  <si>
    <t>TATA SIA AIRLINES LTD</t>
  </si>
  <si>
    <t>I240000001526072</t>
  </si>
  <si>
    <t>22/06/2024</t>
  </si>
  <si>
    <t>MARUTI LOGISTICS AND SERVICES</t>
  </si>
  <si>
    <t>BWD24B001838</t>
  </si>
  <si>
    <t>06AAJCC8517E1ZP</t>
  </si>
  <si>
    <t>COCOBLU RETAIL LIMITED</t>
  </si>
  <si>
    <t>DEL4-1314944</t>
  </si>
  <si>
    <t>0138241129807230</t>
  </si>
  <si>
    <t>11/06/2024</t>
  </si>
  <si>
    <t>BM-2024-1</t>
  </si>
  <si>
    <t>BM-2024-2</t>
  </si>
  <si>
    <t>BM-2024-3</t>
  </si>
  <si>
    <t>BM-2024-17</t>
  </si>
  <si>
    <t>03/05/2024</t>
  </si>
  <si>
    <t>BM-2024-18</t>
  </si>
  <si>
    <t>BM-2024-19</t>
  </si>
  <si>
    <t>04/05/2024</t>
  </si>
  <si>
    <t>BM-2024-22</t>
  </si>
  <si>
    <t>06AADCF8597R1ZL</t>
  </si>
  <si>
    <t>FREEPAYCARD RETAIL PRIVATE LIMITED</t>
  </si>
  <si>
    <t>IN-13192</t>
  </si>
  <si>
    <t>19/07/2024</t>
  </si>
  <si>
    <t>0135240703016985</t>
  </si>
  <si>
    <t>03/07/2024</t>
  </si>
  <si>
    <t>0135240705027132</t>
  </si>
  <si>
    <t>0135240710050468</t>
  </si>
  <si>
    <t>10/07/2024</t>
  </si>
  <si>
    <t>0135240718083440</t>
  </si>
  <si>
    <t>18/07/2024</t>
  </si>
  <si>
    <t>0135240726121475</t>
  </si>
  <si>
    <t>26/07/2024</t>
  </si>
  <si>
    <t>0135240731143177</t>
  </si>
  <si>
    <t>29AAECR0564M2ZY</t>
  </si>
  <si>
    <t>BLR8-2861507</t>
  </si>
  <si>
    <t>17/07/2024</t>
  </si>
  <si>
    <t>0138241146393734</t>
  </si>
  <si>
    <t>20/07/2024</t>
  </si>
  <si>
    <t>0138241148780027</t>
  </si>
  <si>
    <t>25/07/2024</t>
  </si>
  <si>
    <t>24AAECR0564M1Z9</t>
  </si>
  <si>
    <t>AMD2-1478526</t>
  </si>
  <si>
    <t>09AESFS8001D1ZV</t>
  </si>
  <si>
    <t>STARCITY BUILDERS AND PROMOTERS LLP</t>
  </si>
  <si>
    <t>24-25/0152</t>
  </si>
  <si>
    <t>CAPITAL GOODS</t>
  </si>
  <si>
    <t>24-25/0308</t>
  </si>
  <si>
    <t>18/06/2024</t>
  </si>
  <si>
    <t>07AAFCA3778B1ZU</t>
  </si>
  <si>
    <t>AMERICAN AIRLINES INC</t>
  </si>
  <si>
    <t>IN07/2408/02156</t>
  </si>
  <si>
    <t>16/08/2024</t>
  </si>
  <si>
    <t>09AAACI7904G1ZL</t>
  </si>
  <si>
    <t>ICICI LOMBARD GENERAL INSURANCE CO LTD</t>
  </si>
  <si>
    <t>18082456734</t>
  </si>
  <si>
    <t>00440005</t>
  </si>
  <si>
    <t>0138241157370660</t>
  </si>
  <si>
    <t>13/08/2024</t>
  </si>
  <si>
    <t>0135240807031111</t>
  </si>
  <si>
    <t>0135240822091411</t>
  </si>
  <si>
    <t>22/08/2024</t>
  </si>
  <si>
    <t>0135240822091483</t>
  </si>
  <si>
    <t>0135240828117239</t>
  </si>
  <si>
    <t>HCMPL/24-25/049</t>
  </si>
  <si>
    <t>30/08/2024</t>
  </si>
  <si>
    <t>06AAICA4872D1ZS</t>
  </si>
  <si>
    <t>Tech Connect Retail Private Limited</t>
  </si>
  <si>
    <t>FAH7YQ2501347793</t>
  </si>
  <si>
    <t>08/09/2024</t>
  </si>
  <si>
    <t>29AACCF0683K1ZD</t>
  </si>
  <si>
    <t>FLIPKART INTERNET PRIVATE LIMITED</t>
  </si>
  <si>
    <t>BFF7725000676113</t>
  </si>
  <si>
    <t>29/09/2024</t>
  </si>
  <si>
    <t>BFFKA25399285423</t>
  </si>
  <si>
    <t>DED4-240491</t>
  </si>
  <si>
    <t>0138241172414907</t>
  </si>
  <si>
    <t>0138241172450001</t>
  </si>
  <si>
    <t>0135240904016377</t>
  </si>
  <si>
    <t>04/09/2024</t>
  </si>
  <si>
    <t>0135240911051206</t>
  </si>
  <si>
    <t>0135240919085399</t>
  </si>
  <si>
    <t>0135240926125295</t>
  </si>
  <si>
    <t>26/09/2024</t>
  </si>
  <si>
    <t>0135240926125321</t>
  </si>
  <si>
    <t>06ABDCS9580N1ZL</t>
  </si>
  <si>
    <t>SURI CONSUMER PRIVATE LIMITED</t>
  </si>
  <si>
    <t>FAJHT12501180070</t>
  </si>
  <si>
    <t>27AABCR6747B1ZG</t>
  </si>
  <si>
    <t>RELIANCE GENERAL INSURANCE COMPANY LIMITED</t>
  </si>
  <si>
    <t>R11102456000</t>
  </si>
  <si>
    <t>11/10/2024</t>
  </si>
  <si>
    <t>0138241186357283</t>
  </si>
  <si>
    <t>21/10/2024</t>
  </si>
  <si>
    <t>0135241003012158</t>
  </si>
  <si>
    <t>03/10/2024</t>
  </si>
  <si>
    <t>0135241009049235</t>
  </si>
  <si>
    <t>09/10/2024</t>
  </si>
  <si>
    <t>0135241016081719</t>
  </si>
  <si>
    <t>16/10/2024</t>
  </si>
  <si>
    <t>0135241023123895</t>
  </si>
  <si>
    <t>23/10/2024</t>
  </si>
  <si>
    <t>BM-2024-28</t>
  </si>
  <si>
    <t>04/07/2024</t>
  </si>
  <si>
    <t>BM-2024-31</t>
  </si>
  <si>
    <t>27/07/2024</t>
  </si>
  <si>
    <t>BM-2024-34</t>
  </si>
  <si>
    <t>BM-2024-38</t>
  </si>
  <si>
    <t>01/09/2024</t>
  </si>
  <si>
    <t>09AAJCC8517E1ZJ</t>
  </si>
  <si>
    <t>LKO1-4890499</t>
  </si>
  <si>
    <t>DED4-391590</t>
  </si>
  <si>
    <t>08/10/2024</t>
  </si>
  <si>
    <t>DEL5-6452980</t>
  </si>
  <si>
    <t>BFF3125003280275</t>
  </si>
  <si>
    <t>HKNCHO/24-25/50</t>
  </si>
  <si>
    <t>10/10/2024</t>
  </si>
  <si>
    <t>HKNCHO/24-25/73</t>
  </si>
  <si>
    <t>0138241194169813</t>
  </si>
  <si>
    <t>05/11/2024</t>
  </si>
  <si>
    <t>0138241200362957</t>
  </si>
  <si>
    <t>0138241205969833</t>
  </si>
  <si>
    <t>0138241206183041</t>
  </si>
  <si>
    <t>06AAACC3120C1ZL</t>
  </si>
  <si>
    <t>CIGFIL LTD</t>
  </si>
  <si>
    <t>FAJGIP2500628637</t>
  </si>
  <si>
    <t>0135241105019227</t>
  </si>
  <si>
    <t>0135241106027117</t>
  </si>
  <si>
    <t>0135241114063445</t>
  </si>
  <si>
    <t>14/11/2024</t>
  </si>
  <si>
    <t>0135241122101866</t>
  </si>
  <si>
    <t>22/11/2024</t>
  </si>
  <si>
    <t>0135241127124912</t>
  </si>
  <si>
    <t>LKO1-C-927565</t>
  </si>
  <si>
    <t>DED4-C-58310</t>
  </si>
  <si>
    <t>DEL5-C-1202530</t>
  </si>
  <si>
    <t>BFRKA25243817523</t>
  </si>
  <si>
    <t>RAHEID2500126041</t>
  </si>
  <si>
    <t>0138241216790909</t>
  </si>
  <si>
    <t>24/12/2024</t>
  </si>
  <si>
    <t>0135241204018360</t>
  </si>
  <si>
    <t>04/12/2024</t>
  </si>
  <si>
    <t>0135241231157857</t>
  </si>
  <si>
    <t>07AABCI2726B1Z4</t>
  </si>
  <si>
    <t>Interglobe Aviation Limited</t>
  </si>
  <si>
    <t>DL1242512DC91952</t>
  </si>
  <si>
    <t>00440362</t>
  </si>
  <si>
    <t>BM-2024-41</t>
  </si>
  <si>
    <t>01/10/2024</t>
  </si>
  <si>
    <t>BM-2024-47</t>
  </si>
  <si>
    <t>01/11/2024</t>
  </si>
  <si>
    <t>BM-2024-52</t>
  </si>
  <si>
    <t>02/12/2024</t>
  </si>
  <si>
    <t>36AACCU3127B1ZT</t>
  </si>
  <si>
    <t>REFFAIR INNOVATIONS PRIVATE LIMITED</t>
  </si>
  <si>
    <t>HYD8-1220</t>
  </si>
  <si>
    <t>01/12/2024</t>
  </si>
  <si>
    <t>HKNCHO/24-25/81</t>
  </si>
  <si>
    <t>12/12/2024</t>
  </si>
  <si>
    <t>0138251223617641</t>
  </si>
  <si>
    <t>0138251232744238</t>
  </si>
  <si>
    <t>0138251233018604</t>
  </si>
  <si>
    <t>0135250102006544</t>
  </si>
  <si>
    <t>02/01/2025</t>
  </si>
  <si>
    <t>0135250108039697</t>
  </si>
  <si>
    <t>08/01/2025</t>
  </si>
  <si>
    <t>0135250116076958</t>
  </si>
  <si>
    <t>0135250124121267</t>
  </si>
  <si>
    <t>24/01/2025</t>
  </si>
  <si>
    <t>0135250124121268</t>
  </si>
  <si>
    <t>0135250129141793</t>
  </si>
  <si>
    <t>29/01/2025</t>
  </si>
  <si>
    <t>09DLFPK5145F1Z2</t>
  </si>
  <si>
    <t>KAVIONICS ENTERPRISES</t>
  </si>
  <si>
    <t>1/2024-25</t>
  </si>
  <si>
    <t>05/01/2025</t>
  </si>
  <si>
    <t>2/2024-25</t>
  </si>
  <si>
    <t>09AADCC0547J1ZO</t>
  </si>
  <si>
    <t>CAPITAL AUTOMOTIVES PRIVATE LIMITED</t>
  </si>
  <si>
    <t>N3416G202500557</t>
  </si>
  <si>
    <t>20/01/2025</t>
  </si>
  <si>
    <t>N3416G202500558</t>
  </si>
  <si>
    <t>07AUIPT5447J1Z1</t>
  </si>
  <si>
    <t>SRI RAM ENTERPRISES</t>
  </si>
  <si>
    <t>07EZCPK1055A1ZX</t>
  </si>
  <si>
    <t>RAYAAN ENTERPRISES</t>
  </si>
  <si>
    <t>IN-25798</t>
  </si>
  <si>
    <t>30/01/2025</t>
  </si>
  <si>
    <t>0135250207037314</t>
  </si>
  <si>
    <t>07/02/2025</t>
  </si>
  <si>
    <t>0135250213057189</t>
  </si>
  <si>
    <t>13/02/2025</t>
  </si>
  <si>
    <t>3/2024-25</t>
  </si>
  <si>
    <t>15/02/2025</t>
  </si>
  <si>
    <t>0135250220091629</t>
  </si>
  <si>
    <t>20/02/2025</t>
  </si>
  <si>
    <t>0138251247273210</t>
  </si>
  <si>
    <t>27/02/2025</t>
  </si>
  <si>
    <t>0135250312064203</t>
  </si>
  <si>
    <t>12/03/2025</t>
  </si>
  <si>
    <t>0135250326135023</t>
  </si>
  <si>
    <t>HKNCHO/24-25/109</t>
  </si>
  <si>
    <t>12/02/2025</t>
  </si>
  <si>
    <t>HKNCHO/24-25/132</t>
  </si>
  <si>
    <t>BM-2024-55</t>
  </si>
  <si>
    <t>BM-2024-58</t>
  </si>
  <si>
    <t>BM-2024-63</t>
  </si>
  <si>
    <t>16/02/2025</t>
  </si>
  <si>
    <t>BM-2024-64</t>
  </si>
  <si>
    <t>ADS533-104161443</t>
  </si>
  <si>
    <t>02/03/2025</t>
  </si>
  <si>
    <t>0135250301001491</t>
  </si>
  <si>
    <t>01/03/2025</t>
  </si>
  <si>
    <t>0135250307042033</t>
  </si>
  <si>
    <t>07/03/2025</t>
  </si>
  <si>
    <t>0135250319096570</t>
  </si>
  <si>
    <t>19/03/2025</t>
  </si>
  <si>
    <t>0135250326134999</t>
  </si>
  <si>
    <t>0138251257816604</t>
  </si>
  <si>
    <t>27AAGCP4442G1ZF</t>
  </si>
  <si>
    <t>PayPal Payments Private Limited</t>
  </si>
  <si>
    <t>IN250331V0112394</t>
  </si>
  <si>
    <t>IN07/2503/01939</t>
  </si>
  <si>
    <t>16/03/2025</t>
  </si>
  <si>
    <t>07ENDPS2206G1Z5</t>
  </si>
  <si>
    <t>MAA KALKA ENTERPRISES</t>
  </si>
  <si>
    <t>24-25/01</t>
  </si>
  <si>
    <t>08/03/2025</t>
  </si>
  <si>
    <t>07AAACN4165C1ZT</t>
  </si>
  <si>
    <t>THE NEW INDIA ASSURANCE CO LIMITED</t>
  </si>
  <si>
    <t>31040324P0001005</t>
  </si>
  <si>
    <t>1/2025-26</t>
  </si>
  <si>
    <t>16/04/2025</t>
  </si>
  <si>
    <t>0135250416078090</t>
  </si>
  <si>
    <t>10/04/2025</t>
  </si>
  <si>
    <t>7-DLINV/11089591</t>
  </si>
  <si>
    <t>15/04/2025</t>
  </si>
  <si>
    <t>0135250402007065</t>
  </si>
  <si>
    <t>0135250409049101</t>
  </si>
  <si>
    <t>09/04/2025</t>
  </si>
  <si>
    <t>0135250423113376</t>
  </si>
  <si>
    <t>23/04/2025</t>
  </si>
  <si>
    <t>0138251267741592</t>
  </si>
  <si>
    <t>24/04/2025</t>
  </si>
  <si>
    <t>0135250505021990</t>
  </si>
  <si>
    <t>05/05/2025</t>
  </si>
  <si>
    <t>0135250507037459</t>
  </si>
  <si>
    <t>0135250515075298</t>
  </si>
  <si>
    <t>15/05/2025</t>
  </si>
  <si>
    <t>27/05/2025</t>
  </si>
  <si>
    <t>0135250528139037</t>
  </si>
  <si>
    <t>0138251282712955</t>
  </si>
  <si>
    <t>0135250529146870</t>
  </si>
  <si>
    <t>29/05/2025</t>
  </si>
  <si>
    <t>07AAACH0472J1ZQ</t>
  </si>
  <si>
    <t>HITEK BUSINESS SYSTEMS P LTD</t>
  </si>
  <si>
    <t>HD/GST/25-26/045</t>
  </si>
  <si>
    <t>22/04/2025</t>
  </si>
  <si>
    <t>HD/GST/25-26/046</t>
  </si>
  <si>
    <t>FBF3626001236081</t>
  </si>
  <si>
    <t>04/05/2025</t>
  </si>
  <si>
    <t>00440366</t>
  </si>
  <si>
    <t>FBF4126001455532</t>
  </si>
  <si>
    <t>09/05/2025</t>
  </si>
  <si>
    <t>FBF4326001244425</t>
  </si>
  <si>
    <t>07AAGFT9023N2ZO</t>
  </si>
  <si>
    <t>TIRUPATI BIZ LINK LLP</t>
  </si>
  <si>
    <t>FASSSO2600203237</t>
  </si>
  <si>
    <t>07AAACC3120C1ZJ</t>
  </si>
  <si>
    <t>FASRYT2600767616</t>
  </si>
  <si>
    <t>2/2025-26</t>
  </si>
  <si>
    <t>06AAECB9200C2Z8</t>
  </si>
  <si>
    <t>BATHLA TELETECH PRIVATE LIMITED</t>
  </si>
  <si>
    <t>FADZYH2600022064</t>
  </si>
  <si>
    <t>FAT5DO2600021639</t>
  </si>
  <si>
    <t>RBF7026000410281</t>
  </si>
  <si>
    <t>RBF9226000355321</t>
  </si>
  <si>
    <t>RAQDUA2600050530</t>
  </si>
  <si>
    <t>RAQBTL2600080461</t>
  </si>
  <si>
    <t>BM-2025-04</t>
  </si>
  <si>
    <t>02/05/2025</t>
  </si>
  <si>
    <t>BM-2025-07</t>
  </si>
  <si>
    <t>01/06/2025</t>
  </si>
  <si>
    <t>25/06/2025</t>
  </si>
  <si>
    <t>0135250604016956</t>
  </si>
  <si>
    <t>04/06/2025</t>
  </si>
  <si>
    <t>0135250611058825</t>
  </si>
  <si>
    <t>0135250620102658</t>
  </si>
  <si>
    <t>0135250625133078</t>
  </si>
  <si>
    <t>3/2025-26</t>
  </si>
  <si>
    <t>31/07/2025</t>
  </si>
  <si>
    <t>17/07/2025</t>
  </si>
  <si>
    <t>HKNCHO/25-26/27</t>
  </si>
  <si>
    <t>IN-4721</t>
  </si>
  <si>
    <t>21/07/2025</t>
  </si>
  <si>
    <t>0135250703020449</t>
  </si>
  <si>
    <t>03/07/2025</t>
  </si>
  <si>
    <t>0135250709048640</t>
  </si>
  <si>
    <t>09/07/2025</t>
  </si>
  <si>
    <t>0135250722118986</t>
  </si>
  <si>
    <t>22/07/2025</t>
  </si>
  <si>
    <t>0135250729159915</t>
  </si>
  <si>
    <t>29/07/2025</t>
  </si>
  <si>
    <t>0135250731173858</t>
  </si>
  <si>
    <t>0138251294894674</t>
  </si>
  <si>
    <t>0138251295144009</t>
  </si>
  <si>
    <t>0138251303521170</t>
  </si>
  <si>
    <t>30/07/2025</t>
  </si>
  <si>
    <t>4/2025-26</t>
  </si>
  <si>
    <t>30/08/2025</t>
  </si>
  <si>
    <t>0135250805024025</t>
  </si>
  <si>
    <t>05/08/2025</t>
  </si>
  <si>
    <t>0135250812060980</t>
  </si>
  <si>
    <t>12/08/2025</t>
  </si>
  <si>
    <t>0135250819091156</t>
  </si>
  <si>
    <t>19/08/2025</t>
  </si>
  <si>
    <t>0135250826131958</t>
  </si>
  <si>
    <t>5/2025-26</t>
  </si>
  <si>
    <t>29/09/2025</t>
  </si>
  <si>
    <t>0135250904026885</t>
  </si>
  <si>
    <t>04/09/2025</t>
  </si>
  <si>
    <t>0135250909044384</t>
  </si>
  <si>
    <t>09/09/2025</t>
  </si>
  <si>
    <t>0135250916083062</t>
  </si>
  <si>
    <t>16/09/2025</t>
  </si>
  <si>
    <t>0135250923126737</t>
  </si>
  <si>
    <t>23/09/2025</t>
  </si>
  <si>
    <t>0135250930165469</t>
  </si>
  <si>
    <t>30/09/2025</t>
  </si>
  <si>
    <t>0138251322444087</t>
  </si>
  <si>
    <t>24/09/2025</t>
  </si>
  <si>
    <t>07AAAJA1150H1ZU</t>
  </si>
  <si>
    <t>AGRICULTURAL AND PROCESSED FOOD PRODUCTS EXPORT DEVELOPMENT AUTHORITY</t>
  </si>
  <si>
    <t>RCAC012500109</t>
  </si>
  <si>
    <t>RCAC012502531</t>
  </si>
  <si>
    <t>17/01/2025</t>
  </si>
  <si>
    <t>RCAC012502878</t>
  </si>
  <si>
    <t>RCAC042501380</t>
  </si>
  <si>
    <t>08/04/2025</t>
  </si>
  <si>
    <t>RCAC042504045</t>
  </si>
  <si>
    <t>RCAC062503307</t>
  </si>
  <si>
    <t>23/06/2025</t>
  </si>
  <si>
    <t>37AAACA7746C1ZU</t>
  </si>
  <si>
    <t>ANDHRA CHAMBER OF COMMERCE</t>
  </si>
  <si>
    <t>103202500000949</t>
  </si>
  <si>
    <t>12/05/2025</t>
  </si>
  <si>
    <t>103202500000962</t>
  </si>
  <si>
    <t>103202500001292</t>
  </si>
  <si>
    <t>24/05/2025</t>
  </si>
  <si>
    <t>103202500001298</t>
  </si>
  <si>
    <t>103202500001733</t>
  </si>
  <si>
    <t>103202500001734</t>
  </si>
  <si>
    <t>103202500001736</t>
  </si>
  <si>
    <t>103202500001738</t>
  </si>
  <si>
    <t>103202500001996</t>
  </si>
  <si>
    <t>17/06/2025</t>
  </si>
  <si>
    <t>36AAFCG4493H1ZD</t>
  </si>
  <si>
    <t>ARAMEX TRANSPORTATION INDIA PRIVATE LIMITED</t>
  </si>
  <si>
    <t>HYA25000099</t>
  </si>
  <si>
    <t>ARSAD-CVQPA9762E</t>
  </si>
  <si>
    <t>RCM</t>
  </si>
  <si>
    <t>09AAPCA1453M1Z9</t>
  </si>
  <si>
    <t>ARYADHAN FINANCIAL SOLUTIONS PRIVATE LIMITED</t>
  </si>
  <si>
    <t>AD/24-25/8794</t>
  </si>
  <si>
    <t>00440173</t>
  </si>
  <si>
    <t>ADP/24-25/645</t>
  </si>
  <si>
    <t>ADP/24-25/646</t>
  </si>
  <si>
    <t>ADP/24-25/647</t>
  </si>
  <si>
    <t>ADP/24-25/648</t>
  </si>
  <si>
    <t>ADP/24-25/724</t>
  </si>
  <si>
    <t>ADP/24-25/725</t>
  </si>
  <si>
    <t>ADP/24-25/726</t>
  </si>
  <si>
    <t>ADP/24-25/727</t>
  </si>
  <si>
    <t>ADP/24-25/844</t>
  </si>
  <si>
    <t>ADP/24-25/845</t>
  </si>
  <si>
    <t>ADP/24-25/846</t>
  </si>
  <si>
    <t>ADP/24-25/847</t>
  </si>
  <si>
    <t>ADF/2024-25/1443</t>
  </si>
  <si>
    <t>17/03/2025</t>
  </si>
  <si>
    <t>ADP250694</t>
  </si>
  <si>
    <t>ADP250695</t>
  </si>
  <si>
    <t>07AAACB2590D1Z2</t>
  </si>
  <si>
    <t>B.K.S.MOTORS PVT LTD</t>
  </si>
  <si>
    <t>BKS/27/25/01695</t>
  </si>
  <si>
    <t>30/04/2025</t>
  </si>
  <si>
    <t>00440181</t>
  </si>
  <si>
    <t>06AABCB5730G1Z1</t>
  </si>
  <si>
    <t>BAJAJ ALLIANZ GENERAL INSURANCE CO. LTD</t>
  </si>
  <si>
    <t>446987124/1</t>
  </si>
  <si>
    <t>22ABLFS6448Q1ZE</t>
  </si>
  <si>
    <t>BHANSALI AGRO INDUSTRIES</t>
  </si>
  <si>
    <t>271</t>
  </si>
  <si>
    <t>272</t>
  </si>
  <si>
    <t>273</t>
  </si>
  <si>
    <t>275</t>
  </si>
  <si>
    <t>07AAICB0750F1Z0</t>
  </si>
  <si>
    <t>BIGLOTUS FRESH EXOTIC PRIVATE LIMITED</t>
  </si>
  <si>
    <t>51</t>
  </si>
  <si>
    <t>06AAECB8132H1ZU</t>
  </si>
  <si>
    <t>BRL LOGISTIC LIMITED</t>
  </si>
  <si>
    <t>FBD-3713(RCM)</t>
  </si>
  <si>
    <t>FBD-3714(RCM)</t>
  </si>
  <si>
    <t>24AABCB6767B2ZX</t>
  </si>
  <si>
    <t>BUREAU VERITAS (INDIA) PRIVATE LIMITED</t>
  </si>
  <si>
    <t>71-25004482</t>
  </si>
  <si>
    <t>11/04/2025</t>
  </si>
  <si>
    <t>00440249</t>
  </si>
  <si>
    <t>71-25005166</t>
  </si>
  <si>
    <t>25/04/2025</t>
  </si>
  <si>
    <t>37AABCB6767B1ZR</t>
  </si>
  <si>
    <t>84-25000630</t>
  </si>
  <si>
    <t>23/05/2025</t>
  </si>
  <si>
    <t>84-25000631</t>
  </si>
  <si>
    <t>84-25000633</t>
  </si>
  <si>
    <t>25/05/2025</t>
  </si>
  <si>
    <t>84-25000634</t>
  </si>
  <si>
    <t>84-25000635</t>
  </si>
  <si>
    <t>84-25000636</t>
  </si>
  <si>
    <t>84-25000637</t>
  </si>
  <si>
    <t>84-25000638</t>
  </si>
  <si>
    <t>33AACCC9530E1Z0</t>
  </si>
  <si>
    <t>CALYX CONTAINER TERMINALS PRIVATE LIMITED</t>
  </si>
  <si>
    <t>EPI000542/25-26</t>
  </si>
  <si>
    <t>MSI000156/25-26</t>
  </si>
  <si>
    <t>27AAECC2997D1ZK</t>
  </si>
  <si>
    <t>CENTRAL INDIA POLYSACK PRIVATE LIMITED</t>
  </si>
  <si>
    <t>CIPL/24-25/1249</t>
  </si>
  <si>
    <t>CIPL/25-26/111</t>
  </si>
  <si>
    <t>21/04/2025</t>
  </si>
  <si>
    <t>CIPL/25-26/112</t>
  </si>
  <si>
    <t>CIPL/25-26/116</t>
  </si>
  <si>
    <t>CIPL/25-26/117</t>
  </si>
  <si>
    <t>CIPL/25-26/381</t>
  </si>
  <si>
    <t>19/06/2025</t>
  </si>
  <si>
    <t>22APDPM5234J1Z2</t>
  </si>
  <si>
    <t>Chhattisgarh Rice Industries</t>
  </si>
  <si>
    <t>419</t>
  </si>
  <si>
    <t>421</t>
  </si>
  <si>
    <t>422</t>
  </si>
  <si>
    <t>19/01/2025</t>
  </si>
  <si>
    <t>423</t>
  </si>
  <si>
    <t>424</t>
  </si>
  <si>
    <t>07AABCC6633K5ZH</t>
  </si>
  <si>
    <t>CHOLAMANDALAM MS GENERAL INSURANCE COMPANY LIMITED</t>
  </si>
  <si>
    <t>2455576401197</t>
  </si>
  <si>
    <t>00440169</t>
  </si>
  <si>
    <t>24AABCC9048G1ZR</t>
  </si>
  <si>
    <t>CMA-CGM S.A.</t>
  </si>
  <si>
    <t>INSGJ159284</t>
  </si>
  <si>
    <t>INSGJ159285</t>
  </si>
  <si>
    <t>INSGJ159288</t>
  </si>
  <si>
    <t>INSGJ159289</t>
  </si>
  <si>
    <t>INSGJ159290</t>
  </si>
  <si>
    <t>INSGJ159291</t>
  </si>
  <si>
    <t>INSGJ159292</t>
  </si>
  <si>
    <t>INSGJ159293</t>
  </si>
  <si>
    <t>INSGJ159294</t>
  </si>
  <si>
    <t>INSGJ159295</t>
  </si>
  <si>
    <t>INSGJ159321</t>
  </si>
  <si>
    <t>INSGJ159322</t>
  </si>
  <si>
    <t>INSGJ159361</t>
  </si>
  <si>
    <t>INSGJ159362</t>
  </si>
  <si>
    <t>INSGJ159363</t>
  </si>
  <si>
    <t>INSGJ159364</t>
  </si>
  <si>
    <t>INSGJ159365</t>
  </si>
  <si>
    <t>INSGJ159366</t>
  </si>
  <si>
    <t>INSGJ159367</t>
  </si>
  <si>
    <t>INSGJ159368</t>
  </si>
  <si>
    <t>INSGJ159804</t>
  </si>
  <si>
    <t>22/01/2025</t>
  </si>
  <si>
    <t>INSGJ159805</t>
  </si>
  <si>
    <t>INSGJ159806</t>
  </si>
  <si>
    <t>INSGJ159807</t>
  </si>
  <si>
    <t>INSGJ159808</t>
  </si>
  <si>
    <t>INSGJ159809</t>
  </si>
  <si>
    <t>INSGJ159810</t>
  </si>
  <si>
    <t>INSGJ159811</t>
  </si>
  <si>
    <t>INSGJ159812</t>
  </si>
  <si>
    <t>INSGJ159845</t>
  </si>
  <si>
    <t>INSGJ161242</t>
  </si>
  <si>
    <t>INSGJ161244</t>
  </si>
  <si>
    <t>INSGJ161245</t>
  </si>
  <si>
    <t>INSGJ161246</t>
  </si>
  <si>
    <t>INSGJ161247</t>
  </si>
  <si>
    <t>INSGJ161248</t>
  </si>
  <si>
    <t>INSGJ161249</t>
  </si>
  <si>
    <t>INSGJ161250</t>
  </si>
  <si>
    <t>INSGJ161251</t>
  </si>
  <si>
    <t>INSGJ161252</t>
  </si>
  <si>
    <t>INSGJ165144</t>
  </si>
  <si>
    <t>05/02/2025</t>
  </si>
  <si>
    <t>INEGJC26014563</t>
  </si>
  <si>
    <t>INEGJC26014564</t>
  </si>
  <si>
    <t>INEGJC26014565</t>
  </si>
  <si>
    <t>INEGJC26014566</t>
  </si>
  <si>
    <t>INEGJC26021550</t>
  </si>
  <si>
    <t>INEGJC26021551</t>
  </si>
  <si>
    <t>INEGJC26025902</t>
  </si>
  <si>
    <t>05/06/2025</t>
  </si>
  <si>
    <t>INEGJC26025904</t>
  </si>
  <si>
    <t>27AAJCD3147R1Z1</t>
  </si>
  <si>
    <t>D.H.S Logistics Private Limited</t>
  </si>
  <si>
    <t>DHSCN/0028/2425</t>
  </si>
  <si>
    <t>DHSFRT579/2425</t>
  </si>
  <si>
    <t>01/02/2025</t>
  </si>
  <si>
    <t>DHSFRT580/2425</t>
  </si>
  <si>
    <t>DELHI KOTA ROADLINES-BUNDI</t>
  </si>
  <si>
    <t>07ABLPJ5890P1ZS</t>
  </si>
  <si>
    <t>Dimple Jain</t>
  </si>
  <si>
    <t>31</t>
  </si>
  <si>
    <t>00440406</t>
  </si>
  <si>
    <t>34</t>
  </si>
  <si>
    <t>37</t>
  </si>
  <si>
    <t>2</t>
  </si>
  <si>
    <t>01/04/2025</t>
  </si>
  <si>
    <t>5</t>
  </si>
  <si>
    <t>01/05/2025</t>
  </si>
  <si>
    <t>8</t>
  </si>
  <si>
    <t>07AAFCD0855L1ZI</t>
  </si>
  <si>
    <t>DPCS PEST CONTROL PRIVATE LIMITED</t>
  </si>
  <si>
    <t>DPCS/7981/24-25</t>
  </si>
  <si>
    <t>03/02/2025</t>
  </si>
  <si>
    <t>33AAKFE7333G1ZJ</t>
  </si>
  <si>
    <t>ECO CARE PEST CONTROL SERVICES</t>
  </si>
  <si>
    <t>ECEP/5380/25-26</t>
  </si>
  <si>
    <t>07/06/2025</t>
  </si>
  <si>
    <t>ECEP/5382/25-26</t>
  </si>
  <si>
    <t>ECEP/5384/25-26</t>
  </si>
  <si>
    <t>ECEP/5386/25-26</t>
  </si>
  <si>
    <t>ECEP/5784/25-26</t>
  </si>
  <si>
    <t>12/06/2025</t>
  </si>
  <si>
    <t>33AAGFE7562F1ZI</t>
  </si>
  <si>
    <t>ESEAL STORE</t>
  </si>
  <si>
    <t>1048/2025-2026</t>
  </si>
  <si>
    <t>27AAHCE2313C1Z7</t>
  </si>
  <si>
    <t>EXPEDITION HOSPITALITY PRIVATE LIMITED</t>
  </si>
  <si>
    <t>6137FMBIL0006417</t>
  </si>
  <si>
    <t>22/03/2025</t>
  </si>
  <si>
    <t>6137FMBIL0006418</t>
  </si>
  <si>
    <t>6137FMBIL0006419</t>
  </si>
  <si>
    <t>6137FMBIL0000103</t>
  </si>
  <si>
    <t>6137FMBIL0000104</t>
  </si>
  <si>
    <t>6137FMBIL0000105</t>
  </si>
  <si>
    <t>6137FMBIL0001400</t>
  </si>
  <si>
    <t>22/06/2025</t>
  </si>
  <si>
    <t>23AABAE2818G1Z7</t>
  </si>
  <si>
    <t>EXPO OVERSEAS ENTERPRENEURS CHAMBER OF COMMERCE</t>
  </si>
  <si>
    <t>106202500001606</t>
  </si>
  <si>
    <t>24AABCF3010F1ZG</t>
  </si>
  <si>
    <t>FEDERATION OF KUTCH INDUSTRIES ASSOCIATION</t>
  </si>
  <si>
    <t>102202400001990</t>
  </si>
  <si>
    <t>00441480</t>
  </si>
  <si>
    <t>102202400001991</t>
  </si>
  <si>
    <t>102202400001992</t>
  </si>
  <si>
    <t>102202400001994</t>
  </si>
  <si>
    <t>102202400001995</t>
  </si>
  <si>
    <t>102202400001996</t>
  </si>
  <si>
    <t>102202400001997</t>
  </si>
  <si>
    <t>102202400001998</t>
  </si>
  <si>
    <t>102202400001999</t>
  </si>
  <si>
    <t>102202400002000</t>
  </si>
  <si>
    <t>102202400002280</t>
  </si>
  <si>
    <t>37AABCF3074H1ZP</t>
  </si>
  <si>
    <t>FOCUS TRANS TECH SHIPPING PRIVATE LIMITED</t>
  </si>
  <si>
    <t>FF2425-2149</t>
  </si>
  <si>
    <t>FF2425-2421</t>
  </si>
  <si>
    <t>FF2526-0454</t>
  </si>
  <si>
    <t>FF2526-0502</t>
  </si>
  <si>
    <t>GTC FREIGHT CARRIERS FREIGHT</t>
  </si>
  <si>
    <t>GTC FREIGHT CARRIERS-FREIGHT</t>
  </si>
  <si>
    <t>24AOIPP0213J1Z7</t>
  </si>
  <si>
    <t>HARIOM TRADING COMPANY</t>
  </si>
  <si>
    <t>306</t>
  </si>
  <si>
    <t xml:space="preserve">input </t>
  </si>
  <si>
    <t>307</t>
  </si>
  <si>
    <t>21/03/2025</t>
  </si>
  <si>
    <t>308</t>
  </si>
  <si>
    <t>313</t>
  </si>
  <si>
    <t>316</t>
  </si>
  <si>
    <t>23/03/2025</t>
  </si>
  <si>
    <t>07AAACH2702H1Z2</t>
  </si>
  <si>
    <t>HDFC BANK LTD.</t>
  </si>
  <si>
    <t>CDT2500929976562</t>
  </si>
  <si>
    <t>CDT2510631935178</t>
  </si>
  <si>
    <t>07AAACH0413R1ZL</t>
  </si>
  <si>
    <t>HIP TRAVELS PVT LTD</t>
  </si>
  <si>
    <t>0178</t>
  </si>
  <si>
    <t>21/05/2025</t>
  </si>
  <si>
    <t>HKNCHO/24-25/79</t>
  </si>
  <si>
    <t>10/12/2024</t>
  </si>
  <si>
    <t>HKNCHO/24-25/124</t>
  </si>
  <si>
    <t>13/03/2025</t>
  </si>
  <si>
    <t>HKNCHO/24-25/128</t>
  </si>
  <si>
    <t>HKNCHO/24-25/98</t>
  </si>
  <si>
    <t>HKNCHO/-25-26/4</t>
  </si>
  <si>
    <t>14/04/2025</t>
  </si>
  <si>
    <t>HKNCHO/25-26/24</t>
  </si>
  <si>
    <t>07BIBPK4833R1ZS</t>
  </si>
  <si>
    <t>HOUSE OF SEWING SPARES</t>
  </si>
  <si>
    <t>SI-HSS-/04809</t>
  </si>
  <si>
    <t>28/03/2025</t>
  </si>
  <si>
    <t>0135250101003122</t>
  </si>
  <si>
    <t>0135250101003513</t>
  </si>
  <si>
    <t>0135250106029285</t>
  </si>
  <si>
    <t>0135250109047604</t>
  </si>
  <si>
    <t>0135250109047898</t>
  </si>
  <si>
    <t>0135250114066626</t>
  </si>
  <si>
    <t>0135250115071239</t>
  </si>
  <si>
    <t>0135250120093955</t>
  </si>
  <si>
    <t>0135250121099382</t>
  </si>
  <si>
    <t>21/01/2025</t>
  </si>
  <si>
    <t>0135250121099403</t>
  </si>
  <si>
    <t>0135250124118700</t>
  </si>
  <si>
    <t>0135250128137446</t>
  </si>
  <si>
    <t>0138251223933152</t>
  </si>
  <si>
    <t>0138251223936092</t>
  </si>
  <si>
    <t>0138251223936465</t>
  </si>
  <si>
    <t>3797DA2523002213</t>
  </si>
  <si>
    <t>3797DA2523004112</t>
  </si>
  <si>
    <t>3797DA2524002466</t>
  </si>
  <si>
    <t>0135250210038851</t>
  </si>
  <si>
    <t>10/02/2025</t>
  </si>
  <si>
    <t>0135250215070890</t>
  </si>
  <si>
    <t>0135250215070957</t>
  </si>
  <si>
    <t>0135250215073325</t>
  </si>
  <si>
    <t>0135250217074016</t>
  </si>
  <si>
    <t>17/02/2025</t>
  </si>
  <si>
    <t>0135250218081180</t>
  </si>
  <si>
    <t>0135250220090868</t>
  </si>
  <si>
    <t>0135250225115468</t>
  </si>
  <si>
    <t>25/02/2025</t>
  </si>
  <si>
    <t>0135250225117144</t>
  </si>
  <si>
    <t>0135250225118622</t>
  </si>
  <si>
    <t>0135250227121948</t>
  </si>
  <si>
    <t>0138251241741623</t>
  </si>
  <si>
    <t>3797DB2520003367</t>
  </si>
  <si>
    <t>3797DB2520006909</t>
  </si>
  <si>
    <t>0135250301001314</t>
  </si>
  <si>
    <t>0135250301001489</t>
  </si>
  <si>
    <t>0135250301001606</t>
  </si>
  <si>
    <t>0135250301002017</t>
  </si>
  <si>
    <t>0135250301002069</t>
  </si>
  <si>
    <t>0135250301002654</t>
  </si>
  <si>
    <t>0135250307038638</t>
  </si>
  <si>
    <t>0135250311055461</t>
  </si>
  <si>
    <t>0135250312064601</t>
  </si>
  <si>
    <t>0135250317080618</t>
  </si>
  <si>
    <t>0135250320102183</t>
  </si>
  <si>
    <t>0135250320102231</t>
  </si>
  <si>
    <t>0135250325127395</t>
  </si>
  <si>
    <t>0138251253866616</t>
  </si>
  <si>
    <t>0138251257183138</t>
  </si>
  <si>
    <t>0138251257975790</t>
  </si>
  <si>
    <t>0138251258270208</t>
  </si>
  <si>
    <t>3797DC2517006756</t>
  </si>
  <si>
    <t>3797DC2521003198</t>
  </si>
  <si>
    <t>3797DC2526005803</t>
  </si>
  <si>
    <t>0135250402012471</t>
  </si>
  <si>
    <t>0135250408044364</t>
  </si>
  <si>
    <t>0135250423113597</t>
  </si>
  <si>
    <t>0135250424122613</t>
  </si>
  <si>
    <t>3797DD2516004503</t>
  </si>
  <si>
    <t>3797DD2525001047</t>
  </si>
  <si>
    <t>0135250505017548</t>
  </si>
  <si>
    <t>0135250506026912</t>
  </si>
  <si>
    <t>0135250506028363</t>
  </si>
  <si>
    <t>0135250507037136</t>
  </si>
  <si>
    <t>0135250514069975</t>
  </si>
  <si>
    <t>0135250516084148</t>
  </si>
  <si>
    <t>16/05/2025</t>
  </si>
  <si>
    <t>0135250522112017</t>
  </si>
  <si>
    <t>22/05/2025</t>
  </si>
  <si>
    <t>0138251276600929</t>
  </si>
  <si>
    <t>3797DE2505006875</t>
  </si>
  <si>
    <t>3797DE2506004670</t>
  </si>
  <si>
    <t>0135250612063721</t>
  </si>
  <si>
    <t>0135250617086533</t>
  </si>
  <si>
    <t>0135250618092665</t>
  </si>
  <si>
    <t>18/06/2025</t>
  </si>
  <si>
    <t>0135250618094007</t>
  </si>
  <si>
    <t>0135250620101910</t>
  </si>
  <si>
    <t>06AAACI6890F1ZI</t>
  </si>
  <si>
    <t>INTERTEK INDIA PVT LTD</t>
  </si>
  <si>
    <t>ING-H/25/4726</t>
  </si>
  <si>
    <t>JAGDAMBA TRAILOR TRANSPORT CO-BUNDI</t>
  </si>
  <si>
    <t>JAY RAM-FREIGHT</t>
  </si>
  <si>
    <t>07AAHFJ1827H1ZF</t>
  </si>
  <si>
    <t>JITENDRA  TRADING  CO</t>
  </si>
  <si>
    <t>JTC24-25/463</t>
  </si>
  <si>
    <t>27/03/2025</t>
  </si>
  <si>
    <t>07AECPG5269H1ZI</t>
  </si>
  <si>
    <t>KAMAL SCALE WORKS</t>
  </si>
  <si>
    <t>519</t>
  </si>
  <si>
    <t>07/01/2025</t>
  </si>
  <si>
    <t>567</t>
  </si>
  <si>
    <t>06/02/2025</t>
  </si>
  <si>
    <t>120</t>
  </si>
  <si>
    <t>122</t>
  </si>
  <si>
    <t>07EGWPS7844L3Z2</t>
  </si>
  <si>
    <t>Kavya Enterprises</t>
  </si>
  <si>
    <t>KE/24-25/928</t>
  </si>
  <si>
    <t>KE/24-25/1140</t>
  </si>
  <si>
    <t>KE/25-26/096</t>
  </si>
  <si>
    <t>04/04/2025</t>
  </si>
  <si>
    <t>KISHAN LAL-FREIGHT</t>
  </si>
  <si>
    <t>KULJEET RAWAL-DELHI</t>
  </si>
  <si>
    <t>LAW CHAMBER OF RAMAKANT GAUR</t>
  </si>
  <si>
    <t>LAW CHAMBER OF SNEHA ARYA-DELHI</t>
  </si>
  <si>
    <t>37AAHCM2333A1ZY</t>
  </si>
  <si>
    <t>M/s.MEGASEA SHIPPING &amp; LOGISTICS PRIVATE LIMTED</t>
  </si>
  <si>
    <t>V-EXP-2425-2601</t>
  </si>
  <si>
    <t>V-EXP-2526-0307</t>
  </si>
  <si>
    <t>V-EXP-2526-0309</t>
  </si>
  <si>
    <t>V-EXP-2526-0311</t>
  </si>
  <si>
    <t>V-EXP-2526-0419</t>
  </si>
  <si>
    <t>26/05/2025</t>
  </si>
  <si>
    <t>V-EXP-2526-0610</t>
  </si>
  <si>
    <t>24AAJCM4693D1ZE</t>
  </si>
  <si>
    <t>Maersk A/S</t>
  </si>
  <si>
    <t>GJ26IN2500046897</t>
  </si>
  <si>
    <t>28/04/2025</t>
  </si>
  <si>
    <t>07ABVFM0404E1ZF</t>
  </si>
  <si>
    <t>MAHAVIR OVERSEAS</t>
  </si>
  <si>
    <t>361</t>
  </si>
  <si>
    <t>368</t>
  </si>
  <si>
    <t>MANOJ KUMAR-BLHPK1584J</t>
  </si>
  <si>
    <t>MAYS BROWN SOLICITORS-LONDON</t>
  </si>
  <si>
    <t>MOHD TAREEF-FREIGHT</t>
  </si>
  <si>
    <t>27AAECM6717D1ZK</t>
  </si>
  <si>
    <t>MPRS SHIPPING AND LOGISTICS PRIVATE LIMITED</t>
  </si>
  <si>
    <t>MPRS/12724/24-25</t>
  </si>
  <si>
    <t>MPRS/12725/24-25</t>
  </si>
  <si>
    <t>MPRS/12726/24-25</t>
  </si>
  <si>
    <t>MPRS/12727/24-25</t>
  </si>
  <si>
    <t>MPRS/12728/24-25</t>
  </si>
  <si>
    <t>MPRS/12729/24-25</t>
  </si>
  <si>
    <t>MPRS/12763/24-25</t>
  </si>
  <si>
    <t>MPRS/12766/24-25</t>
  </si>
  <si>
    <t>MPRS/12767/24-25</t>
  </si>
  <si>
    <t>989/24-25</t>
  </si>
  <si>
    <t>990/24-25</t>
  </si>
  <si>
    <t>991/24-25</t>
  </si>
  <si>
    <t>MPRS/00186/25-26</t>
  </si>
  <si>
    <t>MPRS/00188/25-26</t>
  </si>
  <si>
    <t>MPRS/00190/25-26</t>
  </si>
  <si>
    <t>MPRS/00192/25-26</t>
  </si>
  <si>
    <t>MPRS/00442/25-26</t>
  </si>
  <si>
    <t>17/04/2025</t>
  </si>
  <si>
    <t>MPRS/00558/25-26</t>
  </si>
  <si>
    <t>MPRS/00572/25-26</t>
  </si>
  <si>
    <t>33AAACO5679E1ZG</t>
  </si>
  <si>
    <t>ORIENT OVERSEAS CONTAINER LINE LTD.</t>
  </si>
  <si>
    <t>445188187T</t>
  </si>
  <si>
    <t>445190480T</t>
  </si>
  <si>
    <t>02/06/2025</t>
  </si>
  <si>
    <t>445190481T</t>
  </si>
  <si>
    <t>445190482T</t>
  </si>
  <si>
    <t>445190483T</t>
  </si>
  <si>
    <t>445190484T</t>
  </si>
  <si>
    <t>445190485T</t>
  </si>
  <si>
    <t>445190486T</t>
  </si>
  <si>
    <t>445190487T</t>
  </si>
  <si>
    <t>445629483T</t>
  </si>
  <si>
    <t>445736110T</t>
  </si>
  <si>
    <t>07AACCO5243L1ZA</t>
  </si>
  <si>
    <t>OVERSEAS LOGISTICS PRIVATE LIMITED</t>
  </si>
  <si>
    <t>25010701-24385</t>
  </si>
  <si>
    <t>25020701-27149</t>
  </si>
  <si>
    <t>25030701-29664</t>
  </si>
  <si>
    <t>25030701-31328</t>
  </si>
  <si>
    <t>2024-25/01388</t>
  </si>
  <si>
    <t>25260701-03057</t>
  </si>
  <si>
    <t>25260701-05565</t>
  </si>
  <si>
    <t>24AACCP2255R1Z3</t>
  </si>
  <si>
    <t>PEST MORTEM (INDIA) PRIVATE LTD.</t>
  </si>
  <si>
    <t>KDL/18147/24-25</t>
  </si>
  <si>
    <t>KDL/18148/24-25</t>
  </si>
  <si>
    <t>KDL/18149/24-25</t>
  </si>
  <si>
    <t>KDL/18380/24-25</t>
  </si>
  <si>
    <t>KDL/01581/25-26</t>
  </si>
  <si>
    <t>KDL/01807/25-26</t>
  </si>
  <si>
    <t>KDL/01808/25-26</t>
  </si>
  <si>
    <t>09AODPG2656R1ZE</t>
  </si>
  <si>
    <t>PMV INTERNATIONAL</t>
  </si>
  <si>
    <t>PMV/24-25/-970</t>
  </si>
  <si>
    <t>PMV/24-25/-971</t>
  </si>
  <si>
    <t>PMV/24-25/-972</t>
  </si>
  <si>
    <t>PMV/25-26/36</t>
  </si>
  <si>
    <t>07/04/2025</t>
  </si>
  <si>
    <t>PMV/25-26/37</t>
  </si>
  <si>
    <t>PMV/25-26/38</t>
  </si>
  <si>
    <t>PMV/25-26/39</t>
  </si>
  <si>
    <t>PMV/25-26/55</t>
  </si>
  <si>
    <t>13/04/2025</t>
  </si>
  <si>
    <t>PMV/25-26/92</t>
  </si>
  <si>
    <t>PMV/25-26/93</t>
  </si>
  <si>
    <t>PMV/25-26/176</t>
  </si>
  <si>
    <t>PMV/25-26/177</t>
  </si>
  <si>
    <t>PMV/25-26/178</t>
  </si>
  <si>
    <t>PMV/25-26/180</t>
  </si>
  <si>
    <t>PREM ROAD CARRIERS-DELHI</t>
  </si>
  <si>
    <t>07HEKPS5193K2ZK</t>
  </si>
  <si>
    <t>PSS Facility Management</t>
  </si>
  <si>
    <t>2515(RCM)</t>
  </si>
  <si>
    <t>PSS FACILITY MANAGEMENT-DELHI</t>
  </si>
  <si>
    <t>PSS SECURITY SOLUTIONS</t>
  </si>
  <si>
    <t>2585(RCM)</t>
  </si>
  <si>
    <t>PSS/25-26/18(RCM)</t>
  </si>
  <si>
    <t>PSS/25-26/55(RCM)</t>
  </si>
  <si>
    <t>27ALSPS1072R2Z2</t>
  </si>
  <si>
    <t>R.B.INTERNATIONAL</t>
  </si>
  <si>
    <t>RBI25-26-189</t>
  </si>
  <si>
    <t>RBI25-26-190</t>
  </si>
  <si>
    <t>RBI25-26-191</t>
  </si>
  <si>
    <t>RBI25-26-192</t>
  </si>
  <si>
    <t>22ABEFR3653D1ZK</t>
  </si>
  <si>
    <t>RADHEKRISHNA AGROTECH LLP</t>
  </si>
  <si>
    <t>RKALLP/24-25/339</t>
  </si>
  <si>
    <t>RKALLP/24-25/340</t>
  </si>
  <si>
    <t>RKALLP/24-25/341</t>
  </si>
  <si>
    <t>RKALLP/24-25/342</t>
  </si>
  <si>
    <t>RKALLP/24-25/345</t>
  </si>
  <si>
    <t>RKALLP/24-25/346</t>
  </si>
  <si>
    <t>24AACFR4422M1Z8</t>
  </si>
  <si>
    <t>RAJDEEP ENTERPRISES</t>
  </si>
  <si>
    <t>J/24-25/66</t>
  </si>
  <si>
    <t>J/25-26/4</t>
  </si>
  <si>
    <t>J/25-26/10</t>
  </si>
  <si>
    <t>RAJVIR SINGH-FREIGHT</t>
  </si>
  <si>
    <t>09AAJCR6659J1ZM</t>
  </si>
  <si>
    <t>RNFI MONEY PRIVATE LIMITED</t>
  </si>
  <si>
    <t>SP/2425/12/3815</t>
  </si>
  <si>
    <t>14/02/2025</t>
  </si>
  <si>
    <t>SP/2526/12/863</t>
  </si>
  <si>
    <t>06/06/2025</t>
  </si>
  <si>
    <t>07AAAPL0288P1ZD</t>
  </si>
  <si>
    <t>Roshan Lal Arjun Lal</t>
  </si>
  <si>
    <t>001532N</t>
  </si>
  <si>
    <t>04/01/2025</t>
  </si>
  <si>
    <t>001533N</t>
  </si>
  <si>
    <t>001543N</t>
  </si>
  <si>
    <t>001711N</t>
  </si>
  <si>
    <t>24/03/2025</t>
  </si>
  <si>
    <t>23ATTPV3251G1ZD</t>
  </si>
  <si>
    <t>S AND V ASSOCIATES</t>
  </si>
  <si>
    <t>01</t>
  </si>
  <si>
    <t>36AALCS2718K1Z0</t>
  </si>
  <si>
    <t>S S V FAB INDUSTRIES PRIVATE LIMITED</t>
  </si>
  <si>
    <t>SSV/4182/2024-25</t>
  </si>
  <si>
    <t>SSV/4200/2024-25</t>
  </si>
  <si>
    <t>SSV/0117/2025-26</t>
  </si>
  <si>
    <t>18/04/2025</t>
  </si>
  <si>
    <t>SSV/0118/2025-26</t>
  </si>
  <si>
    <t>SSV/0119/2025-26</t>
  </si>
  <si>
    <t>SSV/0120/2025-26</t>
  </si>
  <si>
    <t>SSV/0122/2025-26</t>
  </si>
  <si>
    <t>SSV/0123/2025-26</t>
  </si>
  <si>
    <t>SSV/0154/2025-26</t>
  </si>
  <si>
    <t>SSV/0333/2025-26</t>
  </si>
  <si>
    <t>SSV/0338/2025-26</t>
  </si>
  <si>
    <t>07AEMPH5166C1ZL</t>
  </si>
  <si>
    <t>saksham electronics</t>
  </si>
  <si>
    <t>13747</t>
  </si>
  <si>
    <t>08ALSPJ0031D2ZF</t>
  </si>
  <si>
    <t>SALASAR KRIPA JEWELLERS</t>
  </si>
  <si>
    <t>2284</t>
  </si>
  <si>
    <t>2418</t>
  </si>
  <si>
    <t>2594</t>
  </si>
  <si>
    <t>27ABFCS0469Q1ZN</t>
  </si>
  <si>
    <t>SAMSEA SHIPPING SERVICES PRIVATE LIMITED</t>
  </si>
  <si>
    <t>IN/24-25/2219</t>
  </si>
  <si>
    <t>IN/24-25/2220</t>
  </si>
  <si>
    <t>IN/24-25/2221</t>
  </si>
  <si>
    <t>IN/24-25/2222</t>
  </si>
  <si>
    <t>IN/24-25/2223</t>
  </si>
  <si>
    <t>IN/24-25/2224</t>
  </si>
  <si>
    <t>IN/24-25/2225</t>
  </si>
  <si>
    <t>IN/24-25/2226</t>
  </si>
  <si>
    <t>IN/24-25/2227</t>
  </si>
  <si>
    <t>IN/24-25/2228</t>
  </si>
  <si>
    <t>IN/24-25/2277</t>
  </si>
  <si>
    <t>IN/24-25/2278</t>
  </si>
  <si>
    <t>IN/24-25/2279</t>
  </si>
  <si>
    <t>33AAACS5514Q1Z5</t>
  </si>
  <si>
    <t>SGS INDIA PRIVATE LIMITED</t>
  </si>
  <si>
    <t>1330667240</t>
  </si>
  <si>
    <t>31/05/2025</t>
  </si>
  <si>
    <t>36AAACS5514Q1ZZ</t>
  </si>
  <si>
    <t>1360009121</t>
  </si>
  <si>
    <t>26/06/2025</t>
  </si>
  <si>
    <t>19BGLPM7782F1ZR</t>
  </si>
  <si>
    <t>SHARADA LOGISTICS</t>
  </si>
  <si>
    <t>196/25-26(RCM)</t>
  </si>
  <si>
    <t>07ACUPK1025B1ZY</t>
  </si>
  <si>
    <t>SHIVALIK PACKAGING INDUSTRIES</t>
  </si>
  <si>
    <t>SPI/24-25/455</t>
  </si>
  <si>
    <t>SPI/24-25/469</t>
  </si>
  <si>
    <t>SPI/24-25/471</t>
  </si>
  <si>
    <t>SPI/24-25/496</t>
  </si>
  <si>
    <t>SPI/24-25/12</t>
  </si>
  <si>
    <t>SPI/24-25/656</t>
  </si>
  <si>
    <t>SPI/24-25/657</t>
  </si>
  <si>
    <t>SPI/25-26/17</t>
  </si>
  <si>
    <t>SPI/25-26/29</t>
  </si>
  <si>
    <t>SPI/25-26/59</t>
  </si>
  <si>
    <t>SPI/25-26/8</t>
  </si>
  <si>
    <t>05/04/2025</t>
  </si>
  <si>
    <t>SPI/25-26/9</t>
  </si>
  <si>
    <t>SPI/25-26/169</t>
  </si>
  <si>
    <t>SPI/25-26/177</t>
  </si>
  <si>
    <t>SPI/24-25/14</t>
  </si>
  <si>
    <t>30/06/2025</t>
  </si>
  <si>
    <t>SHREE GURUNANAK ROAD CARRIERS-GANDHIDHAM</t>
  </si>
  <si>
    <t>SHRI DEV ROAD LINES-BUNDI</t>
  </si>
  <si>
    <t>22AFAFS6005C1ZP</t>
  </si>
  <si>
    <t>SHRI MAHALAXMI RICE INDUSTRIES</t>
  </si>
  <si>
    <t>45</t>
  </si>
  <si>
    <t>46</t>
  </si>
  <si>
    <t>47</t>
  </si>
  <si>
    <t>48</t>
  </si>
  <si>
    <t>49</t>
  </si>
  <si>
    <t>50</t>
  </si>
  <si>
    <t>52</t>
  </si>
  <si>
    <t>53</t>
  </si>
  <si>
    <t>12/01/2025</t>
  </si>
  <si>
    <t>54</t>
  </si>
  <si>
    <t>57</t>
  </si>
  <si>
    <t>13/01/2025</t>
  </si>
  <si>
    <t>58</t>
  </si>
  <si>
    <t>59</t>
  </si>
  <si>
    <t>60</t>
  </si>
  <si>
    <t>24ADZPU7784R1ZU</t>
  </si>
  <si>
    <t>SHRIH PEST CONTROL SERVICES</t>
  </si>
  <si>
    <t>3178</t>
  </si>
  <si>
    <t>3179</t>
  </si>
  <si>
    <t>3180</t>
  </si>
  <si>
    <t>07BPIPS5948K1Z3</t>
  </si>
  <si>
    <t>SINGHAL CARGO MOVERS</t>
  </si>
  <si>
    <t>9</t>
  </si>
  <si>
    <t>07AAFCS3768R1ZH</t>
  </si>
  <si>
    <t>SPG SHIPPING PRIVATE LIMITED</t>
  </si>
  <si>
    <t>SPG2526/483</t>
  </si>
  <si>
    <t>09ABCCS1721L1Z9</t>
  </si>
  <si>
    <t>SQC CERTIFICATION SERVICES PRIVATE LIMITED</t>
  </si>
  <si>
    <t>06/03/2025</t>
  </si>
  <si>
    <t>36AATCS7371J1ZJ</t>
  </si>
  <si>
    <t>SS GRAVURES PRIVATE LIMITED</t>
  </si>
  <si>
    <t>SSG259/2025-26</t>
  </si>
  <si>
    <t>23ABLCS0080P1Z0</t>
  </si>
  <si>
    <t>SSI INSPECTIONS SERVICES PRIVATE LIMITED</t>
  </si>
  <si>
    <t>IND/01115/24-25</t>
  </si>
  <si>
    <t>IND/01161/24-25</t>
  </si>
  <si>
    <t>IND/01162/24-25</t>
  </si>
  <si>
    <t>IND/01316/24-25</t>
  </si>
  <si>
    <t>IND/01516/24-25</t>
  </si>
  <si>
    <t>IND/01519/24-25</t>
  </si>
  <si>
    <t>IND/01520/24-25</t>
  </si>
  <si>
    <t>IND/01521/24-25</t>
  </si>
  <si>
    <t>IND/01522/24-25</t>
  </si>
  <si>
    <t>IND/01523/24-25</t>
  </si>
  <si>
    <t>IND/01524/24-25</t>
  </si>
  <si>
    <t>IND/01525/24-25</t>
  </si>
  <si>
    <t>IND/01526/24-25</t>
  </si>
  <si>
    <t>IND/01527/24-25</t>
  </si>
  <si>
    <t>IND/01528/24-25</t>
  </si>
  <si>
    <t>IND/01529/24-25</t>
  </si>
  <si>
    <t>IND/24-25/024</t>
  </si>
  <si>
    <t>24AAATT2990G1ZF</t>
  </si>
  <si>
    <t>THE GANDHIDHAM CHAMBER OF COMMERCE &amp; INDUSTRY</t>
  </si>
  <si>
    <t>G101202400019042</t>
  </si>
  <si>
    <t>G101202400019049</t>
  </si>
  <si>
    <t>G101202400019053</t>
  </si>
  <si>
    <t>G101202500001884</t>
  </si>
  <si>
    <t>G101202500001886</t>
  </si>
  <si>
    <t>G101202500001887</t>
  </si>
  <si>
    <t>G101202500001897</t>
  </si>
  <si>
    <t>G101202500003547</t>
  </si>
  <si>
    <t>G101202500004890</t>
  </si>
  <si>
    <t>G101202500004891</t>
  </si>
  <si>
    <t>G101202500008392</t>
  </si>
  <si>
    <t>G101202500008393</t>
  </si>
  <si>
    <t>THE MANN TRANSPORT COMPANY-DELHI</t>
  </si>
  <si>
    <t>THE MANN TRANSPORT SERVICE-DELHI</t>
  </si>
  <si>
    <t>24AAOFT7136J1ZR</t>
  </si>
  <si>
    <t>TRUEBLUE SHIPPING SERVICES</t>
  </si>
  <si>
    <t>TSS/TI/2425/1338</t>
  </si>
  <si>
    <t>TSS/TI/2425/1339</t>
  </si>
  <si>
    <t>TSS/TI/2425/1340</t>
  </si>
  <si>
    <t>TSS/TI/2425/1395</t>
  </si>
  <si>
    <t>TSS/TI/2425/1396</t>
  </si>
  <si>
    <t>TSS/TI/2425/1397</t>
  </si>
  <si>
    <t>TSS/TI/2425/1398</t>
  </si>
  <si>
    <t>TSS/TI/2425/1399</t>
  </si>
  <si>
    <t>TSS/TI/2425/1400</t>
  </si>
  <si>
    <t>TSS/TI/2425/1401</t>
  </si>
  <si>
    <t>TSS/TI/2425/1675</t>
  </si>
  <si>
    <t>TSS/TI/2425/1676</t>
  </si>
  <si>
    <t>TSS/TI/2425/1744</t>
  </si>
  <si>
    <t>TSS/CN/2425/0137</t>
  </si>
  <si>
    <t>TSS/CN/2425/0138</t>
  </si>
  <si>
    <t>TSS/CN/2425/0139</t>
  </si>
  <si>
    <t>TSS/CN/2425/0140</t>
  </si>
  <si>
    <t>TSS/CN/2425/0141</t>
  </si>
  <si>
    <t>TSS/CN/2425/0142</t>
  </si>
  <si>
    <t>TSS/CN/2425/0143</t>
  </si>
  <si>
    <t>TSS/CN/2425/0144</t>
  </si>
  <si>
    <t>TSS/CN/2425/0145</t>
  </si>
  <si>
    <t>TSS/TI/2526/0008</t>
  </si>
  <si>
    <t>TSS/TI/2526/0009</t>
  </si>
  <si>
    <t>TSS/TI/2526/0010</t>
  </si>
  <si>
    <t>TSS/TI/2526/0011</t>
  </si>
  <si>
    <t>TSS/TI/2526/0016</t>
  </si>
  <si>
    <t>TSS/TI/2526/0026</t>
  </si>
  <si>
    <t>12/04/2025</t>
  </si>
  <si>
    <t>TSS/TI/2526/0047</t>
  </si>
  <si>
    <t>TSS/TI/2526/0112</t>
  </si>
  <si>
    <t>TSS/TI/2526/0113</t>
  </si>
  <si>
    <t>TSS/TI/2526/0114</t>
  </si>
  <si>
    <t>TSS/TI/2526/0126</t>
  </si>
  <si>
    <t>TSS/TI/2526/0127</t>
  </si>
  <si>
    <t>TSS/CN/2526/0015</t>
  </si>
  <si>
    <t>TSS/CN/2526/0016</t>
  </si>
  <si>
    <t>TSS/CN/2526/0017</t>
  </si>
  <si>
    <t>TSS/CN/2526/0018</t>
  </si>
  <si>
    <t>TSS/CN/2526/0019</t>
  </si>
  <si>
    <t>TSS/CN/2526/0020</t>
  </si>
  <si>
    <t>TSS/CN/2526/0021</t>
  </si>
  <si>
    <t>TRUEBLUE SHIPPING SERVICES-GANDHIDHAM</t>
  </si>
  <si>
    <t>VIJAY ROADWAYS</t>
  </si>
  <si>
    <t>VIKASH TRANSPORT COMPANY-DELHI</t>
  </si>
  <si>
    <t>VRC LOGISTICS PVT LTD-DELHI</t>
  </si>
  <si>
    <t>YOGI TRANSPORT CO-BUNDI</t>
  </si>
  <si>
    <t>0138230975904031</t>
  </si>
  <si>
    <t>20/06/2023</t>
  </si>
  <si>
    <t>09AAACO4007A1Z3</t>
  </si>
  <si>
    <t>M/S ONE 97 COMMUNICATION LTD</t>
  </si>
  <si>
    <t>7711087080</t>
  </si>
  <si>
    <t>13/06/2023</t>
  </si>
  <si>
    <t>7821924277</t>
  </si>
  <si>
    <t>30/06/2023</t>
  </si>
  <si>
    <t>06AAACD0160B1ZK</t>
  </si>
  <si>
    <t>DURO PACK LTD.</t>
  </si>
  <si>
    <t>ST/2324/1025</t>
  </si>
  <si>
    <t>03/06/2023</t>
  </si>
  <si>
    <t>07AABFF2500M1ZQ</t>
  </si>
  <si>
    <t>FINCA SPECIALITY COFFEE</t>
  </si>
  <si>
    <t>FIN23105</t>
  </si>
  <si>
    <t>02/06/2023</t>
  </si>
  <si>
    <t>09011111</t>
  </si>
  <si>
    <t>FIN23116</t>
  </si>
  <si>
    <t>FIN23129</t>
  </si>
  <si>
    <t>09AAEFM3222C1ZS</t>
  </si>
  <si>
    <t>MITTAL OVERSEAS</t>
  </si>
  <si>
    <t>GST/23-24/0219</t>
  </si>
  <si>
    <t>01/06/2023</t>
  </si>
  <si>
    <t>0902</t>
  </si>
  <si>
    <t>GST/23-24/0224</t>
  </si>
  <si>
    <t>GST/23-24/0226</t>
  </si>
  <si>
    <t>05/06/2023</t>
  </si>
  <si>
    <t>GST/23-24/0228</t>
  </si>
  <si>
    <t>GST/23-24/0229</t>
  </si>
  <si>
    <t>GST/23-24/0233</t>
  </si>
  <si>
    <t>06/06/2023</t>
  </si>
  <si>
    <t>GST/23-24/0234</t>
  </si>
  <si>
    <t>GST/23-24/0236</t>
  </si>
  <si>
    <t>GST/23-24/0247</t>
  </si>
  <si>
    <t>10/06/2023</t>
  </si>
  <si>
    <t>GST/23-24/0249</t>
  </si>
  <si>
    <t>GST/23-24/0252</t>
  </si>
  <si>
    <t>12/06/2023</t>
  </si>
  <si>
    <t>GST/23-24/0253</t>
  </si>
  <si>
    <t>GST/23-24/0254</t>
  </si>
  <si>
    <t>GST/23-24/0257</t>
  </si>
  <si>
    <t>14/06/2023</t>
  </si>
  <si>
    <t>GST/23-24/0258</t>
  </si>
  <si>
    <t>GST/23-24/0259</t>
  </si>
  <si>
    <t>15/06/2023</t>
  </si>
  <si>
    <t>GST/23-24/0261</t>
  </si>
  <si>
    <t>GST/23-24/0262</t>
  </si>
  <si>
    <t>16/06/2023</t>
  </si>
  <si>
    <t>GST/23-24/0265</t>
  </si>
  <si>
    <t>17/06/2023</t>
  </si>
  <si>
    <t>GST/23-24/0270</t>
  </si>
  <si>
    <t>GST/23-24/0272</t>
  </si>
  <si>
    <t>21/06/2023</t>
  </si>
  <si>
    <t>GST/23-24/0274</t>
  </si>
  <si>
    <t>22/06/2023</t>
  </si>
  <si>
    <t>GST/23-24/0276</t>
  </si>
  <si>
    <t>23/06/2023</t>
  </si>
  <si>
    <t>GST/23-24/0277</t>
  </si>
  <si>
    <t>GST/23-24/0280</t>
  </si>
  <si>
    <t>26/06/2023</t>
  </si>
  <si>
    <t>GST/23-24/0281</t>
  </si>
  <si>
    <t>GST/23-24/0285</t>
  </si>
  <si>
    <t>27/06/2023</t>
  </si>
  <si>
    <t>GST/23-24/0286</t>
  </si>
  <si>
    <t>GST/23-24/0288</t>
  </si>
  <si>
    <t>GST/23-24/0291</t>
  </si>
  <si>
    <t>28/06/2023</t>
  </si>
  <si>
    <t>GST/23-24/0295</t>
  </si>
  <si>
    <t>GST/23-24/0296</t>
  </si>
  <si>
    <t>07CGQPM6835H1ZU</t>
  </si>
  <si>
    <t>KRISHH (INDIA)</t>
  </si>
  <si>
    <t>KI/2023-24/00107</t>
  </si>
  <si>
    <t>KI/2023-24/00112</t>
  </si>
  <si>
    <t>27AAACH2702H3ZY</t>
  </si>
  <si>
    <t>HDFC BANK LIMITED</t>
  </si>
  <si>
    <t>MAP2418120394625</t>
  </si>
  <si>
    <t>07AAHFJ3513C1ZU</t>
  </si>
  <si>
    <t>J.PRASAD</t>
  </si>
  <si>
    <t>1965/23-24</t>
  </si>
  <si>
    <t>19AABCM7499M1ZK</t>
  </si>
  <si>
    <t>MAHANADI TEA CO. PVT. LTD.</t>
  </si>
  <si>
    <t>MTC/INV/23-24/22</t>
  </si>
  <si>
    <t>090220</t>
  </si>
  <si>
    <t>ADS314-102580093</t>
  </si>
  <si>
    <t>ADS314-102582231</t>
  </si>
  <si>
    <t>ADS314-102584400</t>
  </si>
  <si>
    <t>07/06/2023</t>
  </si>
  <si>
    <t>ADS314-102603141</t>
  </si>
  <si>
    <t>ADS314-102605088</t>
  </si>
  <si>
    <t>ADS314-102606963</t>
  </si>
  <si>
    <t>18/06/2023</t>
  </si>
  <si>
    <t>ADS314-102609020</t>
  </si>
  <si>
    <t>19/06/2023</t>
  </si>
  <si>
    <t>ADS314-102610900</t>
  </si>
  <si>
    <t>ADS314-102624856</t>
  </si>
  <si>
    <t>ADS314-102626748</t>
  </si>
  <si>
    <t>ADS314-102628600</t>
  </si>
  <si>
    <t>29/06/2023</t>
  </si>
  <si>
    <t>ADS314-102631402</t>
  </si>
  <si>
    <t>ADS509-102665648</t>
  </si>
  <si>
    <t>ADS509-102667501</t>
  </si>
  <si>
    <t>24/06/2023</t>
  </si>
  <si>
    <t>ADS509-102669276</t>
  </si>
  <si>
    <t>25/06/2023</t>
  </si>
  <si>
    <t>ADS509-102671149</t>
  </si>
  <si>
    <t>ADS509-102672967</t>
  </si>
  <si>
    <t>ADS509-102674707</t>
  </si>
  <si>
    <t>ADS509-102676416</t>
  </si>
  <si>
    <t>ADS509-102679049</t>
  </si>
  <si>
    <t>07AAAFG3369A1ZU</t>
  </si>
  <si>
    <t>Gulabsingh Johrimal</t>
  </si>
  <si>
    <t>T1017/2023-24</t>
  </si>
  <si>
    <t>07AAACY2068D1ZI</t>
  </si>
  <si>
    <t>Yes Bank Ltd</t>
  </si>
  <si>
    <t>FCR0806234802112</t>
  </si>
  <si>
    <t>08/06/2023</t>
  </si>
  <si>
    <t>FCR0806234802113</t>
  </si>
  <si>
    <t>FCR2706235450074</t>
  </si>
  <si>
    <t>FCR2706235450075</t>
  </si>
  <si>
    <t>07AANPG3799H1Z8</t>
  </si>
  <si>
    <t>FRIENDS PHOTOCOPY CENTRE</t>
  </si>
  <si>
    <t>292/2023-2024</t>
  </si>
  <si>
    <t>24DSYPK7476P1ZE</t>
  </si>
  <si>
    <t>Basil Food Export</t>
  </si>
  <si>
    <t>BFE/2023-24/60</t>
  </si>
  <si>
    <t>09/06/2023</t>
  </si>
  <si>
    <t>BFE/2023-24/86</t>
  </si>
  <si>
    <t>BFE/2023-24/60/A</t>
  </si>
  <si>
    <t>BFE/2023-24/86/A</t>
  </si>
  <si>
    <t>19FCPPS8927E1ZQ</t>
  </si>
  <si>
    <t>LAKIT DISTRIBUTORS</t>
  </si>
  <si>
    <t>168</t>
  </si>
  <si>
    <t>24AABCH8058B1ZW</t>
  </si>
  <si>
    <t>HAMPS BIO PRIVATTE LIMITED</t>
  </si>
  <si>
    <t>BB/431</t>
  </si>
  <si>
    <t>07AAQFN3245A1ZG</t>
  </si>
  <si>
    <t>NAVEEN  PRINTERS</t>
  </si>
  <si>
    <t>TI-0287/23-24</t>
  </si>
  <si>
    <t>TI-0288/23-24</t>
  </si>
  <si>
    <t>TI-0289/23-24</t>
  </si>
  <si>
    <t>TI-0290/23-24</t>
  </si>
  <si>
    <t>06AACCG0527D1Z8</t>
  </si>
  <si>
    <t>GOOGLE INDIA PVT LTD</t>
  </si>
  <si>
    <t>4753741763</t>
  </si>
  <si>
    <t>07BBLPS5124E1ZM</t>
  </si>
  <si>
    <t>CAPITAL MAINTENANCE CORPORATION</t>
  </si>
  <si>
    <t>370</t>
  </si>
  <si>
    <t>527</t>
  </si>
  <si>
    <t>27AAGCI1069J1ZE</t>
  </si>
  <si>
    <t>ITHINK LOGISTIC QUICK SERVICES PRIVATE LIMITED</t>
  </si>
  <si>
    <t>ITLP23-24/6406</t>
  </si>
  <si>
    <t>06AADCH3292H1ZM</t>
  </si>
  <si>
    <t>HW WELLNESS SOLUTIONS PRIVATE LIMITED</t>
  </si>
  <si>
    <t>DEL5-22478</t>
  </si>
  <si>
    <t>inputs</t>
  </si>
  <si>
    <t>07AAACP0165G3ZP</t>
  </si>
  <si>
    <t>Punjab National Bank</t>
  </si>
  <si>
    <t>202306P00006581</t>
  </si>
  <si>
    <t>07AADCL9105D1ZS</t>
  </si>
  <si>
    <t>LYNKIT SOLUTIONS PRIVATE LIMITED</t>
  </si>
  <si>
    <t>PMBE23/06/0057</t>
  </si>
  <si>
    <t>PMBE23/06/0058</t>
  </si>
  <si>
    <t>PMBE23/06/0059</t>
  </si>
  <si>
    <t>PMBE23/06/0191</t>
  </si>
  <si>
    <t>PMBE23/06/0192</t>
  </si>
  <si>
    <t>PMBE23/06/0275</t>
  </si>
  <si>
    <t>PMBE23/06/0276</t>
  </si>
  <si>
    <t>PMBE23/06/0277</t>
  </si>
  <si>
    <t>07APZPM1452N1Z4</t>
  </si>
  <si>
    <t>KRISHNA LABELS INC.</t>
  </si>
  <si>
    <t>386/2023-24</t>
  </si>
  <si>
    <t>09AACCU5410D1ZO</t>
  </si>
  <si>
    <t>UTTAM FOODS AND SPICES PRIVATE LIMITED</t>
  </si>
  <si>
    <t>UFAS/23-24/0096</t>
  </si>
  <si>
    <t>0910</t>
  </si>
  <si>
    <t>07AAACB0446L1ZU</t>
  </si>
  <si>
    <t>BLUE DART EXPRESS LIMITED</t>
  </si>
  <si>
    <t>2023607R00002945</t>
  </si>
  <si>
    <t>2023607R00002946</t>
  </si>
  <si>
    <t>2023607R00002947</t>
  </si>
  <si>
    <t>2023607R00006333</t>
  </si>
  <si>
    <t>07AAICA3918J1ZK</t>
  </si>
  <si>
    <t>AMAZON SELLER SERVICES PRIVATE LIMITED</t>
  </si>
  <si>
    <t>DL-2324-35190</t>
  </si>
  <si>
    <t>02ALBPR3277Q1ZO</t>
  </si>
  <si>
    <t>ROOTS AND FLOWERS</t>
  </si>
  <si>
    <t>826</t>
  </si>
  <si>
    <t>17/05/2023</t>
  </si>
  <si>
    <t>09023020</t>
  </si>
  <si>
    <t>07AABCD3199H1ZK</t>
  </si>
  <si>
    <t>DEVANS SOUTH INDIAN COFFEE &amp; TEA PVT. LTD.</t>
  </si>
  <si>
    <t>777</t>
  </si>
  <si>
    <t>090111</t>
  </si>
  <si>
    <t>27AAACY2068D5ZC</t>
  </si>
  <si>
    <t>YES BANK LIMITED</t>
  </si>
  <si>
    <t>POS3006235535264</t>
  </si>
  <si>
    <t>POS3006235557758</t>
  </si>
  <si>
    <t>POS3006235557760</t>
  </si>
  <si>
    <t>IN230630V0215607</t>
  </si>
  <si>
    <t>32HDNPS8409C1ZB</t>
  </si>
  <si>
    <t>PARAGON SPICE TRADING</t>
  </si>
  <si>
    <t>33</t>
  </si>
  <si>
    <t>09AAJCA1124D1Z6</t>
  </si>
  <si>
    <t>M/S ADEPT IMPEX PRIVATE LIMITED</t>
  </si>
  <si>
    <t>191</t>
  </si>
  <si>
    <t>202</t>
  </si>
  <si>
    <t>29AAICA3918J1ZE</t>
  </si>
  <si>
    <t>AMAZON SELLER SERVICES PVT LTD</t>
  </si>
  <si>
    <t>KA-2324-657192</t>
  </si>
  <si>
    <t>KA-2324-733931</t>
  </si>
  <si>
    <t>07AANPS2195P1ZR</t>
  </si>
  <si>
    <t>FOURWINGS TRAVELS &amp; TOUR</t>
  </si>
  <si>
    <t>156</t>
  </si>
  <si>
    <t>00440032</t>
  </si>
  <si>
    <t>07AVXPM4129J1ZY</t>
  </si>
  <si>
    <t>KASHI UDYOG</t>
  </si>
  <si>
    <t>23-24/0330</t>
  </si>
  <si>
    <t>092020</t>
  </si>
  <si>
    <t>07AADCT0663J1ZA</t>
  </si>
  <si>
    <t>TCI EXPRESS LIMITED</t>
  </si>
  <si>
    <t>1070802764</t>
  </si>
  <si>
    <t>00440014</t>
  </si>
  <si>
    <t>1070803222</t>
  </si>
  <si>
    <t>09AACCD3278Q1Z0</t>
  </si>
  <si>
    <t>M/S DESIGNARCH INFRASTRUCTURE PVT. LTD</t>
  </si>
  <si>
    <t>DIPL/23-24/MT-07</t>
  </si>
  <si>
    <t>29AAICP2912R1ZR</t>
  </si>
  <si>
    <t>CASHFREE PAYMENTS INDIA PRIVATE LIMITED</t>
  </si>
  <si>
    <t>CF/23-24/18103</t>
  </si>
  <si>
    <t>07ASJPT1311Q1ZB</t>
  </si>
  <si>
    <t>SHINE ART PRINT</t>
  </si>
  <si>
    <t>031</t>
  </si>
  <si>
    <t>06ANXPP1524G1ZR</t>
  </si>
  <si>
    <t>RADHE TECHNO SERVICE</t>
  </si>
  <si>
    <t>DEL5-18784</t>
  </si>
  <si>
    <t>24/07/2023</t>
  </si>
  <si>
    <t>362/2023-2024</t>
  </si>
  <si>
    <t>31/07/2023</t>
  </si>
  <si>
    <t>24COZPB4086A1ZY</t>
  </si>
  <si>
    <t>HASTI SALES</t>
  </si>
  <si>
    <t>IN-3531</t>
  </si>
  <si>
    <t>BFE/2023-24/128</t>
  </si>
  <si>
    <t>BFE/2023-24/129</t>
  </si>
  <si>
    <t>BFE/23-24/128/A</t>
  </si>
  <si>
    <t>BFE/23-24/129/A</t>
  </si>
  <si>
    <t>1070809447</t>
  </si>
  <si>
    <t>22/07/2023</t>
  </si>
  <si>
    <t>1070810389</t>
  </si>
  <si>
    <t>29/07/2023</t>
  </si>
  <si>
    <t>BB/702</t>
  </si>
  <si>
    <t>15/07/2023</t>
  </si>
  <si>
    <t>07AEQPG9324K1Z1</t>
  </si>
  <si>
    <t>ADITYA ENTERPRISES</t>
  </si>
  <si>
    <t>AE/2023-24/061</t>
  </si>
  <si>
    <t>19AAHCB2565R1ZY</t>
  </si>
  <si>
    <t>BRONA TEA PRIVATE LIMITED</t>
  </si>
  <si>
    <t>BT/040</t>
  </si>
  <si>
    <t>03/07/2023</t>
  </si>
  <si>
    <t>07AABCD4196N1Z8</t>
  </si>
  <si>
    <t>DIAMOND COUNTRY CARGO (P) LTD</t>
  </si>
  <si>
    <t>2023-24/00468</t>
  </si>
  <si>
    <t>2023-24/00469</t>
  </si>
  <si>
    <t>01AAACN6345A1Z7</t>
  </si>
  <si>
    <t>NITCO LOGISTICS PRIVATE LIMITED</t>
  </si>
  <si>
    <t>SXR1M720005</t>
  </si>
  <si>
    <t>20/07/2023</t>
  </si>
  <si>
    <t>01CLMPB7915E1ZH</t>
  </si>
  <si>
    <t>m/s mirza bigh</t>
  </si>
  <si>
    <t>442</t>
  </si>
  <si>
    <t>0135230725099114</t>
  </si>
  <si>
    <t>25/07/2023</t>
  </si>
  <si>
    <t>ADS314-102633281</t>
  </si>
  <si>
    <t>01/07/2023</t>
  </si>
  <si>
    <t>ADS314-102635083</t>
  </si>
  <si>
    <t>02/07/2023</t>
  </si>
  <si>
    <t>ADS314-102636979</t>
  </si>
  <si>
    <t>ADS314-102639114</t>
  </si>
  <si>
    <t>04/07/2023</t>
  </si>
  <si>
    <t>ADS314-102641101</t>
  </si>
  <si>
    <t>05/07/2023</t>
  </si>
  <si>
    <t>ADS314-102643253</t>
  </si>
  <si>
    <t>06/07/2023</t>
  </si>
  <si>
    <t>ADS314-102645420</t>
  </si>
  <si>
    <t>07/07/2023</t>
  </si>
  <si>
    <t>ADS314-102647480</t>
  </si>
  <si>
    <t>08/07/2023</t>
  </si>
  <si>
    <t>ADS314-102649305</t>
  </si>
  <si>
    <t>09/07/2023</t>
  </si>
  <si>
    <t>ADS314-102651377</t>
  </si>
  <si>
    <t>10/07/2023</t>
  </si>
  <si>
    <t>ADS314-102653376</t>
  </si>
  <si>
    <t>11/07/2023</t>
  </si>
  <si>
    <t>ADS314-102655546</t>
  </si>
  <si>
    <t>12/07/2023</t>
  </si>
  <si>
    <t>ADS314-102657656</t>
  </si>
  <si>
    <t>13/07/2023</t>
  </si>
  <si>
    <t>ADS314-102659643</t>
  </si>
  <si>
    <t>14/07/2023</t>
  </si>
  <si>
    <t>ADS314-102662682</t>
  </si>
  <si>
    <t>ADS314-102664753</t>
  </si>
  <si>
    <t>16/07/2023</t>
  </si>
  <si>
    <t>ADS314-102666646</t>
  </si>
  <si>
    <t>17/07/2023</t>
  </si>
  <si>
    <t>ADS314-102668474</t>
  </si>
  <si>
    <t>18/07/2023</t>
  </si>
  <si>
    <t>ADS314-102670402</t>
  </si>
  <si>
    <t>19/07/2023</t>
  </si>
  <si>
    <t>ADS314-102672505</t>
  </si>
  <si>
    <t>ADS314-102680198</t>
  </si>
  <si>
    <t>ADS314-102682427</t>
  </si>
  <si>
    <t>ADS314-102684444</t>
  </si>
  <si>
    <t>26/07/2023</t>
  </si>
  <si>
    <t>ADS314-102686443</t>
  </si>
  <si>
    <t>27/07/2023</t>
  </si>
  <si>
    <t>ADS314-102688551</t>
  </si>
  <si>
    <t>28/07/2023</t>
  </si>
  <si>
    <t>ADS314-102694976</t>
  </si>
  <si>
    <t>ADS509-102680830</t>
  </si>
  <si>
    <t>202307P00003243</t>
  </si>
  <si>
    <t>4778079056</t>
  </si>
  <si>
    <t>4781188649</t>
  </si>
  <si>
    <t>548</t>
  </si>
  <si>
    <t>705</t>
  </si>
  <si>
    <t>GST/23-24/0297</t>
  </si>
  <si>
    <t>GST/23-24/0299</t>
  </si>
  <si>
    <t>GST/23-24/0300</t>
  </si>
  <si>
    <t>GST/23-24/0301</t>
  </si>
  <si>
    <t>GST/23-24/0303</t>
  </si>
  <si>
    <t>GST/23-24/0304</t>
  </si>
  <si>
    <t>GST/23-24/0307</t>
  </si>
  <si>
    <t>GST/23-24/0309</t>
  </si>
  <si>
    <t>GST/23-24/0310</t>
  </si>
  <si>
    <t>GST/23-24/0311</t>
  </si>
  <si>
    <t>GST/23-24/0313</t>
  </si>
  <si>
    <t>GST/23-24/0318</t>
  </si>
  <si>
    <t>GST/23-24/0319</t>
  </si>
  <si>
    <t>GST/23-24/0320</t>
  </si>
  <si>
    <t>GST/23-24/0322</t>
  </si>
  <si>
    <t>GST/23-24/0323</t>
  </si>
  <si>
    <t>GST/23-24/0324</t>
  </si>
  <si>
    <t>GST/23-24/0327</t>
  </si>
  <si>
    <t>GST/23-24/0330</t>
  </si>
  <si>
    <t>GST/23-24/0333</t>
  </si>
  <si>
    <t>GST/23-24/0334</t>
  </si>
  <si>
    <t>GST/23-24/0336</t>
  </si>
  <si>
    <t>GST/23-24/0337</t>
  </si>
  <si>
    <t>GST/23-24/0341</t>
  </si>
  <si>
    <t>GST/23-24/0342</t>
  </si>
  <si>
    <t>GST/23-24/0349</t>
  </si>
  <si>
    <t>GST/23-24/0350</t>
  </si>
  <si>
    <t>GST/23-24/0354</t>
  </si>
  <si>
    <t>GST/23-24/0355</t>
  </si>
  <si>
    <t>GST/23-24/0357</t>
  </si>
  <si>
    <t>GST/23-24/0358</t>
  </si>
  <si>
    <t>GST/23-24/0363</t>
  </si>
  <si>
    <t>GST/23-24/0364</t>
  </si>
  <si>
    <t>GST/23-24/0365</t>
  </si>
  <si>
    <t>GST/23-24/0369</t>
  </si>
  <si>
    <t>23/07/2023</t>
  </si>
  <si>
    <t>GST/23-24/0370</t>
  </si>
  <si>
    <t>GST/23-24/0372</t>
  </si>
  <si>
    <t>GST/23-24/0373</t>
  </si>
  <si>
    <t>GST/23-24/0374</t>
  </si>
  <si>
    <t>GST/23-24/0376</t>
  </si>
  <si>
    <t>GST/23-24/0378</t>
  </si>
  <si>
    <t>GST/23-24/0379</t>
  </si>
  <si>
    <t>GST/23-24/0380</t>
  </si>
  <si>
    <t>GST/23-24/0381</t>
  </si>
  <si>
    <t>GST/23-24/0383</t>
  </si>
  <si>
    <t>GST/23-24/0384</t>
  </si>
  <si>
    <t>GST/23-24/0386</t>
  </si>
  <si>
    <t>GST/23-24/0387</t>
  </si>
  <si>
    <t>GST/23-24/0388</t>
  </si>
  <si>
    <t>GST/23-24/0389</t>
  </si>
  <si>
    <t>GST/23-24/0390</t>
  </si>
  <si>
    <t>GST/23-24/0392</t>
  </si>
  <si>
    <t>GST/23-24/0394</t>
  </si>
  <si>
    <t>30/07/2023</t>
  </si>
  <si>
    <t>GST/23-24/0396</t>
  </si>
  <si>
    <t>GST/23-24/0397</t>
  </si>
  <si>
    <t>GST/23-24/0398</t>
  </si>
  <si>
    <t>GST/23-24/0400</t>
  </si>
  <si>
    <t>GST/23-24/0401</t>
  </si>
  <si>
    <t>36AAJCC8517E1ZM</t>
  </si>
  <si>
    <t>HYD8-2283140</t>
  </si>
  <si>
    <t>07AOQPS1914P1Z6</t>
  </si>
  <si>
    <t>LOTUS SYSTEMS &amp; SERVICES</t>
  </si>
  <si>
    <t>GST/752/23-24</t>
  </si>
  <si>
    <t>POS3107238643086</t>
  </si>
  <si>
    <t>POS3107238685019</t>
  </si>
  <si>
    <t>POS3107238889256</t>
  </si>
  <si>
    <t>POS3107238908080</t>
  </si>
  <si>
    <t>1034</t>
  </si>
  <si>
    <t>19AAMCM6112G1ZE</t>
  </si>
  <si>
    <t>MOKOBARA LIFESTYLE PRIVATE LIMITED</t>
  </si>
  <si>
    <t>CCU1-1240/2324</t>
  </si>
  <si>
    <t>300</t>
  </si>
  <si>
    <t>327</t>
  </si>
  <si>
    <t>24CKDPD3423R1Z4</t>
  </si>
  <si>
    <t>Revolution</t>
  </si>
  <si>
    <t>R-10</t>
  </si>
  <si>
    <t>R-9</t>
  </si>
  <si>
    <t>07AAVCA2612C1ZX</t>
  </si>
  <si>
    <t>AMALA EARTH PRIVATE LIMITED</t>
  </si>
  <si>
    <t>AM07/23-24/115</t>
  </si>
  <si>
    <t>DL-2324-59520</t>
  </si>
  <si>
    <t>07AAGCV1322H1ZK</t>
  </si>
  <si>
    <t>VM CAN INDUSTRIES PRIVATE LIMITED</t>
  </si>
  <si>
    <t>DL378/23-24</t>
  </si>
  <si>
    <t>21/07/2023</t>
  </si>
  <si>
    <t>CF/23-24/22932</t>
  </si>
  <si>
    <t>2023707R00003019</t>
  </si>
  <si>
    <t>2023707R00003020</t>
  </si>
  <si>
    <t>2023707R00003021</t>
  </si>
  <si>
    <t>07AMGPS2446C1Z6</t>
  </si>
  <si>
    <t>BANSAL BUSINESS CORPORATION</t>
  </si>
  <si>
    <t>BSTI/23-24/14505</t>
  </si>
  <si>
    <t>24ADVPL3768J1ZV</t>
  </si>
  <si>
    <t>GRANTH CREATION</t>
  </si>
  <si>
    <t>IN-347</t>
  </si>
  <si>
    <t>28/04/2023</t>
  </si>
  <si>
    <t>ITLP23-24/9973</t>
  </si>
  <si>
    <t>24AAAGE1592G1ZP</t>
  </si>
  <si>
    <t>EXPORT INSPECTION AGENCY - GUJARAT</t>
  </si>
  <si>
    <t>EIAB202315015490</t>
  </si>
  <si>
    <t>07AAACS1689Q1ZO</t>
  </si>
  <si>
    <t>SRIJAN SYSTEMS PVT. LTD.</t>
  </si>
  <si>
    <t>SSPL/044/2023-24</t>
  </si>
  <si>
    <t>capital goods</t>
  </si>
  <si>
    <t>11AABAT5339D1ZX</t>
  </si>
  <si>
    <t>TEMI TEA ESTATE</t>
  </si>
  <si>
    <t>667/TTE/2023</t>
  </si>
  <si>
    <t>07CZWPB6892A1Z1</t>
  </si>
  <si>
    <t>Dhaarna Bhola Photography</t>
  </si>
  <si>
    <t>2023/2024-005</t>
  </si>
  <si>
    <t>7717171781</t>
  </si>
  <si>
    <t>7823146012</t>
  </si>
  <si>
    <t>MAP2421289971114</t>
  </si>
  <si>
    <t>23-24/0513</t>
  </si>
  <si>
    <t>23-24/0529</t>
  </si>
  <si>
    <t>23-24/0542</t>
  </si>
  <si>
    <t>23-24/0600</t>
  </si>
  <si>
    <t>KI/2023-24/00150</t>
  </si>
  <si>
    <t>KA-2324-1034167</t>
  </si>
  <si>
    <t>KA-2324-1042592</t>
  </si>
  <si>
    <t>KA-2324-1139275</t>
  </si>
  <si>
    <t>IN230731V0224292</t>
  </si>
  <si>
    <t>FCR0407236297297</t>
  </si>
  <si>
    <t>29AAACB0446L1ZO</t>
  </si>
  <si>
    <t>2023729R00005633</t>
  </si>
  <si>
    <t>ADS314-102661525</t>
  </si>
  <si>
    <t>ADS314-102661528</t>
  </si>
  <si>
    <t>ADS314-102661886</t>
  </si>
  <si>
    <t>KA22-CN-01738469</t>
  </si>
  <si>
    <t>KA-C-24-497870</t>
  </si>
  <si>
    <t>KA-C-24-501456</t>
  </si>
  <si>
    <t>DIPL/23-24/CN-01</t>
  </si>
  <si>
    <t>4793295032</t>
  </si>
  <si>
    <t>31/08/2023</t>
  </si>
  <si>
    <t>4802764749</t>
  </si>
  <si>
    <t>09AADCV8812F1Z6</t>
  </si>
  <si>
    <t>NEW VISION  DIGITAL PRIVATE LIMITED</t>
  </si>
  <si>
    <t>F23/24-0334</t>
  </si>
  <si>
    <t>24/08/2023</t>
  </si>
  <si>
    <t>07AABFU9518J1ZT</t>
  </si>
  <si>
    <t>USMS SAFFRON CO INC</t>
  </si>
  <si>
    <t>TI/DL/23-24/1858</t>
  </si>
  <si>
    <t>23/08/2023</t>
  </si>
  <si>
    <t>23-24/0662</t>
  </si>
  <si>
    <t>12/08/2023</t>
  </si>
  <si>
    <t>23-24/0672</t>
  </si>
  <si>
    <t>16/08/2023</t>
  </si>
  <si>
    <t>23-24/0761</t>
  </si>
  <si>
    <t>29/08/2023</t>
  </si>
  <si>
    <t>IN230831V0208270</t>
  </si>
  <si>
    <t>1360</t>
  </si>
  <si>
    <t>864</t>
  </si>
  <si>
    <t>09/08/2023</t>
  </si>
  <si>
    <t>403</t>
  </si>
  <si>
    <t>30/08/2023</t>
  </si>
  <si>
    <t>POS3108231447189</t>
  </si>
  <si>
    <t>POS3108231447190</t>
  </si>
  <si>
    <t>POS3108231910179</t>
  </si>
  <si>
    <t>ADS-2324-295943</t>
  </si>
  <si>
    <t>KA-2324-1336021</t>
  </si>
  <si>
    <t>KA-2324-1336112</t>
  </si>
  <si>
    <t>KA-2324-1357637</t>
  </si>
  <si>
    <t>BFE/2023-24/147</t>
  </si>
  <si>
    <t>08/08/2023</t>
  </si>
  <si>
    <t>491/2023-2024</t>
  </si>
  <si>
    <t>09AAXPI0271J1ZA</t>
  </si>
  <si>
    <t>M/S ARSHMART HANDICRAFT</t>
  </si>
  <si>
    <t>25</t>
  </si>
  <si>
    <t>03/08/2023</t>
  </si>
  <si>
    <t>782/TTE/2023</t>
  </si>
  <si>
    <t>09AATFV9195N1ZP</t>
  </si>
  <si>
    <t>VHA SONS ENTERPRISES</t>
  </si>
  <si>
    <t>VHA/2023-24/249</t>
  </si>
  <si>
    <t>05/08/2023</t>
  </si>
  <si>
    <t>VHA/2023-24/274</t>
  </si>
  <si>
    <t>11/08/2023</t>
  </si>
  <si>
    <t>PMBE23/07/0018</t>
  </si>
  <si>
    <t>PMBE23/07/0019</t>
  </si>
  <si>
    <t>PMBE23/07/0026</t>
  </si>
  <si>
    <t>PMBE23/07/0027</t>
  </si>
  <si>
    <t>PMBE23/07/0260</t>
  </si>
  <si>
    <t>PMBE23/07/0261</t>
  </si>
  <si>
    <t>PMBE23/07/0262</t>
  </si>
  <si>
    <t>PMBE23/07/0266</t>
  </si>
  <si>
    <t>PMBE23/07/0267</t>
  </si>
  <si>
    <t>PMBE23/07/0268</t>
  </si>
  <si>
    <t>PMBE23/07/0670</t>
  </si>
  <si>
    <t>PMBE23/07/0671</t>
  </si>
  <si>
    <t>PMBE23/07/0688</t>
  </si>
  <si>
    <t>PMBE23/07/0689</t>
  </si>
  <si>
    <t>06AAKCS7095J1ZQ</t>
  </si>
  <si>
    <t>SHAPES PRODUCTS PRIVATE LIMITED</t>
  </si>
  <si>
    <t>QNYE-5472</t>
  </si>
  <si>
    <t>0135230809040769</t>
  </si>
  <si>
    <t>0135230817071050</t>
  </si>
  <si>
    <t>17/08/2023</t>
  </si>
  <si>
    <t>0135230818075691</t>
  </si>
  <si>
    <t>18/08/2023</t>
  </si>
  <si>
    <t>0135230829122987</t>
  </si>
  <si>
    <t>0138230998538607</t>
  </si>
  <si>
    <t>0138230999665806</t>
  </si>
  <si>
    <t>10/08/2023</t>
  </si>
  <si>
    <t>0138230999869686</t>
  </si>
  <si>
    <t>0138231000485278</t>
  </si>
  <si>
    <t>0138231003953665</t>
  </si>
  <si>
    <t>CF/23-24/27088</t>
  </si>
  <si>
    <t>24EQQPP2219N1Z9</t>
  </si>
  <si>
    <t>MITTAL ELECTRONICS</t>
  </si>
  <si>
    <t>AMD2-2195</t>
  </si>
  <si>
    <t>15/08/2023</t>
  </si>
  <si>
    <t>725</t>
  </si>
  <si>
    <t>01/08/2023</t>
  </si>
  <si>
    <t>883</t>
  </si>
  <si>
    <t>ADS314-102697131</t>
  </si>
  <si>
    <t>ADS314-102699081</t>
  </si>
  <si>
    <t>02/08/2023</t>
  </si>
  <si>
    <t>ADS314-102701301</t>
  </si>
  <si>
    <t>ADS314-102704124</t>
  </si>
  <si>
    <t>04/08/2023</t>
  </si>
  <si>
    <t>ADS314-102706317</t>
  </si>
  <si>
    <t>ADS314-102708424</t>
  </si>
  <si>
    <t>06/08/2023</t>
  </si>
  <si>
    <t>ADS314-102714810</t>
  </si>
  <si>
    <t>ADS314-102717028</t>
  </si>
  <si>
    <t>ADS314-102719261</t>
  </si>
  <si>
    <t>ADS314-102721415</t>
  </si>
  <si>
    <t>ADS314-102723362</t>
  </si>
  <si>
    <t>13/08/2023</t>
  </si>
  <si>
    <t>ADS314-102725469</t>
  </si>
  <si>
    <t>14/08/2023</t>
  </si>
  <si>
    <t>ADS314-102728190</t>
  </si>
  <si>
    <t>ADS314-102730479</t>
  </si>
  <si>
    <t>ADS314-102732878</t>
  </si>
  <si>
    <t>ADS314-102734878</t>
  </si>
  <si>
    <t>ADS314-102736873</t>
  </si>
  <si>
    <t>19/08/2023</t>
  </si>
  <si>
    <t>ADS314-102738821</t>
  </si>
  <si>
    <t>20/08/2023</t>
  </si>
  <si>
    <t>ADS314-102740998</t>
  </si>
  <si>
    <t>21/08/2023</t>
  </si>
  <si>
    <t>ADS314-102743102</t>
  </si>
  <si>
    <t>22/08/2023</t>
  </si>
  <si>
    <t>ADS314-102745262</t>
  </si>
  <si>
    <t>ADS314-102747311</t>
  </si>
  <si>
    <t>ADS314-102749529</t>
  </si>
  <si>
    <t>25/08/2023</t>
  </si>
  <si>
    <t>ADS314-102751626</t>
  </si>
  <si>
    <t>26/08/2023</t>
  </si>
  <si>
    <t>ADS314-102753759</t>
  </si>
  <si>
    <t>27/08/2023</t>
  </si>
  <si>
    <t>ADS314-102755750</t>
  </si>
  <si>
    <t>28/08/2023</t>
  </si>
  <si>
    <t>ADS314-102757744</t>
  </si>
  <si>
    <t>ADS314-102759782</t>
  </si>
  <si>
    <t>ADS314-102762811</t>
  </si>
  <si>
    <t>06AANFD2488C1ZG</t>
  </si>
  <si>
    <t>DESICCANTS INDIA LLP</t>
  </si>
  <si>
    <t>2023243314</t>
  </si>
  <si>
    <t>07AABFA5730G1ZU</t>
  </si>
  <si>
    <t>AGGARWAL ELECTRIC HOME</t>
  </si>
  <si>
    <t>1582/23-24</t>
  </si>
  <si>
    <t>MAP2424363800910</t>
  </si>
  <si>
    <t>7725830744</t>
  </si>
  <si>
    <t>7824673220</t>
  </si>
  <si>
    <t>KI/2023-24/00195</t>
  </si>
  <si>
    <t>ST/2324/2244</t>
  </si>
  <si>
    <t>ST/2324/2480</t>
  </si>
  <si>
    <t>AM08/23-24/467</t>
  </si>
  <si>
    <t>DL-2324-66220</t>
  </si>
  <si>
    <t>ITLP23-24/12156</t>
  </si>
  <si>
    <t>ITLP23-24/12741</t>
  </si>
  <si>
    <t>2023807R00001794</t>
  </si>
  <si>
    <t>2023807R00001795</t>
  </si>
  <si>
    <t>2023807R00001796</t>
  </si>
  <si>
    <t>AE/2023-24/077</t>
  </si>
  <si>
    <t>345</t>
  </si>
  <si>
    <t>TI-0480/23-24</t>
  </si>
  <si>
    <t>07/08/2023</t>
  </si>
  <si>
    <t>TI-0481/23-24</t>
  </si>
  <si>
    <t>202308P00003157</t>
  </si>
  <si>
    <t>2023-24/00539</t>
  </si>
  <si>
    <t>2023-24/00540</t>
  </si>
  <si>
    <t>2023-24/00558</t>
  </si>
  <si>
    <t>PMBE23/08/0035</t>
  </si>
  <si>
    <t>PMBE23/08/0068</t>
  </si>
  <si>
    <t>PMBE23/08/0133</t>
  </si>
  <si>
    <t>PMBE23/08/0407</t>
  </si>
  <si>
    <t>PMBE23/08/0485</t>
  </si>
  <si>
    <t>PMBE23/08/0486</t>
  </si>
  <si>
    <t>PMBE23/08/0487</t>
  </si>
  <si>
    <t>PMBE23/08/0488</t>
  </si>
  <si>
    <t>EIAB202315018850</t>
  </si>
  <si>
    <t>DL-C-24-25626</t>
  </si>
  <si>
    <t>ADS314-102705307</t>
  </si>
  <si>
    <t>KA22-CN-01804601</t>
  </si>
  <si>
    <t>KA-C-24-641971</t>
  </si>
  <si>
    <t>07AAACC4842R1Z9</t>
  </si>
  <si>
    <t>COMPETENT AUTOMOBILES COMPANY LIMITED</t>
  </si>
  <si>
    <t>11/BR/23010677</t>
  </si>
  <si>
    <t>26/09/2023</t>
  </si>
  <si>
    <t>07ABKFA0381K1ZD</t>
  </si>
  <si>
    <t>ANDEES CONSULTING</t>
  </si>
  <si>
    <t>ACL/2022-23/165</t>
  </si>
  <si>
    <t>30/03/2023</t>
  </si>
  <si>
    <t>ITLP23-24/15179</t>
  </si>
  <si>
    <t>28/09/2023</t>
  </si>
  <si>
    <t>ITLP23-24/17231</t>
  </si>
  <si>
    <t>06AQSPJ1170C1Z2</t>
  </si>
  <si>
    <t>Party Stuff</t>
  </si>
  <si>
    <t>IN-8483</t>
  </si>
  <si>
    <t>DL-2324-83396</t>
  </si>
  <si>
    <t>30/09/2023</t>
  </si>
  <si>
    <t>07AAKFP8057E1Z0</t>
  </si>
  <si>
    <t>PLASTIC CENTRE</t>
  </si>
  <si>
    <t>PC/0438</t>
  </si>
  <si>
    <t>06/09/2023</t>
  </si>
  <si>
    <t>2023907R00004635</t>
  </si>
  <si>
    <t>2023907R00004636</t>
  </si>
  <si>
    <t>2023907R00004637</t>
  </si>
  <si>
    <t>CF/23-24/33185</t>
  </si>
  <si>
    <t>23-24/0856</t>
  </si>
  <si>
    <t>16/09/2023</t>
  </si>
  <si>
    <t>23-24/0857</t>
  </si>
  <si>
    <t>KI/2023-24/00248</t>
  </si>
  <si>
    <t>15/09/2023</t>
  </si>
  <si>
    <t>MAP2427340072090</t>
  </si>
  <si>
    <t>07AAECB8476A1ZR</t>
  </si>
  <si>
    <t>BUDWHITE TEAS PRIVATE LIMITED.</t>
  </si>
  <si>
    <t>2023-G0607</t>
  </si>
  <si>
    <t>01/09/2023</t>
  </si>
  <si>
    <t>09AAACE3832D1Z0</t>
  </si>
  <si>
    <t>EVERFAST FREIGHT FORWARDERS PVT LTD</t>
  </si>
  <si>
    <t>UPAE/04592/23-24</t>
  </si>
  <si>
    <t>11/09/2023</t>
  </si>
  <si>
    <t>UPAE/04593/23-24</t>
  </si>
  <si>
    <t>7731009290</t>
  </si>
  <si>
    <t>7825182010</t>
  </si>
  <si>
    <t>06ABECS2289K1ZY</t>
  </si>
  <si>
    <t>SCALENUT TECHNOLOGIES PRIVATE LIMITED</t>
  </si>
  <si>
    <t>FY23-24/1496</t>
  </si>
  <si>
    <t>FY23-24/1510</t>
  </si>
  <si>
    <t>DL641/23-24</t>
  </si>
  <si>
    <t>23/09/2023</t>
  </si>
  <si>
    <t>DL659/23-24</t>
  </si>
  <si>
    <t>27/09/2023</t>
  </si>
  <si>
    <t>IN230930V0220410</t>
  </si>
  <si>
    <t>ADS-2324-383437</t>
  </si>
  <si>
    <t>KA-2324-1596153</t>
  </si>
  <si>
    <t>KA-2324-1705596</t>
  </si>
  <si>
    <t>07AAGPG1352F1Z6</t>
  </si>
  <si>
    <t>GOKUL INTERNATIONAL</t>
  </si>
  <si>
    <t>66/2023-24</t>
  </si>
  <si>
    <t>13/09/2023</t>
  </si>
  <si>
    <t>30AAECT8346F6ZC</t>
  </si>
  <si>
    <t>I300000001191193</t>
  </si>
  <si>
    <t>24/09/2023</t>
  </si>
  <si>
    <t>06FAHPB8371P2Z4</t>
  </si>
  <si>
    <t>VYOM PACKAGING</t>
  </si>
  <si>
    <t>64</t>
  </si>
  <si>
    <t>91</t>
  </si>
  <si>
    <t>14/09/2023</t>
  </si>
  <si>
    <t>93</t>
  </si>
  <si>
    <t>18/09/2023</t>
  </si>
  <si>
    <t>95</t>
  </si>
  <si>
    <t>21/09/2023</t>
  </si>
  <si>
    <t>FIN23157</t>
  </si>
  <si>
    <t>FIN23204</t>
  </si>
  <si>
    <t>FIN23012</t>
  </si>
  <si>
    <t>04/04/2023</t>
  </si>
  <si>
    <t>09011112</t>
  </si>
  <si>
    <t>FIN23064</t>
  </si>
  <si>
    <t>09/05/2023</t>
  </si>
  <si>
    <t>FIN23221</t>
  </si>
  <si>
    <t>FIN23249</t>
  </si>
  <si>
    <t>FIN23255</t>
  </si>
  <si>
    <t>02/09/2023</t>
  </si>
  <si>
    <t>33ABBFA2725J1ZT</t>
  </si>
  <si>
    <t>AVATAA BEVERAGES</t>
  </si>
  <si>
    <t>23-24/782</t>
  </si>
  <si>
    <t>1070815840</t>
  </si>
  <si>
    <t>1070820026</t>
  </si>
  <si>
    <t>BB/1056</t>
  </si>
  <si>
    <t>04/09/2023</t>
  </si>
  <si>
    <t>BB/1252</t>
  </si>
  <si>
    <t>29/09/2023</t>
  </si>
  <si>
    <t>GST/23-24/0402</t>
  </si>
  <si>
    <t>GST/23-24/0403</t>
  </si>
  <si>
    <t>GST/23-24/0404</t>
  </si>
  <si>
    <t>GST/23-24/0405</t>
  </si>
  <si>
    <t>GST/23-24/0406</t>
  </si>
  <si>
    <t>GST/23-24/0410</t>
  </si>
  <si>
    <t>GST/23-24/0411</t>
  </si>
  <si>
    <t>GST/23-24/0413</t>
  </si>
  <si>
    <t>GST/23-24/0416</t>
  </si>
  <si>
    <t>GST/23-24/0417</t>
  </si>
  <si>
    <t>GST/23-24/0421</t>
  </si>
  <si>
    <t>GST/23-24/0422</t>
  </si>
  <si>
    <t>GST/23-24/0423</t>
  </si>
  <si>
    <t>GST/23-24/0427</t>
  </si>
  <si>
    <t>GST/23-24/0428</t>
  </si>
  <si>
    <t>GST/23-24/0431</t>
  </si>
  <si>
    <t>GST/23-24/0432</t>
  </si>
  <si>
    <t>GST/23-24/0433</t>
  </si>
  <si>
    <t>GST/23-24/0436</t>
  </si>
  <si>
    <t>GST/23-24/0437</t>
  </si>
  <si>
    <t>GST/23-24/0438</t>
  </si>
  <si>
    <t>GST/23-24/0440</t>
  </si>
  <si>
    <t>GST/23-24/0443</t>
  </si>
  <si>
    <t>GST/23-24/0444</t>
  </si>
  <si>
    <t>GST/23-24/0445</t>
  </si>
  <si>
    <t>GST/23-24/0448</t>
  </si>
  <si>
    <t>GST/23-24/0451</t>
  </si>
  <si>
    <t>GST/23-24/0452</t>
  </si>
  <si>
    <t>GST/23-24/0453</t>
  </si>
  <si>
    <t>GST/23-24/0459</t>
  </si>
  <si>
    <t>GST/23-24/0462</t>
  </si>
  <si>
    <t>GST/23-24/0464</t>
  </si>
  <si>
    <t>GST/23-24/0465</t>
  </si>
  <si>
    <t>GST/23-24/0466</t>
  </si>
  <si>
    <t>GST/23-24/0469</t>
  </si>
  <si>
    <t>GST/23-24/0471</t>
  </si>
  <si>
    <t>GST/23-24/0472</t>
  </si>
  <si>
    <t>GST/23-24/0474</t>
  </si>
  <si>
    <t>GST/23-24/0477</t>
  </si>
  <si>
    <t>GST/23-24/0478</t>
  </si>
  <si>
    <t>GST/23-24/0482</t>
  </si>
  <si>
    <t>GST/23-24/0483</t>
  </si>
  <si>
    <t>GST/23-24/0484</t>
  </si>
  <si>
    <t>GST/23-24/0485</t>
  </si>
  <si>
    <t>GST/23-24/0486</t>
  </si>
  <si>
    <t>GST/23-24/0488</t>
  </si>
  <si>
    <t>GST/23-24/0489</t>
  </si>
  <si>
    <t>GST/23-24/0491</t>
  </si>
  <si>
    <t>GST/23-24/0492</t>
  </si>
  <si>
    <t>GST/23-24/0493</t>
  </si>
  <si>
    <t>GST/23-24/0494</t>
  </si>
  <si>
    <t>GST/23-24/0497</t>
  </si>
  <si>
    <t>GST/23-24/0498</t>
  </si>
  <si>
    <t>GST/23-24/0500</t>
  </si>
  <si>
    <t>GST/23-24/0502</t>
  </si>
  <si>
    <t>GST/23-24/0505</t>
  </si>
  <si>
    <t>GST/23-24/0508</t>
  </si>
  <si>
    <t>GST/23-24/0512</t>
  </si>
  <si>
    <t>GST/23-24/0513</t>
  </si>
  <si>
    <t>GST/23-24/0516</t>
  </si>
  <si>
    <t>GST/23-24/0517</t>
  </si>
  <si>
    <t>GST/23-24/0518</t>
  </si>
  <si>
    <t>GST/23-24/0520</t>
  </si>
  <si>
    <t>GST/23-24/0523</t>
  </si>
  <si>
    <t>GST/23-24/0525</t>
  </si>
  <si>
    <t>GST/23-24/0527</t>
  </si>
  <si>
    <t>GST/23-24/0528</t>
  </si>
  <si>
    <t>GST/23-24/0531</t>
  </si>
  <si>
    <t>GST/23-24/0533</t>
  </si>
  <si>
    <t>GST/23-24/0536</t>
  </si>
  <si>
    <t>GST/23-24/0538</t>
  </si>
  <si>
    <t>03/09/2023</t>
  </si>
  <si>
    <t>GST/23-24/0540</t>
  </si>
  <si>
    <t>GST/23-24/0541</t>
  </si>
  <si>
    <t>GST/23-24/0543</t>
  </si>
  <si>
    <t>05/09/2023</t>
  </si>
  <si>
    <t>GST/23-24/0544</t>
  </si>
  <si>
    <t>GST/23-24/0546</t>
  </si>
  <si>
    <t>GST/23-24/0549</t>
  </si>
  <si>
    <t>07/09/2023</t>
  </si>
  <si>
    <t>GST/23-24/0553</t>
  </si>
  <si>
    <t>08/09/2023</t>
  </si>
  <si>
    <t>GST/23-24/0556</t>
  </si>
  <si>
    <t>GST/23-24/0558</t>
  </si>
  <si>
    <t>09/09/2023</t>
  </si>
  <si>
    <t>GST/23-24/0559</t>
  </si>
  <si>
    <t>GST/23-24/0561</t>
  </si>
  <si>
    <t>GST/23-24/0562</t>
  </si>
  <si>
    <t>GST/23-24/0564</t>
  </si>
  <si>
    <t>10/09/2023</t>
  </si>
  <si>
    <t>GST/23-24/0565</t>
  </si>
  <si>
    <t>GST/23-24/0566</t>
  </si>
  <si>
    <t>GST/23-24/0571</t>
  </si>
  <si>
    <t>12/09/2023</t>
  </si>
  <si>
    <t>GST/23-24/0572</t>
  </si>
  <si>
    <t>GST/23-24/0573</t>
  </si>
  <si>
    <t>GST/23-24/0576</t>
  </si>
  <si>
    <t>GST/23-24/0577</t>
  </si>
  <si>
    <t>GST/23-24/0579</t>
  </si>
  <si>
    <t>GST/23-24/0580</t>
  </si>
  <si>
    <t>GST/23-24/0581</t>
  </si>
  <si>
    <t>GST/23-24/0584</t>
  </si>
  <si>
    <t>GST/23-24/0585</t>
  </si>
  <si>
    <t>GST/23-24/0586</t>
  </si>
  <si>
    <t>GST/23-24/0587</t>
  </si>
  <si>
    <t>GST/23-24/0589</t>
  </si>
  <si>
    <t>GST/23-24/0591</t>
  </si>
  <si>
    <t>GST/23-24/0596</t>
  </si>
  <si>
    <t>GST/23-24/0597</t>
  </si>
  <si>
    <t>GST/23-24/0599</t>
  </si>
  <si>
    <t>19/09/2023</t>
  </si>
  <si>
    <t>GST/23-24/0600</t>
  </si>
  <si>
    <t>GST/23-24/0601</t>
  </si>
  <si>
    <t>GST/23-24/0603</t>
  </si>
  <si>
    <t>20/09/2023</t>
  </si>
  <si>
    <t>GST/23-24/0605</t>
  </si>
  <si>
    <t>GST/23-24/0607</t>
  </si>
  <si>
    <t>GST/23-24/0609</t>
  </si>
  <si>
    <t>22/09/2023</t>
  </si>
  <si>
    <t>GST/23-24/0610</t>
  </si>
  <si>
    <t>GST/23-24/0612</t>
  </si>
  <si>
    <t>GST/23-24/0614</t>
  </si>
  <si>
    <t>GST/23-24/0616</t>
  </si>
  <si>
    <t>GST/23-24/0618</t>
  </si>
  <si>
    <t>GST/23-24/0620</t>
  </si>
  <si>
    <t>25/09/2023</t>
  </si>
  <si>
    <t>GST/23-24/0621</t>
  </si>
  <si>
    <t>GST/23-24/0623</t>
  </si>
  <si>
    <t>GST/23-24/0625</t>
  </si>
  <si>
    <t>GST/23-24/0626</t>
  </si>
  <si>
    <t>GST/23-24/0631</t>
  </si>
  <si>
    <t>GST/23-24/0632</t>
  </si>
  <si>
    <t>GST/23-24/0633</t>
  </si>
  <si>
    <t>GST/23-24/0634</t>
  </si>
  <si>
    <t>GST/23-24/0637</t>
  </si>
  <si>
    <t>GST/23-24/0638</t>
  </si>
  <si>
    <t>GST/23-24/0640</t>
  </si>
  <si>
    <t>GST/23-24/0641</t>
  </si>
  <si>
    <t>GST/23-24/0642</t>
  </si>
  <si>
    <t>06AAKFD2595D1ZH</t>
  </si>
  <si>
    <t>DEALSFLOW TRAINING SERVICES</t>
  </si>
  <si>
    <t>DTS/2023-24/336</t>
  </si>
  <si>
    <t>202309P00003630</t>
  </si>
  <si>
    <t>PMBE23/09/0046</t>
  </si>
  <si>
    <t>PMBE23/09/0047</t>
  </si>
  <si>
    <t>PMBE23/09/0048</t>
  </si>
  <si>
    <t>PMBE23/09/0049</t>
  </si>
  <si>
    <t>PMBE23/09/0373</t>
  </si>
  <si>
    <t>PMBE23/09/0374</t>
  </si>
  <si>
    <t>PMBE23/09/0378</t>
  </si>
  <si>
    <t>PMBE23/09/0442</t>
  </si>
  <si>
    <t>PMBE23/09/0447</t>
  </si>
  <si>
    <t>0135230926105977</t>
  </si>
  <si>
    <t>0138231012095757</t>
  </si>
  <si>
    <t>0138231016061392</t>
  </si>
  <si>
    <t>0138231018501416</t>
  </si>
  <si>
    <t>AE/2023-24/089</t>
  </si>
  <si>
    <t>06CFBPM6709N1Z3</t>
  </si>
  <si>
    <t>URBAN LITES</t>
  </si>
  <si>
    <t>DEL4-452</t>
  </si>
  <si>
    <t>TI-0653/23-24</t>
  </si>
  <si>
    <t>TI-0656/23-24</t>
  </si>
  <si>
    <t>TI-0657/23-24</t>
  </si>
  <si>
    <t>DL1232409BU08105</t>
  </si>
  <si>
    <t>AM09/23-24/461</t>
  </si>
  <si>
    <t>POS3009234583337</t>
  </si>
  <si>
    <t>POS3009234604688</t>
  </si>
  <si>
    <t>F23/24-0410</t>
  </si>
  <si>
    <t>4816280917</t>
  </si>
  <si>
    <t>4821496001</t>
  </si>
  <si>
    <t>24AADCS2724B1ZY</t>
  </si>
  <si>
    <t>SWISS PAC  PVT.LTD</t>
  </si>
  <si>
    <t>9529</t>
  </si>
  <si>
    <t>1061</t>
  </si>
  <si>
    <t>903</t>
  </si>
  <si>
    <t>07AADFR0299P1ZM</t>
  </si>
  <si>
    <t>R.A. AIRLINKERS &amp; TRAVELS</t>
  </si>
  <si>
    <t>GST2023/24-705</t>
  </si>
  <si>
    <t>ADS314-102765097</t>
  </si>
  <si>
    <t>ADS314-102767219</t>
  </si>
  <si>
    <t>ADS314-102769345</t>
  </si>
  <si>
    <t>ADS314-102771291</t>
  </si>
  <si>
    <t>ADS314-102773620</t>
  </si>
  <si>
    <t>ADS314-102775975</t>
  </si>
  <si>
    <t>ADS314-102778271</t>
  </si>
  <si>
    <t>ADS314-102780249</t>
  </si>
  <si>
    <t>ADS314-102782280</t>
  </si>
  <si>
    <t>ADS314-102784189</t>
  </si>
  <si>
    <t>ADS314-102786240</t>
  </si>
  <si>
    <t>ADS314-102788325</t>
  </si>
  <si>
    <t>ADS314-102790598</t>
  </si>
  <si>
    <t>ADS314-102793022</t>
  </si>
  <si>
    <t>ADS314-102795589</t>
  </si>
  <si>
    <t>ADS314-102797747</t>
  </si>
  <si>
    <t>ADS314-102799841</t>
  </si>
  <si>
    <t>17/09/2023</t>
  </si>
  <si>
    <t>ADS314-102802090</t>
  </si>
  <si>
    <t>ADS314-102804333</t>
  </si>
  <si>
    <t>ADS314-102806646</t>
  </si>
  <si>
    <t>ADS314-102808956</t>
  </si>
  <si>
    <t>ADS314-102811257</t>
  </si>
  <si>
    <t>ADS314-102813458</t>
  </si>
  <si>
    <t>ADS314-102815454</t>
  </si>
  <si>
    <t>ADS314-102817563</t>
  </si>
  <si>
    <t>ADS314-102819780</t>
  </si>
  <si>
    <t>ADS314-102821972</t>
  </si>
  <si>
    <t>ADS314-102824294</t>
  </si>
  <si>
    <t>ADS314-102826613</t>
  </si>
  <si>
    <t>ADS314-102829732</t>
  </si>
  <si>
    <t>07AADCD2920Q1ZG</t>
  </si>
  <si>
    <t>DEALSFLOW VENTURES CONSULTANTS PRIVATE LIMITED</t>
  </si>
  <si>
    <t>MPWR/23-24/339</t>
  </si>
  <si>
    <t>601/2023-2024</t>
  </si>
  <si>
    <t>19ADDFS6728B1Z1</t>
  </si>
  <si>
    <t>SERENITY TEA LLP</t>
  </si>
  <si>
    <t>RST/2023-24/131</t>
  </si>
  <si>
    <t>RST/2023-24/138</t>
  </si>
  <si>
    <t>GST/1342/23-24</t>
  </si>
  <si>
    <t>BFE/2023-24/183</t>
  </si>
  <si>
    <t>BFE/2023-24/203</t>
  </si>
  <si>
    <t>D300000000090517</t>
  </si>
  <si>
    <t>6</t>
  </si>
  <si>
    <t>09AACCP7457K1ZV</t>
  </si>
  <si>
    <t>M/S PINE LABS PVT LTD</t>
  </si>
  <si>
    <t>CRN092309018477</t>
  </si>
  <si>
    <t>KA22-CN-01883345</t>
  </si>
  <si>
    <t>KA22-CN-02020778</t>
  </si>
  <si>
    <t>KA22-CN-02090973</t>
  </si>
  <si>
    <t>KA22-CN-02169396</t>
  </si>
  <si>
    <t>1070821484</t>
  </si>
  <si>
    <t>12/10/2023</t>
  </si>
  <si>
    <t>1070822189</t>
  </si>
  <si>
    <t>16/10/2023</t>
  </si>
  <si>
    <t>24GQEPS4880Q1ZV</t>
  </si>
  <si>
    <t>BHAVESHWAR CORPORATION</t>
  </si>
  <si>
    <t>IN-2974</t>
  </si>
  <si>
    <t>0138231025099404</t>
  </si>
  <si>
    <t>03/10/2023</t>
  </si>
  <si>
    <t>0138231029321665</t>
  </si>
  <si>
    <t>ADS-2324-471206</t>
  </si>
  <si>
    <t>31/10/2023</t>
  </si>
  <si>
    <t>KA-2324-1931055</t>
  </si>
  <si>
    <t>KA-2324-1999962</t>
  </si>
  <si>
    <t>RPF-23-13713</t>
  </si>
  <si>
    <t>19/10/2023</t>
  </si>
  <si>
    <t>07AACCV1726H1ZG</t>
  </si>
  <si>
    <t>Croma</t>
  </si>
  <si>
    <t>SLA055355027244</t>
  </si>
  <si>
    <t>24/10/2023</t>
  </si>
  <si>
    <t>07AACPN0929R1Z9</t>
  </si>
  <si>
    <t>Murphy Mfg &amp; Trading Corporation</t>
  </si>
  <si>
    <t>SH/23-24/60</t>
  </si>
  <si>
    <t>28/10/2023</t>
  </si>
  <si>
    <t>MAP2430419268428</t>
  </si>
  <si>
    <t>1081</t>
  </si>
  <si>
    <t>1240</t>
  </si>
  <si>
    <t>202310P00003595</t>
  </si>
  <si>
    <t>7740638691</t>
  </si>
  <si>
    <t>11/10/2023</t>
  </si>
  <si>
    <t>7826547837</t>
  </si>
  <si>
    <t>AE/2023-24/102</t>
  </si>
  <si>
    <t>CF/23-24/41641</t>
  </si>
  <si>
    <t>33AABCT1206H1ZX</t>
  </si>
  <si>
    <t>THE UNITED NILGIRI TEA ESTATES COMPANY LIMITED</t>
  </si>
  <si>
    <t>UNTE/PT/K/0055</t>
  </si>
  <si>
    <t>14/10/2023</t>
  </si>
  <si>
    <t>IN231031V0205449</t>
  </si>
  <si>
    <t>RST/2023-24/164</t>
  </si>
  <si>
    <t>RST/2023-24/166</t>
  </si>
  <si>
    <t>13/10/2023</t>
  </si>
  <si>
    <t>RST/2023-24/169</t>
  </si>
  <si>
    <t>18/10/2023</t>
  </si>
  <si>
    <t>RST/2023-24/173</t>
  </si>
  <si>
    <t>26/10/2023</t>
  </si>
  <si>
    <t>DL709/23-24</t>
  </si>
  <si>
    <t>07/10/2023</t>
  </si>
  <si>
    <t>DL853/23-24</t>
  </si>
  <si>
    <t>23-24/0953</t>
  </si>
  <si>
    <t>05/10/2023</t>
  </si>
  <si>
    <t>23-24/0977</t>
  </si>
  <si>
    <t>10/10/2023</t>
  </si>
  <si>
    <t>23-24/1048</t>
  </si>
  <si>
    <t>22/10/2023</t>
  </si>
  <si>
    <t>AM10/23-24/454</t>
  </si>
  <si>
    <t>30/10/2023</t>
  </si>
  <si>
    <t>856</t>
  </si>
  <si>
    <t>541</t>
  </si>
  <si>
    <t>563</t>
  </si>
  <si>
    <t>594</t>
  </si>
  <si>
    <t>25/10/2023</t>
  </si>
  <si>
    <t>601</t>
  </si>
  <si>
    <t>ADS314-102831755</t>
  </si>
  <si>
    <t>01/10/2023</t>
  </si>
  <si>
    <t>ADS314-102833793</t>
  </si>
  <si>
    <t>02/10/2023</t>
  </si>
  <si>
    <t>ADS314-102836018</t>
  </si>
  <si>
    <t>ADS314-102838323</t>
  </si>
  <si>
    <t>04/10/2023</t>
  </si>
  <si>
    <t>ADS314-102840458</t>
  </si>
  <si>
    <t>ADS314-102842611</t>
  </si>
  <si>
    <t>06/10/2023</t>
  </si>
  <si>
    <t>ADS314-102844594</t>
  </si>
  <si>
    <t>ADS314-102848653</t>
  </si>
  <si>
    <t>09/10/2023</t>
  </si>
  <si>
    <t>ADS314-102850806</t>
  </si>
  <si>
    <t>ADS314-102852938</t>
  </si>
  <si>
    <t>ADS314-102855106</t>
  </si>
  <si>
    <t>ADS314-102857284</t>
  </si>
  <si>
    <t>ADS314-102859387</t>
  </si>
  <si>
    <t>ADS314-102861718</t>
  </si>
  <si>
    <t>15/10/2023</t>
  </si>
  <si>
    <t>ADS314-102863806</t>
  </si>
  <si>
    <t>ADS314-102865969</t>
  </si>
  <si>
    <t>17/10/2023</t>
  </si>
  <si>
    <t>ADS314-102868175</t>
  </si>
  <si>
    <t>ADS314-102870444</t>
  </si>
  <si>
    <t>ADS314-102872566</t>
  </si>
  <si>
    <t>20/10/2023</t>
  </si>
  <si>
    <t>ADS314-102874683</t>
  </si>
  <si>
    <t>21/10/2023</t>
  </si>
  <si>
    <t>ADS314-102876669</t>
  </si>
  <si>
    <t>ADS314-102878815</t>
  </si>
  <si>
    <t>23/10/2023</t>
  </si>
  <si>
    <t>ADS314-102880932</t>
  </si>
  <si>
    <t>ADS314-102884079</t>
  </si>
  <si>
    <t>ADS314-102886468</t>
  </si>
  <si>
    <t>ADS314-102888784</t>
  </si>
  <si>
    <t>27/10/2023</t>
  </si>
  <si>
    <t>ADS314-102891180</t>
  </si>
  <si>
    <t>ADS314-102893186</t>
  </si>
  <si>
    <t>29/10/2023</t>
  </si>
  <si>
    <t>ADS314-102895167</t>
  </si>
  <si>
    <t>ADS314-102898094</t>
  </si>
  <si>
    <t>07AAECT8346F1Z6</t>
  </si>
  <si>
    <t>TATA SIA AIRLINES LIMITED</t>
  </si>
  <si>
    <t>I070000016727478</t>
  </si>
  <si>
    <t>07AABCL9950A1ZN</t>
  </si>
  <si>
    <t>LIBERTY GENERAL INSURANCE LIMITED</t>
  </si>
  <si>
    <t>0723011000551421</t>
  </si>
  <si>
    <t>29AABCF0520E1Z7</t>
  </si>
  <si>
    <t>EBIX TRAVELS PRIVATE LIMITED</t>
  </si>
  <si>
    <t>BS2324A1988036</t>
  </si>
  <si>
    <t>09BACPS3034H1ZQ</t>
  </si>
  <si>
    <t>BRIDGE 2 SHOPPING</t>
  </si>
  <si>
    <t>YNP4-15862</t>
  </si>
  <si>
    <t>30AABCC6190R1ZE</t>
  </si>
  <si>
    <t>Royal Orchid Beach Resort and Spa, Goa</t>
  </si>
  <si>
    <t>ROBG-23245465</t>
  </si>
  <si>
    <t>ROBG-23245466</t>
  </si>
  <si>
    <t>24ADGPK1915M1ZK</t>
  </si>
  <si>
    <t>VIRVA ENTERPRISE</t>
  </si>
  <si>
    <t>AMD2-6</t>
  </si>
  <si>
    <t>689/2023-2024</t>
  </si>
  <si>
    <t>BFE/2023-24/244</t>
  </si>
  <si>
    <t>ST/2324/3634</t>
  </si>
  <si>
    <t>KI/2023-24/00298</t>
  </si>
  <si>
    <t>KI/2023-24/00309</t>
  </si>
  <si>
    <t>KI/2023-24/00312</t>
  </si>
  <si>
    <t>KI/2023-24/00329</t>
  </si>
  <si>
    <t>KI/2023-24/00344</t>
  </si>
  <si>
    <t>27EQIPS9326D1ZF</t>
  </si>
  <si>
    <t>SALESMAZA INTERNATIONAL</t>
  </si>
  <si>
    <t>RWJD-75003</t>
  </si>
  <si>
    <t>07AALFM4168N1ZN</t>
  </si>
  <si>
    <t>M L PURI &amp; COMPANY</t>
  </si>
  <si>
    <t>207</t>
  </si>
  <si>
    <t>00440092</t>
  </si>
  <si>
    <t>M06AI24I10735258</t>
  </si>
  <si>
    <t>07AEYPC4108H1ZG</t>
  </si>
  <si>
    <t>INCYBER MEDIA AND TECHNOLOGIES</t>
  </si>
  <si>
    <t>127570</t>
  </si>
  <si>
    <t>09AAICB5550B1ZW</t>
  </si>
  <si>
    <t>BIZCON FINTECH LABS PRIVATE LIMITED</t>
  </si>
  <si>
    <t>INV-23-24-2506</t>
  </si>
  <si>
    <t>4835204226</t>
  </si>
  <si>
    <t>4842350492</t>
  </si>
  <si>
    <t>PMBE23/10/0023</t>
  </si>
  <si>
    <t>PMBE23/10/0024</t>
  </si>
  <si>
    <t>PMBE23/10/0030</t>
  </si>
  <si>
    <t>PMBE23/10/0031</t>
  </si>
  <si>
    <t>PMBE23/10/0032</t>
  </si>
  <si>
    <t>PMBE23/10/0039</t>
  </si>
  <si>
    <t>PMBE23/10/0040</t>
  </si>
  <si>
    <t>PMBE23/10/0049</t>
  </si>
  <si>
    <t>PMBE23/10/0542</t>
  </si>
  <si>
    <t>PMBE23/10/0543</t>
  </si>
  <si>
    <t>PMBE23/10/0544</t>
  </si>
  <si>
    <t>PMBE23/10/0545</t>
  </si>
  <si>
    <t>PMBE23/10/0549</t>
  </si>
  <si>
    <t>PMBE23/10/0550</t>
  </si>
  <si>
    <t>07MGJPS5743R1Z3</t>
  </si>
  <si>
    <t>HOARD</t>
  </si>
  <si>
    <t>DEX8-4173</t>
  </si>
  <si>
    <t>30ACZPR2963C1ZE</t>
  </si>
  <si>
    <t>EVENT BAZAAR</t>
  </si>
  <si>
    <t>EBSRC/23-24/027</t>
  </si>
  <si>
    <t>19AACCA7502N1ZH</t>
  </si>
  <si>
    <t>APURVA ORGANICS LTD</t>
  </si>
  <si>
    <t>AO/PM/23-24/0016</t>
  </si>
  <si>
    <t>AO/PM/23-24/0017</t>
  </si>
  <si>
    <t>AO/PT/23-24/218</t>
  </si>
  <si>
    <t>2023A07R00001588</t>
  </si>
  <si>
    <t>2023A07R00001589</t>
  </si>
  <si>
    <t>2023A07R00001590</t>
  </si>
  <si>
    <t>2023A07R00001591</t>
  </si>
  <si>
    <t>ITLP23-24/17667</t>
  </si>
  <si>
    <t>ITLP23-24/19266</t>
  </si>
  <si>
    <t>07AACCO4128Q1Z2</t>
  </si>
  <si>
    <t>Go Digit General Insurance Limited</t>
  </si>
  <si>
    <t>IA101610616</t>
  </si>
  <si>
    <t>IA101704245</t>
  </si>
  <si>
    <t>DL-2324-107236</t>
  </si>
  <si>
    <t>07DQHPG8910H1ZR</t>
  </si>
  <si>
    <t>PALAK DIGITAL</t>
  </si>
  <si>
    <t>PD/0068/23-24</t>
  </si>
  <si>
    <t>29AACCF6368D1ZI</t>
  </si>
  <si>
    <t>Fashnear Technologies Private Limited</t>
  </si>
  <si>
    <t>IN/10/23/895860</t>
  </si>
  <si>
    <t>889</t>
  </si>
  <si>
    <t>27AUCPS2171G1ZM</t>
  </si>
  <si>
    <t>C.B.SHAH &amp; CO.</t>
  </si>
  <si>
    <t>C-3008/2023-24</t>
  </si>
  <si>
    <t>07BBMPN9741F1Z9</t>
  </si>
  <si>
    <t>SHUBIM ENTERPRISES</t>
  </si>
  <si>
    <t>0244</t>
  </si>
  <si>
    <t>CN-DL-SF-1912</t>
  </si>
  <si>
    <t>ADS314-102879340</t>
  </si>
  <si>
    <t>CRN092310038014</t>
  </si>
  <si>
    <t>KA22-CN-02208378</t>
  </si>
  <si>
    <t>KA-2324-2195433</t>
  </si>
  <si>
    <t>30/11/2023</t>
  </si>
  <si>
    <t>KA-2324-2380550</t>
  </si>
  <si>
    <t>KA-2324-2388372</t>
  </si>
  <si>
    <t>2023-24/00784</t>
  </si>
  <si>
    <t>047</t>
  </si>
  <si>
    <t>01/11/2023</t>
  </si>
  <si>
    <t>628</t>
  </si>
  <si>
    <t>06/11/2023</t>
  </si>
  <si>
    <t>674</t>
  </si>
  <si>
    <t>23/11/2023</t>
  </si>
  <si>
    <t>06DABPS6052J1ZI</t>
  </si>
  <si>
    <t>Melady Sales</t>
  </si>
  <si>
    <t>DEL5-8490</t>
  </si>
  <si>
    <t>AE/2023-24/104</t>
  </si>
  <si>
    <t>2023B07R00001149</t>
  </si>
  <si>
    <t>2023B07R00001150</t>
  </si>
  <si>
    <t>2023B07R00001151</t>
  </si>
  <si>
    <t>2023B07R00001152</t>
  </si>
  <si>
    <t>TI/DL/23-24/2747</t>
  </si>
  <si>
    <t>02/11/2023</t>
  </si>
  <si>
    <t>GST/1830/23-24</t>
  </si>
  <si>
    <t>08/11/2023</t>
  </si>
  <si>
    <t>GST/23-24/0646</t>
  </si>
  <si>
    <t>GST/23-24/0647</t>
  </si>
  <si>
    <t>GST/23-24/0650</t>
  </si>
  <si>
    <t>GST/23-24/0652</t>
  </si>
  <si>
    <t>GST/23-24/0654</t>
  </si>
  <si>
    <t>GST/23-24/0656</t>
  </si>
  <si>
    <t>GST/23-24/0657</t>
  </si>
  <si>
    <t>GST/23-24/0658</t>
  </si>
  <si>
    <t>GST/23-24/0660</t>
  </si>
  <si>
    <t>GST/23-24/0662</t>
  </si>
  <si>
    <t>GST/23-24/0663</t>
  </si>
  <si>
    <t>GST/23-24/0666</t>
  </si>
  <si>
    <t>08/10/2023</t>
  </si>
  <si>
    <t>GST/23-24/0667</t>
  </si>
  <si>
    <t>GST/23-24/0669</t>
  </si>
  <si>
    <t>GST/23-24/0670</t>
  </si>
  <si>
    <t>GST/23-24/0671</t>
  </si>
  <si>
    <t>GST/23-24/0674</t>
  </si>
  <si>
    <t>GST/23-24/0675</t>
  </si>
  <si>
    <t>GST/23-24/0678</t>
  </si>
  <si>
    <t>GST/23-24/0680</t>
  </si>
  <si>
    <t>GST/23-24/0682</t>
  </si>
  <si>
    <t>GST/23-24/0685</t>
  </si>
  <si>
    <t>GST/23-24/0686</t>
  </si>
  <si>
    <t>GST/23-24/0691</t>
  </si>
  <si>
    <t>GST/23-24/0692</t>
  </si>
  <si>
    <t>GST/23-24/0696</t>
  </si>
  <si>
    <t>GST/23-24/0697</t>
  </si>
  <si>
    <t>GST/23-24/0698</t>
  </si>
  <si>
    <t>GST/23-24/0701</t>
  </si>
  <si>
    <t>GST/23-24/0702</t>
  </si>
  <si>
    <t>GST/23-24/0704</t>
  </si>
  <si>
    <t>GST/23-24/0705</t>
  </si>
  <si>
    <t>GST/23-24/0706</t>
  </si>
  <si>
    <t>GST/23-24/0707</t>
  </si>
  <si>
    <t>GST/23-24/0708</t>
  </si>
  <si>
    <t>GST/23-24/0711</t>
  </si>
  <si>
    <t>GST/23-24/0712</t>
  </si>
  <si>
    <t>GST/23-24/0713</t>
  </si>
  <si>
    <t>GST/23-24/0714</t>
  </si>
  <si>
    <t>GST/23-24/0717</t>
  </si>
  <si>
    <t>GST/23-24/0722</t>
  </si>
  <si>
    <t>GST/23-24/0723</t>
  </si>
  <si>
    <t>GST/23-24/0726</t>
  </si>
  <si>
    <t>GST/23-24/0727</t>
  </si>
  <si>
    <t>GST/23-24/0730</t>
  </si>
  <si>
    <t>GST/23-24/0731</t>
  </si>
  <si>
    <t>GST/23-24/0732</t>
  </si>
  <si>
    <t>GST/23-24/0735</t>
  </si>
  <si>
    <t>GST/23-24/0737</t>
  </si>
  <si>
    <t>GST/23-24/0738</t>
  </si>
  <si>
    <t>GST/23-24/0739</t>
  </si>
  <si>
    <t>GST/23-24/0741</t>
  </si>
  <si>
    <t>GST/23-24/0742</t>
  </si>
  <si>
    <t>GST/23-24/0743</t>
  </si>
  <si>
    <t>GST/23-24/0744</t>
  </si>
  <si>
    <t>GST/23-24/0746</t>
  </si>
  <si>
    <t>GST/23-24/0748</t>
  </si>
  <si>
    <t>GST/23-24/0749</t>
  </si>
  <si>
    <t>GST/23-24/0753</t>
  </si>
  <si>
    <t>GST/23-24/0754</t>
  </si>
  <si>
    <t>GST/23-24/0755</t>
  </si>
  <si>
    <t>GST/23-24/0759</t>
  </si>
  <si>
    <t>GST/23-24/0760</t>
  </si>
  <si>
    <t>GST/23-24/0761</t>
  </si>
  <si>
    <t>GST/23-24/0762</t>
  </si>
  <si>
    <t>GST/23-24/0766</t>
  </si>
  <si>
    <t>GST/23-24/0769</t>
  </si>
  <si>
    <t>GST/23-24/0770</t>
  </si>
  <si>
    <t>GST/23-24/0771</t>
  </si>
  <si>
    <t>GST/23-24/0773</t>
  </si>
  <si>
    <t>GST/23-24/0776</t>
  </si>
  <si>
    <t>GST/23-24/0777</t>
  </si>
  <si>
    <t>GST/23-24/0778</t>
  </si>
  <si>
    <t>GST/23-24/0781</t>
  </si>
  <si>
    <t>GST/23-24/0784</t>
  </si>
  <si>
    <t>GST/23-24/0785</t>
  </si>
  <si>
    <t>GST/23-24/0786</t>
  </si>
  <si>
    <t>GST/23-24/0789</t>
  </si>
  <si>
    <t>GST/23-24/0790</t>
  </si>
  <si>
    <t>GST/23-24/0791</t>
  </si>
  <si>
    <t>GST/23-24/0793</t>
  </si>
  <si>
    <t>GST/23-24/0795</t>
  </si>
  <si>
    <t>GST/23-24/0798</t>
  </si>
  <si>
    <t>03/11/2023</t>
  </si>
  <si>
    <t>GST/23-24/0800</t>
  </si>
  <si>
    <t>04/11/2023</t>
  </si>
  <si>
    <t>GST/23-24/0803</t>
  </si>
  <si>
    <t>GST/23-24/0804</t>
  </si>
  <si>
    <t>GST/23-24/0806</t>
  </si>
  <si>
    <t>05/11/2023</t>
  </si>
  <si>
    <t>GST/23-24/0808</t>
  </si>
  <si>
    <t>GST/23-24/0812</t>
  </si>
  <si>
    <t>GST/23-24/0813</t>
  </si>
  <si>
    <t>GST/23-24/0814</t>
  </si>
  <si>
    <t>GST/23-24/0817</t>
  </si>
  <si>
    <t>GST/23-24/0818</t>
  </si>
  <si>
    <t>GST/23-24/0819</t>
  </si>
  <si>
    <t>07/11/2023</t>
  </si>
  <si>
    <t>GST/23-24/0824</t>
  </si>
  <si>
    <t>GST/23-24/0825</t>
  </si>
  <si>
    <t>GST/23-24/0826</t>
  </si>
  <si>
    <t>GST/23-24/0828</t>
  </si>
  <si>
    <t>09/11/2023</t>
  </si>
  <si>
    <t>GST/23-24/0829</t>
  </si>
  <si>
    <t>GST/23-24/0831</t>
  </si>
  <si>
    <t>GST/23-24/0834</t>
  </si>
  <si>
    <t>10/11/2023</t>
  </si>
  <si>
    <t>GST/23-24/0835</t>
  </si>
  <si>
    <t>GST/23-24/0838</t>
  </si>
  <si>
    <t>GST/23-24/0841</t>
  </si>
  <si>
    <t>13/11/2023</t>
  </si>
  <si>
    <t>GST/23-24/0842</t>
  </si>
  <si>
    <t>GST/23-24/0845</t>
  </si>
  <si>
    <t>14/11/2023</t>
  </si>
  <si>
    <t>GST/23-24/0847</t>
  </si>
  <si>
    <t>GST/23-24/0849</t>
  </si>
  <si>
    <t>15/11/2023</t>
  </si>
  <si>
    <t>GST/23-24/0852</t>
  </si>
  <si>
    <t>16/11/2023</t>
  </si>
  <si>
    <t>GST/23-24/0853</t>
  </si>
  <si>
    <t>GST/23-24/0856</t>
  </si>
  <si>
    <t>17/11/2023</t>
  </si>
  <si>
    <t>GST/23-24/0860</t>
  </si>
  <si>
    <t>18/11/2023</t>
  </si>
  <si>
    <t>GST/23-24/0864</t>
  </si>
  <si>
    <t>19/11/2023</t>
  </si>
  <si>
    <t>GST/23-24/0866</t>
  </si>
  <si>
    <t>20/11/2023</t>
  </si>
  <si>
    <t>GST/23-24/0867</t>
  </si>
  <si>
    <t>GST/23-24/0871</t>
  </si>
  <si>
    <t>21/11/2023</t>
  </si>
  <si>
    <t>GST/23-24/0873</t>
  </si>
  <si>
    <t>22/11/2023</t>
  </si>
  <si>
    <t>GST/23-24/0876</t>
  </si>
  <si>
    <t>GST/23-24/0881</t>
  </si>
  <si>
    <t>GST/23-24/0883</t>
  </si>
  <si>
    <t>24/11/2023</t>
  </si>
  <si>
    <t>GST/23-24/0886</t>
  </si>
  <si>
    <t>25/11/2023</t>
  </si>
  <si>
    <t>GST/23-24/0888</t>
  </si>
  <si>
    <t>GST/23-24/0891</t>
  </si>
  <si>
    <t>26/11/2023</t>
  </si>
  <si>
    <t>GST/23-24/0893</t>
  </si>
  <si>
    <t>27/11/2023</t>
  </si>
  <si>
    <t>GST/23-24/0894</t>
  </si>
  <si>
    <t>GST/23-24/0896</t>
  </si>
  <si>
    <t>28/11/2023</t>
  </si>
  <si>
    <t>GST/23-24/0899</t>
  </si>
  <si>
    <t>GST/23-24/0901</t>
  </si>
  <si>
    <t>29/11/2023</t>
  </si>
  <si>
    <t>GST/23-24/0903</t>
  </si>
  <si>
    <t>GST/23-24/0904</t>
  </si>
  <si>
    <t>ITLP23-24/20904</t>
  </si>
  <si>
    <t>ITLP23-24/21370</t>
  </si>
  <si>
    <t>07AAACI2601N1ZQ</t>
  </si>
  <si>
    <t>INDO GERMAN CHAMBER OF COMMERCE</t>
  </si>
  <si>
    <t>DETAX168DEL2324</t>
  </si>
  <si>
    <t>07AALCR3173P1ZP</t>
  </si>
  <si>
    <t>RETAILEZ PRIVATE LIMITED</t>
  </si>
  <si>
    <t>YNGD-57451</t>
  </si>
  <si>
    <t>PMBE23/11/0986</t>
  </si>
  <si>
    <t>PMBE23/11/0989</t>
  </si>
  <si>
    <t>PMBE23/11/0993</t>
  </si>
  <si>
    <t>PMBE23/11/1009</t>
  </si>
  <si>
    <t>PMBE23/11/1010</t>
  </si>
  <si>
    <t>EIAB202315031042</t>
  </si>
  <si>
    <t>791/2023-2024</t>
  </si>
  <si>
    <t>RST/2023-24/185</t>
  </si>
  <si>
    <t>RST/2023-24/194</t>
  </si>
  <si>
    <t>4862331853</t>
  </si>
  <si>
    <t>4869136669</t>
  </si>
  <si>
    <t>1260</t>
  </si>
  <si>
    <t>1419</t>
  </si>
  <si>
    <t>09BJGPA9087D1Z4</t>
  </si>
  <si>
    <t>W.A. HANDICRAFTS</t>
  </si>
  <si>
    <t>WAH/2023-24/07</t>
  </si>
  <si>
    <t>WAH/2023-24/08</t>
  </si>
  <si>
    <t>BFE/2023-24/295</t>
  </si>
  <si>
    <t>06AALCR3173P1ZR</t>
  </si>
  <si>
    <t>DEL5-2544870</t>
  </si>
  <si>
    <t>36AACFK0693D2ZJ</t>
  </si>
  <si>
    <t>KAY KAY OVERSEAS CORPORATION</t>
  </si>
  <si>
    <t>HYD3-176386</t>
  </si>
  <si>
    <t>27MLBPS6337L1ZA</t>
  </si>
  <si>
    <t>ASTT. INDIA-A STORY TO TELL</t>
  </si>
  <si>
    <t>AM11/23-24/421</t>
  </si>
  <si>
    <t>ADS314-102900395</t>
  </si>
  <si>
    <t>ADS314-102902630</t>
  </si>
  <si>
    <t>ADS314-102905117</t>
  </si>
  <si>
    <t>ADS314-102907303</t>
  </si>
  <si>
    <t>ADS314-102909312</t>
  </si>
  <si>
    <t>ADS314-102911314</t>
  </si>
  <si>
    <t>ADS314-102913755</t>
  </si>
  <si>
    <t>ADS314-102916051</t>
  </si>
  <si>
    <t>ADS314-102918667</t>
  </si>
  <si>
    <t>ADS314-102920882</t>
  </si>
  <si>
    <t>ADS314-102922974</t>
  </si>
  <si>
    <t>11/11/2023</t>
  </si>
  <si>
    <t>ADS314-102925208</t>
  </si>
  <si>
    <t>12/11/2023</t>
  </si>
  <si>
    <t>ADS314-102927240</t>
  </si>
  <si>
    <t>ADS314-102929565</t>
  </si>
  <si>
    <t>ADS314-102932294</t>
  </si>
  <si>
    <t>ADS314-102934488</t>
  </si>
  <si>
    <t>202311P00003457</t>
  </si>
  <si>
    <t>AO/PT/23-24/248</t>
  </si>
  <si>
    <t>7748896745</t>
  </si>
  <si>
    <t>7828548138</t>
  </si>
  <si>
    <t>DL-2324-122846</t>
  </si>
  <si>
    <t>KI/2023-24/00354</t>
  </si>
  <si>
    <t>KI/2023-24/00358</t>
  </si>
  <si>
    <t>KI/2023-24/00384</t>
  </si>
  <si>
    <t>KI/2023-24/00411</t>
  </si>
  <si>
    <t>KI/2023-24/00420</t>
  </si>
  <si>
    <t>ST/2324/3959</t>
  </si>
  <si>
    <t>CF/23-24/45680</t>
  </si>
  <si>
    <t>0135231120077456</t>
  </si>
  <si>
    <t>0135231130122858</t>
  </si>
  <si>
    <t>0138231047482639</t>
  </si>
  <si>
    <t>VHA/2023-24/564</t>
  </si>
  <si>
    <t>IN231130V0176003</t>
  </si>
  <si>
    <t>05AABCH5181R1Z5</t>
  </si>
  <si>
    <t>M/S HARI OM BIO FOOD PRODUCTS INDIA P LTD</t>
  </si>
  <si>
    <t>HARIOM-2324-401</t>
  </si>
  <si>
    <t>6723/23-24</t>
  </si>
  <si>
    <t>MAP2433400580077</t>
  </si>
  <si>
    <t>23-24/1201</t>
  </si>
  <si>
    <t>23-24/1210</t>
  </si>
  <si>
    <t>2023-G0911</t>
  </si>
  <si>
    <t>2023-G0977</t>
  </si>
  <si>
    <t>ADS314-102945098</t>
  </si>
  <si>
    <t>ADS314-102945624</t>
  </si>
  <si>
    <t>07APZPK7382R1ZH</t>
  </si>
  <si>
    <t>SURESH CHANDRA ANSH KUMAR</t>
  </si>
  <si>
    <t>4050</t>
  </si>
  <si>
    <t>30/12/2023</t>
  </si>
  <si>
    <t>29AAHCG3435D1ZQ</t>
  </si>
  <si>
    <t>GYANKAAR TECHNOLOGIES PRIVATE LIMITED</t>
  </si>
  <si>
    <t>INV-24-GFN94VT2</t>
  </si>
  <si>
    <t>07/12/2023</t>
  </si>
  <si>
    <t>07CUSPP2266H1Z3</t>
  </si>
  <si>
    <t>Siddhi Vinayak Milling Consultant</t>
  </si>
  <si>
    <t>INV-327</t>
  </si>
  <si>
    <t>19/12/2023</t>
  </si>
  <si>
    <t>23-24/1322</t>
  </si>
  <si>
    <t>12/12/2023</t>
  </si>
  <si>
    <t>711</t>
  </si>
  <si>
    <t>06/12/2023</t>
  </si>
  <si>
    <t>09/12/2023</t>
  </si>
  <si>
    <t>754</t>
  </si>
  <si>
    <t>768</t>
  </si>
  <si>
    <t>22/12/2023</t>
  </si>
  <si>
    <t>799</t>
  </si>
  <si>
    <t>910</t>
  </si>
  <si>
    <t>914</t>
  </si>
  <si>
    <t>915</t>
  </si>
  <si>
    <t>916</t>
  </si>
  <si>
    <t>922</t>
  </si>
  <si>
    <t>18/12/2023</t>
  </si>
  <si>
    <t>924</t>
  </si>
  <si>
    <t>20/12/2023</t>
  </si>
  <si>
    <t>928</t>
  </si>
  <si>
    <t>21/12/2023</t>
  </si>
  <si>
    <t>07AGNPA3027G1ZR</t>
  </si>
  <si>
    <t>Computer Solutions</t>
  </si>
  <si>
    <t>23-24/167</t>
  </si>
  <si>
    <t>AM12/23-24/404</t>
  </si>
  <si>
    <t>31/12/2023</t>
  </si>
  <si>
    <t>27CFBPM6709N1ZZ</t>
  </si>
  <si>
    <t>BOM7-938</t>
  </si>
  <si>
    <t>07AADCD1526G2Z0</t>
  </si>
  <si>
    <t>DOZO SERVICES PRIVATE LIMITED</t>
  </si>
  <si>
    <t>DOZO/2324/0678</t>
  </si>
  <si>
    <t>07CAIPK1504R2ZE</t>
  </si>
  <si>
    <t>ARR KAY INDUSTRIES</t>
  </si>
  <si>
    <t>399/23-24</t>
  </si>
  <si>
    <t>04/12/2023</t>
  </si>
  <si>
    <t>TI/DL/23-24/3283</t>
  </si>
  <si>
    <t>08/12/2023</t>
  </si>
  <si>
    <t>TI/DL/23-24/3518</t>
  </si>
  <si>
    <t>0135231218074863</t>
  </si>
  <si>
    <t>ST/2324/4691</t>
  </si>
  <si>
    <t>14/12/2023</t>
  </si>
  <si>
    <t>HARIOM-2324-404</t>
  </si>
  <si>
    <t>02/12/2023</t>
  </si>
  <si>
    <t>AO/PT/23-24/376</t>
  </si>
  <si>
    <t>202312P00003208</t>
  </si>
  <si>
    <t>121</t>
  </si>
  <si>
    <t>29ABBFB1919M1Z9</t>
  </si>
  <si>
    <t>BREWSCAPE LLP</t>
  </si>
  <si>
    <t>0901</t>
  </si>
  <si>
    <t>KA-2324-2528837</t>
  </si>
  <si>
    <t>KA-2324-2578158</t>
  </si>
  <si>
    <t>07BCOPT7832G1Z1</t>
  </si>
  <si>
    <t>Crease Design Works</t>
  </si>
  <si>
    <t>CDW1819270</t>
  </si>
  <si>
    <t>CDW1819282</t>
  </si>
  <si>
    <t>09AALCA0171E1ZX</t>
  </si>
  <si>
    <t>LKO1-3390575</t>
  </si>
  <si>
    <t>00440225</t>
  </si>
  <si>
    <t>KI/2023-24/00438</t>
  </si>
  <si>
    <t>01/12/2023</t>
  </si>
  <si>
    <t>KI/2023-24/00452</t>
  </si>
  <si>
    <t>KI/2023-24/00454</t>
  </si>
  <si>
    <t>KI/2023-24/00473</t>
  </si>
  <si>
    <t>KI/2023-24/00498</t>
  </si>
  <si>
    <t>28/12/2023</t>
  </si>
  <si>
    <t>KI/2023-24/00506</t>
  </si>
  <si>
    <t>2023C07R00005568</t>
  </si>
  <si>
    <t>2023C07R00005569</t>
  </si>
  <si>
    <t>IN231231V0187103</t>
  </si>
  <si>
    <t>CF/23-24/50886</t>
  </si>
  <si>
    <t>1292/2023-24</t>
  </si>
  <si>
    <t>DEL5-4437775</t>
  </si>
  <si>
    <t>RST/2023-24/217</t>
  </si>
  <si>
    <t>4877430380</t>
  </si>
  <si>
    <t>4884952489</t>
  </si>
  <si>
    <t>ITLP23-24/23874</t>
  </si>
  <si>
    <t>ITLP23-24/24564</t>
  </si>
  <si>
    <t>07AAIFD4256H1ZF</t>
  </si>
  <si>
    <t>DNV CREATIONS</t>
  </si>
  <si>
    <t>T-262/23-24</t>
  </si>
  <si>
    <t>07AAFCS7864N1ZK</t>
  </si>
  <si>
    <t>SARASWATI ACCOUNTANTS SOFTWARE PVT LTD</t>
  </si>
  <si>
    <t>SA/6337/23-24</t>
  </si>
  <si>
    <t>13/12/2023</t>
  </si>
  <si>
    <t>SA/6338/23-24</t>
  </si>
  <si>
    <t>09ADZFS7825B1ZG</t>
  </si>
  <si>
    <t>SPEQTA TAXSOFT AND COMPLIANCE LLP</t>
  </si>
  <si>
    <t>SPQ/OFF/23242729</t>
  </si>
  <si>
    <t>26/12/2023</t>
  </si>
  <si>
    <t>19AAACJ7788D1Z7</t>
  </si>
  <si>
    <t>JAY SHREE TEA &amp; INDUSTRIES LIMITED</t>
  </si>
  <si>
    <t>SD24000566</t>
  </si>
  <si>
    <t>BFE/2023-24/320</t>
  </si>
  <si>
    <t>11/12/2023</t>
  </si>
  <si>
    <t>BFE/2023-24/340</t>
  </si>
  <si>
    <t>882/2023-2024</t>
  </si>
  <si>
    <t>GST/23-24/0906</t>
  </si>
  <si>
    <t>GST/23-24/0907</t>
  </si>
  <si>
    <t>GST/23-24/0910</t>
  </si>
  <si>
    <t>GST/23-24/0912</t>
  </si>
  <si>
    <t>03/12/2023</t>
  </si>
  <si>
    <t>GST/23-24/0915</t>
  </si>
  <si>
    <t>GST/23-24/0916</t>
  </si>
  <si>
    <t>GST/23-24/0919</t>
  </si>
  <si>
    <t>GST/23-24/0920</t>
  </si>
  <si>
    <t>GST/23-24/0921</t>
  </si>
  <si>
    <t>GST/23-24/0927</t>
  </si>
  <si>
    <t>GST/23-24/0932</t>
  </si>
  <si>
    <t>GST/23-24/0933</t>
  </si>
  <si>
    <t>GST/23-24/0936</t>
  </si>
  <si>
    <t>GST/23-24/0938</t>
  </si>
  <si>
    <t>GST/23-24/0939</t>
  </si>
  <si>
    <t>GST/23-24/0944</t>
  </si>
  <si>
    <t>10/12/2023</t>
  </si>
  <si>
    <t>GST/23-24/0950</t>
  </si>
  <si>
    <t>GST/23-24/0953</t>
  </si>
  <si>
    <t>GST/23-24/0956</t>
  </si>
  <si>
    <t>15/12/2023</t>
  </si>
  <si>
    <t>GST/23-24/0957</t>
  </si>
  <si>
    <t>GST/23-24/0961</t>
  </si>
  <si>
    <t>16/12/2023</t>
  </si>
  <si>
    <t>GST/23-24/0963</t>
  </si>
  <si>
    <t>17/12/2023</t>
  </si>
  <si>
    <t>GST/23-24/0964</t>
  </si>
  <si>
    <t>GST/23-24/0965</t>
  </si>
  <si>
    <t>GST/23-24/0967</t>
  </si>
  <si>
    <t>GST/23-24/0968</t>
  </si>
  <si>
    <t>GST/23-24/0969</t>
  </si>
  <si>
    <t>GST/23-24/0973</t>
  </si>
  <si>
    <t>GST/23-24/0975</t>
  </si>
  <si>
    <t>GST/23-24/0976</t>
  </si>
  <si>
    <t>GST/23-24/0977</t>
  </si>
  <si>
    <t>GST/23-24/0979</t>
  </si>
  <si>
    <t>GST/23-24/0980</t>
  </si>
  <si>
    <t>GST/23-24/0983</t>
  </si>
  <si>
    <t>GST/23-24/0985</t>
  </si>
  <si>
    <t>23/12/2023</t>
  </si>
  <si>
    <t>GST/23-24/0987</t>
  </si>
  <si>
    <t>24/12/2023</t>
  </si>
  <si>
    <t>GST/23-24/0988</t>
  </si>
  <si>
    <t>GST/23-24/0990</t>
  </si>
  <si>
    <t>GST/23-24/0991</t>
  </si>
  <si>
    <t>25/12/2023</t>
  </si>
  <si>
    <t>GST/23-24/0993</t>
  </si>
  <si>
    <t>GST/23-24/0994</t>
  </si>
  <si>
    <t>GST/23-24/0995</t>
  </si>
  <si>
    <t>GST/23-24/0998</t>
  </si>
  <si>
    <t>GST/23-24/1000</t>
  </si>
  <si>
    <t>27/12/2023</t>
  </si>
  <si>
    <t>GST/23-24/1002</t>
  </si>
  <si>
    <t>GST/23-24/1004</t>
  </si>
  <si>
    <t>GST/23-24/1005</t>
  </si>
  <si>
    <t>GST/23-24/1007</t>
  </si>
  <si>
    <t>GST/23-24/1011</t>
  </si>
  <si>
    <t>29/12/2023</t>
  </si>
  <si>
    <t>GST/23-24/1012</t>
  </si>
  <si>
    <t>GST/23-24/1013</t>
  </si>
  <si>
    <t>7757305800</t>
  </si>
  <si>
    <t>7840806325</t>
  </si>
  <si>
    <t>PMBE23/12/1130</t>
  </si>
  <si>
    <t>PMBE23/12/1131</t>
  </si>
  <si>
    <t>PMBE23/12/1137</t>
  </si>
  <si>
    <t>PMBE23/12/1138</t>
  </si>
  <si>
    <t>PMBE23/12/1139</t>
  </si>
  <si>
    <t>PMBE23/12/1140</t>
  </si>
  <si>
    <t>PMBE23/12/1551</t>
  </si>
  <si>
    <t>PMBE23/12/1554</t>
  </si>
  <si>
    <t>PMBE23/12/1555</t>
  </si>
  <si>
    <t>PMBE23/12/1556</t>
  </si>
  <si>
    <t>PMBE23/12/1559</t>
  </si>
  <si>
    <t>ADS314-102969393</t>
  </si>
  <si>
    <t>ADS314-102971563</t>
  </si>
  <si>
    <t>ADS314-102973675</t>
  </si>
  <si>
    <t>ADS314-102975990</t>
  </si>
  <si>
    <t>ADS314-102978191</t>
  </si>
  <si>
    <t>05/12/2023</t>
  </si>
  <si>
    <t>ADS314-102980585</t>
  </si>
  <si>
    <t>ADS314-102982854</t>
  </si>
  <si>
    <t>ADS314-102985259</t>
  </si>
  <si>
    <t>ADS314-102987523</t>
  </si>
  <si>
    <t>ADS314-102989522</t>
  </si>
  <si>
    <t>ADS314-102993911</t>
  </si>
  <si>
    <t>ADS314-102996200</t>
  </si>
  <si>
    <t>ADS314-102998479</t>
  </si>
  <si>
    <t>ADS314-103002258</t>
  </si>
  <si>
    <t>ADS314-103004387</t>
  </si>
  <si>
    <t>ADS314-103006415</t>
  </si>
  <si>
    <t>ADS314-103008805</t>
  </si>
  <si>
    <t>ADS314-103013512</t>
  </si>
  <si>
    <t>ADS314-103016050</t>
  </si>
  <si>
    <t>ADS314-103018414</t>
  </si>
  <si>
    <t>ADS314-103020612</t>
  </si>
  <si>
    <t>ADS314-103022683</t>
  </si>
  <si>
    <t>ADS314-103024697</t>
  </si>
  <si>
    <t>ADS314-103026749</t>
  </si>
  <si>
    <t>ADS314-103028863</t>
  </si>
  <si>
    <t>ADS314-103030918</t>
  </si>
  <si>
    <t>ADS314-103032856</t>
  </si>
  <si>
    <t>ADS314-103034853</t>
  </si>
  <si>
    <t>ADS314-103037181</t>
  </si>
  <si>
    <t>TI-0954/23-24</t>
  </si>
  <si>
    <t>TI-0955/23-24</t>
  </si>
  <si>
    <t>TI-0956/23-24</t>
  </si>
  <si>
    <t>TI-0957/23-24</t>
  </si>
  <si>
    <t>07AAGFU7461F1ZZ</t>
  </si>
  <si>
    <t>urbane zeal hospitality llp</t>
  </si>
  <si>
    <t>UZH/DL/2023/271</t>
  </si>
  <si>
    <t>1439</t>
  </si>
  <si>
    <t>1599</t>
  </si>
  <si>
    <t>27AABCP1292P1ZZ</t>
  </si>
  <si>
    <t>Pallavi Real Estates Pvt. Ltd.</t>
  </si>
  <si>
    <t>418</t>
  </si>
  <si>
    <t>00441070</t>
  </si>
  <si>
    <t>FIN23313</t>
  </si>
  <si>
    <t>FIN23383</t>
  </si>
  <si>
    <t>FIN23389</t>
  </si>
  <si>
    <t>FIN23417</t>
  </si>
  <si>
    <t>19AADCS6811M1ZY</t>
  </si>
  <si>
    <t>SURAJ CONTAINERS LIMITED</t>
  </si>
  <si>
    <t>163/23-24</t>
  </si>
  <si>
    <t>200/23-24</t>
  </si>
  <si>
    <t>201/23-24</t>
  </si>
  <si>
    <t>211/23-24</t>
  </si>
  <si>
    <t>212/23-24</t>
  </si>
  <si>
    <t>12/23-24-011</t>
  </si>
  <si>
    <t>DL-2324-137955</t>
  </si>
  <si>
    <t>27AABCO3691F1ZE</t>
  </si>
  <si>
    <t>ONSITE ELECTRO SERVICES PRIVATE LIMITED</t>
  </si>
  <si>
    <t>IN-539062</t>
  </si>
  <si>
    <t>09AFSPC5274P1ZM</t>
  </si>
  <si>
    <t>M/S K S R SHOPPING CENTRE</t>
  </si>
  <si>
    <t>4369</t>
  </si>
  <si>
    <t>KA-C-24-1275215</t>
  </si>
  <si>
    <t>13</t>
  </si>
  <si>
    <t>PMBE24/01/1654</t>
  </si>
  <si>
    <t>09/01/2024</t>
  </si>
  <si>
    <t>PMBE24/01/1655</t>
  </si>
  <si>
    <t>PMBE24/01/2147</t>
  </si>
  <si>
    <t>22/01/2024</t>
  </si>
  <si>
    <t>PMBE24/01/2148</t>
  </si>
  <si>
    <t>PMBE24/01/2205</t>
  </si>
  <si>
    <t>30/01/2024</t>
  </si>
  <si>
    <t>PMBE24/01/2206</t>
  </si>
  <si>
    <t>202401P00006022</t>
  </si>
  <si>
    <t>31/01/2024</t>
  </si>
  <si>
    <t>7766291766</t>
  </si>
  <si>
    <t>11/01/2024</t>
  </si>
  <si>
    <t>7840965057</t>
  </si>
  <si>
    <t>ADS314-103038949</t>
  </si>
  <si>
    <t>ADS314-103041221</t>
  </si>
  <si>
    <t>02/01/2024</t>
  </si>
  <si>
    <t>ADS314-103043726</t>
  </si>
  <si>
    <t>03/01/2024</t>
  </si>
  <si>
    <t>ADS314-103045877</t>
  </si>
  <si>
    <t>04/01/2024</t>
  </si>
  <si>
    <t>ADS314-103048049</t>
  </si>
  <si>
    <t>05/01/2024</t>
  </si>
  <si>
    <t>ADS314-103050377</t>
  </si>
  <si>
    <t>06/01/2024</t>
  </si>
  <si>
    <t>ADS314-103052456</t>
  </si>
  <si>
    <t>07/01/2024</t>
  </si>
  <si>
    <t>ADS314-103054942</t>
  </si>
  <si>
    <t>08/01/2024</t>
  </si>
  <si>
    <t>ADS314-103057080</t>
  </si>
  <si>
    <t>ADS314-103059152</t>
  </si>
  <si>
    <t>10/01/2024</t>
  </si>
  <si>
    <t>ADS314-103061067</t>
  </si>
  <si>
    <t>ADS314-103063249</t>
  </si>
  <si>
    <t>12/01/2024</t>
  </si>
  <si>
    <t>ADS314-103065386</t>
  </si>
  <si>
    <t>13/01/2024</t>
  </si>
  <si>
    <t>ADS314-103067535</t>
  </si>
  <si>
    <t>14/01/2024</t>
  </si>
  <si>
    <t>ADS314-103070090</t>
  </si>
  <si>
    <t>15/01/2024</t>
  </si>
  <si>
    <t>ADS314-103072317</t>
  </si>
  <si>
    <t>16/01/2024</t>
  </si>
  <si>
    <t>ADS314-103074634</t>
  </si>
  <si>
    <t>17/01/2024</t>
  </si>
  <si>
    <t>ADS314-103077011</t>
  </si>
  <si>
    <t>18/01/2024</t>
  </si>
  <si>
    <t>ADS314-103079553</t>
  </si>
  <si>
    <t>19/01/2024</t>
  </si>
  <si>
    <t>ADS314-103081839</t>
  </si>
  <si>
    <t>20/01/2024</t>
  </si>
  <si>
    <t>ADS314-103086328</t>
  </si>
  <si>
    <t>ADS314-103088386</t>
  </si>
  <si>
    <t>23/01/2024</t>
  </si>
  <si>
    <t>ADS314-103090652</t>
  </si>
  <si>
    <t>24/01/2024</t>
  </si>
  <si>
    <t>ADS314-103092982</t>
  </si>
  <si>
    <t>25/01/2024</t>
  </si>
  <si>
    <t>ADS314-103095303</t>
  </si>
  <si>
    <t>26/01/2024</t>
  </si>
  <si>
    <t>ADS314-103097520</t>
  </si>
  <si>
    <t>27/01/2024</t>
  </si>
  <si>
    <t>ADS314-103099683</t>
  </si>
  <si>
    <t>28/01/2024</t>
  </si>
  <si>
    <t>ADS314-103101690</t>
  </si>
  <si>
    <t>29/01/2024</t>
  </si>
  <si>
    <t>ADS314-103103856</t>
  </si>
  <si>
    <t>ADS314-103106745</t>
  </si>
  <si>
    <t>0135240129121273</t>
  </si>
  <si>
    <t>0138241062824215</t>
  </si>
  <si>
    <t>UZH/DL/2023/297</t>
  </si>
  <si>
    <t>33AAACH7389C1ZO</t>
  </si>
  <si>
    <t>HAVUKKAL  TEA  AND PRODUCE COMPANY PVT LTD</t>
  </si>
  <si>
    <t>IGST133/23-24</t>
  </si>
  <si>
    <t>1619</t>
  </si>
  <si>
    <t>1780</t>
  </si>
  <si>
    <t>GST/23-24/1016</t>
  </si>
  <si>
    <t>GST/23-24/1017</t>
  </si>
  <si>
    <t>GST/23-24/1018</t>
  </si>
  <si>
    <t>GST/23-24/1022</t>
  </si>
  <si>
    <t>GST/23-24/1024</t>
  </si>
  <si>
    <t>GST/23-24/1027</t>
  </si>
  <si>
    <t>GST/23-24/1028</t>
  </si>
  <si>
    <t>GST/23-24/1030</t>
  </si>
  <si>
    <t>GST/23-24/1031</t>
  </si>
  <si>
    <t>GST/23-24/1033</t>
  </si>
  <si>
    <t>GST/23-24/1035</t>
  </si>
  <si>
    <t>GST/23-24/1036</t>
  </si>
  <si>
    <t>GST/23-24/1038</t>
  </si>
  <si>
    <t>GST/23-24/1039</t>
  </si>
  <si>
    <t>GST/23-24/1042</t>
  </si>
  <si>
    <t>GST/23-24/1043</t>
  </si>
  <si>
    <t>GST/23-24/1046</t>
  </si>
  <si>
    <t>GST/23-24/1050</t>
  </si>
  <si>
    <t>GST/23-24/1051</t>
  </si>
  <si>
    <t>GST/23-24/1052</t>
  </si>
  <si>
    <t>GST/23-24/1057</t>
  </si>
  <si>
    <t>GST/23-24/1058</t>
  </si>
  <si>
    <t>GST/23-24/1061</t>
  </si>
  <si>
    <t>GST/23-24/1063</t>
  </si>
  <si>
    <t>GST/23-24/1066</t>
  </si>
  <si>
    <t>GST/23-24/1067</t>
  </si>
  <si>
    <t>GST/23-24/1070</t>
  </si>
  <si>
    <t>GST/23-24/1071</t>
  </si>
  <si>
    <t>GST/23-24/1073</t>
  </si>
  <si>
    <t>GST/23-24/1074</t>
  </si>
  <si>
    <t>GST/23-24/1077</t>
  </si>
  <si>
    <t>GST/23-24/1079</t>
  </si>
  <si>
    <t>GST/23-24/1081</t>
  </si>
  <si>
    <t>GST/23-24/1083</t>
  </si>
  <si>
    <t>GST/23-24/1085</t>
  </si>
  <si>
    <t>GST/23-24/1087</t>
  </si>
  <si>
    <t>GST/23-24/1088</t>
  </si>
  <si>
    <t>GST/23-24/1089</t>
  </si>
  <si>
    <t>GST/23-24/1090</t>
  </si>
  <si>
    <t>GST/23-24/1092</t>
  </si>
  <si>
    <t>21/01/2024</t>
  </si>
  <si>
    <t>GST/23-24/1093</t>
  </si>
  <si>
    <t>GST/23-24/1096</t>
  </si>
  <si>
    <t>GST/23-24/1097</t>
  </si>
  <si>
    <t>GST/23-24/1099</t>
  </si>
  <si>
    <t>GST/23-24/1101</t>
  </si>
  <si>
    <t>GST/23-24/1104</t>
  </si>
  <si>
    <t>GST/23-24/1105</t>
  </si>
  <si>
    <t>GST/23-24/1109</t>
  </si>
  <si>
    <t>GST/23-24/1111</t>
  </si>
  <si>
    <t>GST/23-24/1112</t>
  </si>
  <si>
    <t>GST/23-24/1113</t>
  </si>
  <si>
    <t>GST/23-24/1115</t>
  </si>
  <si>
    <t>GST/23-24/1117</t>
  </si>
  <si>
    <t>GST/23-24/1120</t>
  </si>
  <si>
    <t>GST/23-24/1121</t>
  </si>
  <si>
    <t>27AAJCC8517E1ZL</t>
  </si>
  <si>
    <t>BOM5-5875878</t>
  </si>
  <si>
    <t>07AABCD3611Q1ZK</t>
  </si>
  <si>
    <t>DHL Express (india) Private Limited</t>
  </si>
  <si>
    <t>DEL888793</t>
  </si>
  <si>
    <t>DEL889946</t>
  </si>
  <si>
    <t>DEL891332</t>
  </si>
  <si>
    <t>DEL891657</t>
  </si>
  <si>
    <t>DEL891699</t>
  </si>
  <si>
    <t>07AAMCA7181R1ZT</t>
  </si>
  <si>
    <t>AORION TECHNOSERVE PRIVATE LIMITED</t>
  </si>
  <si>
    <t>ATPL/23-24/AR067</t>
  </si>
  <si>
    <t>27AAFCL1789H1Z6</t>
  </si>
  <si>
    <t>LEADOCONNECT GLOBAL SOLUTIONS PRIVATE LIMITED</t>
  </si>
  <si>
    <t>JANLC375</t>
  </si>
  <si>
    <t>TI-1115/23-24</t>
  </si>
  <si>
    <t>TI-1116/23-24</t>
  </si>
  <si>
    <t>TI-1117/23-24</t>
  </si>
  <si>
    <t>01/23-24-013</t>
  </si>
  <si>
    <t>2023-24/00874</t>
  </si>
  <si>
    <t>07AAGPR6121H1ZQ</t>
  </si>
  <si>
    <t>SIMRAN WORLDWIDE</t>
  </si>
  <si>
    <t>SW/TI/1051/23-24</t>
  </si>
  <si>
    <t>06CTMPM4097C1ZH</t>
  </si>
  <si>
    <t>ANSARI TEXTILE</t>
  </si>
  <si>
    <t>17946</t>
  </si>
  <si>
    <t>2024107R00002589</t>
  </si>
  <si>
    <t>2024107R00002590</t>
  </si>
  <si>
    <t>2024107R00002591</t>
  </si>
  <si>
    <t>DL-2324-153180</t>
  </si>
  <si>
    <t>07AARFB6389E1Z0</t>
  </si>
  <si>
    <t>BUSINESS COACHING INDIA LLP</t>
  </si>
  <si>
    <t>LLP-PC-2324-4886</t>
  </si>
  <si>
    <t>KI/2023-24/00536</t>
  </si>
  <si>
    <t>KI/2023-24/00565</t>
  </si>
  <si>
    <t>36AACCN6194P2ZP</t>
  </si>
  <si>
    <t>362412BP01AAB325</t>
  </si>
  <si>
    <t>0440362</t>
  </si>
  <si>
    <t>IN240131V0220094</t>
  </si>
  <si>
    <t>CF/23-24/56626</t>
  </si>
  <si>
    <t>ITLP23-24/26678</t>
  </si>
  <si>
    <t>ITLP23-24/28089</t>
  </si>
  <si>
    <t>KA-2324-2880670</t>
  </si>
  <si>
    <t>KA-2324-2955779</t>
  </si>
  <si>
    <t>4898045670</t>
  </si>
  <si>
    <t>4905929998</t>
  </si>
  <si>
    <t>4908209892</t>
  </si>
  <si>
    <t>23-24/1467</t>
  </si>
  <si>
    <t>23-24/1487</t>
  </si>
  <si>
    <t>23-24/1525</t>
  </si>
  <si>
    <t>23-24/1532</t>
  </si>
  <si>
    <t>PD/0112/23-24</t>
  </si>
  <si>
    <t>BFE/2023-24/418</t>
  </si>
  <si>
    <t>33AARFT7588H1ZE</t>
  </si>
  <si>
    <t>THE GOOD FOOD COMPANY</t>
  </si>
  <si>
    <t>GFC/23-24/2063</t>
  </si>
  <si>
    <t>982/2023-2024</t>
  </si>
  <si>
    <t>19AAECP6176D1Z9</t>
  </si>
  <si>
    <t>PDS INFOTECH PVT. LTD.,</t>
  </si>
  <si>
    <t>A/23-24/03090</t>
  </si>
  <si>
    <t>072412BP01AAK977</t>
  </si>
  <si>
    <t>AM01/23-24/391</t>
  </si>
  <si>
    <t>2854</t>
  </si>
  <si>
    <t>866</t>
  </si>
  <si>
    <t>33AABCV3609C1ZU</t>
  </si>
  <si>
    <t>8921073166</t>
  </si>
  <si>
    <t>20/02/2024</t>
  </si>
  <si>
    <t>DOZO/2324/0832</t>
  </si>
  <si>
    <t>940</t>
  </si>
  <si>
    <t>15/02/2024</t>
  </si>
  <si>
    <t>943</t>
  </si>
  <si>
    <t>900</t>
  </si>
  <si>
    <t>02/02/2024</t>
  </si>
  <si>
    <t>905</t>
  </si>
  <si>
    <t>05/02/2024</t>
  </si>
  <si>
    <t>FEBLC435</t>
  </si>
  <si>
    <t>09/02/2024</t>
  </si>
  <si>
    <t>7775094138</t>
  </si>
  <si>
    <t>11/02/2024</t>
  </si>
  <si>
    <t>7841892840</t>
  </si>
  <si>
    <t>29/02/2024</t>
  </si>
  <si>
    <t>1800</t>
  </si>
  <si>
    <t>01/02/2024</t>
  </si>
  <si>
    <t>1961</t>
  </si>
  <si>
    <t>27AACCS5838B1ZG</t>
  </si>
  <si>
    <t>SPARKONIX INDIA PVT LTD</t>
  </si>
  <si>
    <t>GST/SP/164</t>
  </si>
  <si>
    <t>14/02/2024</t>
  </si>
  <si>
    <t>ADS314-103108998</t>
  </si>
  <si>
    <t>ADS314-103111249</t>
  </si>
  <si>
    <t>ADS314-103113568</t>
  </si>
  <si>
    <t>03/02/2024</t>
  </si>
  <si>
    <t>ADS314-103115676</t>
  </si>
  <si>
    <t>04/02/2024</t>
  </si>
  <si>
    <t>ADS314-103117867</t>
  </si>
  <si>
    <t>ADS314-103120185</t>
  </si>
  <si>
    <t>06/02/2024</t>
  </si>
  <si>
    <t>ADS314-103122697</t>
  </si>
  <si>
    <t>ADS314-103124958</t>
  </si>
  <si>
    <t>08/02/2024</t>
  </si>
  <si>
    <t>ADS314-103127244</t>
  </si>
  <si>
    <t>ADS314-103129525</t>
  </si>
  <si>
    <t>10/02/2024</t>
  </si>
  <si>
    <t>ADS314-103131750</t>
  </si>
  <si>
    <t>ADS314-103133938</t>
  </si>
  <si>
    <t>12/02/2024</t>
  </si>
  <si>
    <t>ADS314-103136360</t>
  </si>
  <si>
    <t>13/02/2024</t>
  </si>
  <si>
    <t>ADS314-103138889</t>
  </si>
  <si>
    <t>ADS314-103142000</t>
  </si>
  <si>
    <t>ADS314-103144637</t>
  </si>
  <si>
    <t>16/02/2024</t>
  </si>
  <si>
    <t>ADS314-103147277</t>
  </si>
  <si>
    <t>ADS314-103149790</t>
  </si>
  <si>
    <t>18/02/2024</t>
  </si>
  <si>
    <t>ADS314-103152258</t>
  </si>
  <si>
    <t>19/02/2024</t>
  </si>
  <si>
    <t>ADS314-103165462</t>
  </si>
  <si>
    <t>24/02/2024</t>
  </si>
  <si>
    <t>ADS314-103167616</t>
  </si>
  <si>
    <t>25/02/2024</t>
  </si>
  <si>
    <t>ADS314-103170028</t>
  </si>
  <si>
    <t>26/02/2024</t>
  </si>
  <si>
    <t>ADS314-103172628</t>
  </si>
  <si>
    <t>27/02/2024</t>
  </si>
  <si>
    <t>ADS314-103175346</t>
  </si>
  <si>
    <t>28/02/2024</t>
  </si>
  <si>
    <t>ADS314-103179009</t>
  </si>
  <si>
    <t>202402P00002873</t>
  </si>
  <si>
    <t>09AADCF1597K1Z7</t>
  </si>
  <si>
    <t>FLAMON CLOUDTECH PRIVATE LIMITED</t>
  </si>
  <si>
    <t>PRO5443TC</t>
  </si>
  <si>
    <t>21/02/2024</t>
  </si>
  <si>
    <t>PRO5481TC</t>
  </si>
  <si>
    <t>22/02/2024</t>
  </si>
  <si>
    <t>WAH/2023-24/09</t>
  </si>
  <si>
    <t>27AAMCP0187G1Z7</t>
  </si>
  <si>
    <t>PROBEROS TRADING PRIVATE LIMITED</t>
  </si>
  <si>
    <t>VJWP-10590</t>
  </si>
  <si>
    <t>IN/02/24/1409289</t>
  </si>
  <si>
    <t>EIAB202415005614</t>
  </si>
  <si>
    <t>07AADCG2096A1ZZ</t>
  </si>
  <si>
    <t>GATI EXPRESS &amp; SUPPLY CHAIN PRIVATE LIMITED</t>
  </si>
  <si>
    <t>DL/FD/24/0010290</t>
  </si>
  <si>
    <t>06AANFR4070J1ZX</t>
  </si>
  <si>
    <t>ROCKET KOMMERCE LLP</t>
  </si>
  <si>
    <t>DEL5-127245</t>
  </si>
  <si>
    <t>2024207R00000765</t>
  </si>
  <si>
    <t>2024207R00000766</t>
  </si>
  <si>
    <t>2024207R00000767</t>
  </si>
  <si>
    <t>19AAAJT2422P1ZO</t>
  </si>
  <si>
    <t>Tea Board of india</t>
  </si>
  <si>
    <t>TBLC20240154</t>
  </si>
  <si>
    <t>TI/DL/23-24/4133</t>
  </si>
  <si>
    <t>DL-2324-167923</t>
  </si>
  <si>
    <t>UZH/DL/2023/326</t>
  </si>
  <si>
    <t>27ABCFS7180E1Z3</t>
  </si>
  <si>
    <t>SHALIMAR THERMOFORMING INDUSTRIES</t>
  </si>
  <si>
    <t>BOM5-7666</t>
  </si>
  <si>
    <t>08AACCS5646P1ZP</t>
  </si>
  <si>
    <t>SATYAM TECHMECH  INDIA  PRIVATE LIMITED</t>
  </si>
  <si>
    <t>02/23-24-014</t>
  </si>
  <si>
    <t>C-4599/2023-24</t>
  </si>
  <si>
    <t>C-4712/2023-24</t>
  </si>
  <si>
    <t>23-24/1721</t>
  </si>
  <si>
    <t>1114/2023-2024</t>
  </si>
  <si>
    <t>06AAJCG7648C1ZJ</t>
  </si>
  <si>
    <t>GROW MORE SPICES &amp; PULSES PRIVATE LIMITED</t>
  </si>
  <si>
    <t>GM/DIS/23-24/30</t>
  </si>
  <si>
    <t>33AACCG4443L1ZN</t>
  </si>
  <si>
    <t>GLENWORTH ESTATE LIMITED</t>
  </si>
  <si>
    <t>FTYDIR/23-24/549</t>
  </si>
  <si>
    <t>09ADEFS1873Q1ZA</t>
  </si>
  <si>
    <t>M/S  SHREE HEMKUNT TYRES AND SERVICES</t>
  </si>
  <si>
    <t>SHT/2023-24/6692</t>
  </si>
  <si>
    <t>00440245</t>
  </si>
  <si>
    <t>BFE/2023-24/432</t>
  </si>
  <si>
    <t>07BBIPJ4457J1ZD</t>
  </si>
  <si>
    <t>AURUM CREATIONS</t>
  </si>
  <si>
    <t>IN-57666</t>
  </si>
  <si>
    <t>4922777010</t>
  </si>
  <si>
    <t>4928388688</t>
  </si>
  <si>
    <t>RST/2023-24/256</t>
  </si>
  <si>
    <t>RST/2023-24/265</t>
  </si>
  <si>
    <t>PMBE24/02/2294</t>
  </si>
  <si>
    <t>PMBE24/02/2295</t>
  </si>
  <si>
    <t>PMBE24/02/2300</t>
  </si>
  <si>
    <t>PMBE24/02/2301</t>
  </si>
  <si>
    <t>T-360/23-24</t>
  </si>
  <si>
    <t>09AADCH3292H1ZG</t>
  </si>
  <si>
    <t>LKO1-68910</t>
  </si>
  <si>
    <t>AM02/23-24/374</t>
  </si>
  <si>
    <t>2023-24/00941</t>
  </si>
  <si>
    <t>GST/23-24/1123</t>
  </si>
  <si>
    <t>GST/23-24/1124</t>
  </si>
  <si>
    <t>GST/23-24/1125</t>
  </si>
  <si>
    <t>GST/23-24/1127</t>
  </si>
  <si>
    <t>GST/23-24/1130</t>
  </si>
  <si>
    <t>GST/23-24/1131</t>
  </si>
  <si>
    <t>GST/23-24/1133</t>
  </si>
  <si>
    <t>GST/23-24/1134</t>
  </si>
  <si>
    <t>GST/23-24/1136</t>
  </si>
  <si>
    <t>GST/23-24/1137</t>
  </si>
  <si>
    <t>GST/23-24/1138</t>
  </si>
  <si>
    <t>GST/23-24/1140</t>
  </si>
  <si>
    <t>GST/23-24/1142</t>
  </si>
  <si>
    <t>GST/23-24/1143</t>
  </si>
  <si>
    <t>GST/23-24/1146</t>
  </si>
  <si>
    <t>GST/23-24/1148</t>
  </si>
  <si>
    <t>GST/23-24/1150</t>
  </si>
  <si>
    <t>GST/23-24/1152</t>
  </si>
  <si>
    <t>GST/23-24/1153</t>
  </si>
  <si>
    <t>GST/23-24/1155</t>
  </si>
  <si>
    <t>GST/23-24/1156</t>
  </si>
  <si>
    <t>GST/23-24/1158</t>
  </si>
  <si>
    <t>GST/23-24/1160</t>
  </si>
  <si>
    <t>GST/23-24/1162</t>
  </si>
  <si>
    <t>GST/23-24/1164</t>
  </si>
  <si>
    <t>GST/23-24/1167</t>
  </si>
  <si>
    <t>GST/23-24/1168</t>
  </si>
  <si>
    <t>GST/23-24/1170</t>
  </si>
  <si>
    <t>GST/23-24/1174</t>
  </si>
  <si>
    <t>GST/23-24/1176</t>
  </si>
  <si>
    <t>GST/23-24/1178</t>
  </si>
  <si>
    <t>GST/23-24/1179</t>
  </si>
  <si>
    <t>GST/23-24/1183</t>
  </si>
  <si>
    <t>GST/23-24/1187</t>
  </si>
  <si>
    <t>GST/23-24/1190</t>
  </si>
  <si>
    <t>GST/23-24/1191</t>
  </si>
  <si>
    <t>GST/23-24/1192</t>
  </si>
  <si>
    <t>GST/23-24/1194</t>
  </si>
  <si>
    <t>GST/23-24/1197</t>
  </si>
  <si>
    <t>GST/23-24/1201</t>
  </si>
  <si>
    <t>GST/23-24/1205</t>
  </si>
  <si>
    <t>GST/23-24/1207</t>
  </si>
  <si>
    <t>GST/23-24/1209</t>
  </si>
  <si>
    <t>23/02/2024</t>
  </si>
  <si>
    <t>GST/23-24/1212</t>
  </si>
  <si>
    <t>GST/23-24/1213</t>
  </si>
  <si>
    <t>GST/23-24/1217</t>
  </si>
  <si>
    <t>GST/23-24/1218</t>
  </si>
  <si>
    <t>GST/23-24/1219</t>
  </si>
  <si>
    <t>GST/23-24/1221</t>
  </si>
  <si>
    <t>GST/23-24/1222</t>
  </si>
  <si>
    <t>GST/23-24/1223</t>
  </si>
  <si>
    <t>GST/23-24/1225</t>
  </si>
  <si>
    <t>GST/23-24/1227</t>
  </si>
  <si>
    <t>GST/23-24/1229</t>
  </si>
  <si>
    <t>GST/23-24/1232</t>
  </si>
  <si>
    <t>GST/23-24/1234</t>
  </si>
  <si>
    <t>GST/23-24/1236</t>
  </si>
  <si>
    <t>GST/23-24/1237</t>
  </si>
  <si>
    <t>ITLP23-24/29102</t>
  </si>
  <si>
    <t>ITLP23-24/29548</t>
  </si>
  <si>
    <t>27AAPFH9184D1ZX</t>
  </si>
  <si>
    <t>HOTEL BKC PRIME</t>
  </si>
  <si>
    <t>252</t>
  </si>
  <si>
    <t>CF/23-24/63649</t>
  </si>
  <si>
    <t>06AWMPP2877L1ZR</t>
  </si>
  <si>
    <t>NIJ ENTERPRISE</t>
  </si>
  <si>
    <t>1436DEL5</t>
  </si>
  <si>
    <t>3213</t>
  </si>
  <si>
    <t>IN240229V0161299</t>
  </si>
  <si>
    <t>KI/2023-24/00581</t>
  </si>
  <si>
    <t>KI/2023-24/00583</t>
  </si>
  <si>
    <t>KI/2023-24/00604</t>
  </si>
  <si>
    <t>KI/2023-24/00626</t>
  </si>
  <si>
    <t>UPAE/08631/23-24</t>
  </si>
  <si>
    <t>KA-2324-3099391</t>
  </si>
  <si>
    <t>0135240221094666</t>
  </si>
  <si>
    <t>0135240221095826</t>
  </si>
  <si>
    <t>0135240223106557</t>
  </si>
  <si>
    <t>0138241080198675</t>
  </si>
  <si>
    <t>23-24/1695</t>
  </si>
  <si>
    <t>23-24/1709</t>
  </si>
  <si>
    <t>ADS314-103139039</t>
  </si>
  <si>
    <t>ADS314-103139056</t>
  </si>
  <si>
    <t>ADS314-103139116</t>
  </si>
  <si>
    <t>ADS314-103139130</t>
  </si>
  <si>
    <t>ADS314-103139154</t>
  </si>
  <si>
    <t>ADS314-103139163</t>
  </si>
  <si>
    <t>ADS314-103139176</t>
  </si>
  <si>
    <t>ADS314-103139212</t>
  </si>
  <si>
    <t>ADS314-103139270</t>
  </si>
  <si>
    <t>ADS314-103139312</t>
  </si>
  <si>
    <t>ADS314-103139341</t>
  </si>
  <si>
    <t>ADS314-103139353</t>
  </si>
  <si>
    <t>ADS314-103139367</t>
  </si>
  <si>
    <t>ADS314-103139426</t>
  </si>
  <si>
    <t>ADS314-103139512</t>
  </si>
  <si>
    <t>ADS314-103139529</t>
  </si>
  <si>
    <t>ADS314-103139534</t>
  </si>
  <si>
    <t>ADS314-103139538</t>
  </si>
  <si>
    <t>VJWP-C-857</t>
  </si>
  <si>
    <t>23-24/1755</t>
  </si>
  <si>
    <t>02/03/2024</t>
  </si>
  <si>
    <t>23-24/1801</t>
  </si>
  <si>
    <t>12/03/2024</t>
  </si>
  <si>
    <t>23-24/1853</t>
  </si>
  <si>
    <t>23/03/2024</t>
  </si>
  <si>
    <t>23-24/1876</t>
  </si>
  <si>
    <t>28/03/2024</t>
  </si>
  <si>
    <t>29BRIPM5140H1ZM</t>
  </si>
  <si>
    <t>RM ORG</t>
  </si>
  <si>
    <t>QWK0-8370</t>
  </si>
  <si>
    <t>20/03/2024</t>
  </si>
  <si>
    <t>07ANQPS9823C1ZJ</t>
  </si>
  <si>
    <t>THE BUTLER HOTEL SUPER MARKET</t>
  </si>
  <si>
    <t>2168/2023-24</t>
  </si>
  <si>
    <t>18/03/2024</t>
  </si>
  <si>
    <t>KA-2324-3493873</t>
  </si>
  <si>
    <t>EIAB202415010257</t>
  </si>
  <si>
    <t>EIAB202415010568</t>
  </si>
  <si>
    <t>19/03/2024</t>
  </si>
  <si>
    <t>EIAB202415010693</t>
  </si>
  <si>
    <t>18AAACL8696C1Z8</t>
  </si>
  <si>
    <t>LOHIT TEA PRIVATE LIMITED</t>
  </si>
  <si>
    <t>Ti/I/54/23-24</t>
  </si>
  <si>
    <t>Ti/I/56/23-24</t>
  </si>
  <si>
    <t>27/03/2024</t>
  </si>
  <si>
    <t>29AAJCC8517E1ZH</t>
  </si>
  <si>
    <t>BLR8-9047074</t>
  </si>
  <si>
    <t>DEL954167</t>
  </si>
  <si>
    <t>TI/DL/23-24/4463</t>
  </si>
  <si>
    <t>14/03/2024</t>
  </si>
  <si>
    <t>953</t>
  </si>
  <si>
    <t>07/03/2024</t>
  </si>
  <si>
    <t>954</t>
  </si>
  <si>
    <t>955</t>
  </si>
  <si>
    <t>956</t>
  </si>
  <si>
    <t>963</t>
  </si>
  <si>
    <t>26/03/2024</t>
  </si>
  <si>
    <t>964</t>
  </si>
  <si>
    <t>ADS314-103182162</t>
  </si>
  <si>
    <t>ADS314-103184627</t>
  </si>
  <si>
    <t>ADS314-103187108</t>
  </si>
  <si>
    <t>03/03/2024</t>
  </si>
  <si>
    <t>ADS314-103189800</t>
  </si>
  <si>
    <t>04/03/2024</t>
  </si>
  <si>
    <t>ADS314-103192533</t>
  </si>
  <si>
    <t>05/03/2024</t>
  </si>
  <si>
    <t>ADS314-103195424</t>
  </si>
  <si>
    <t>06/03/2024</t>
  </si>
  <si>
    <t>ADS314-103198101</t>
  </si>
  <si>
    <t>ADS314-103200915</t>
  </si>
  <si>
    <t>08/03/2024</t>
  </si>
  <si>
    <t>ADS314-103203615</t>
  </si>
  <si>
    <t>09/03/2024</t>
  </si>
  <si>
    <t>ADS314-103203688</t>
  </si>
  <si>
    <t>ADS314-103206130</t>
  </si>
  <si>
    <t>10/03/2024</t>
  </si>
  <si>
    <t>ADS314-103208654</t>
  </si>
  <si>
    <t>11/03/2024</t>
  </si>
  <si>
    <t>1024</t>
  </si>
  <si>
    <t>1036</t>
  </si>
  <si>
    <t>1066</t>
  </si>
  <si>
    <t>987</t>
  </si>
  <si>
    <t>UZH/DL/2023/334</t>
  </si>
  <si>
    <t>AM03/23-24/337</t>
  </si>
  <si>
    <t>02/23-24-015</t>
  </si>
  <si>
    <t>PMBE24/03/2682</t>
  </si>
  <si>
    <t>PMBE24/03/2683</t>
  </si>
  <si>
    <t>PMBE24/03/2684</t>
  </si>
  <si>
    <t>PMBE24/03/2686</t>
  </si>
  <si>
    <t>PMBE24/03/3060</t>
  </si>
  <si>
    <t>PMBE24/03/3061</t>
  </si>
  <si>
    <t>PMBE24/03/3062</t>
  </si>
  <si>
    <t>PMBE24/03/3083</t>
  </si>
  <si>
    <t>PMBE24/03/3089</t>
  </si>
  <si>
    <t>PMBE24/03/3090</t>
  </si>
  <si>
    <t>FIN23469</t>
  </si>
  <si>
    <t>FIN23498</t>
  </si>
  <si>
    <t>FIN23504</t>
  </si>
  <si>
    <t>FIN23525</t>
  </si>
  <si>
    <t>FIN23527</t>
  </si>
  <si>
    <t>FIN23586</t>
  </si>
  <si>
    <t>30/03/2024</t>
  </si>
  <si>
    <t>1981</t>
  </si>
  <si>
    <t>2139</t>
  </si>
  <si>
    <t>GST/23-24/1239</t>
  </si>
  <si>
    <t>GST/23-24/1242</t>
  </si>
  <si>
    <t>GST/23-24/1243</t>
  </si>
  <si>
    <t>GST/23-24/1246</t>
  </si>
  <si>
    <t>GST/23-24/1250</t>
  </si>
  <si>
    <t>GST/23-24/1252</t>
  </si>
  <si>
    <t>GST/23-24/1254</t>
  </si>
  <si>
    <t>GST/23-24/1255</t>
  </si>
  <si>
    <t>GST/23-24/1256</t>
  </si>
  <si>
    <t>GST/23-24/1259</t>
  </si>
  <si>
    <t>GST/23-24/1260</t>
  </si>
  <si>
    <t>GST/23-24/1262</t>
  </si>
  <si>
    <t>GST/23-24/1264</t>
  </si>
  <si>
    <t>GST/23-24/1266</t>
  </si>
  <si>
    <t>GST/23-24/1267</t>
  </si>
  <si>
    <t>GST/23-24/1268</t>
  </si>
  <si>
    <t>GST/23-24/1270</t>
  </si>
  <si>
    <t>GST/23-24/1271</t>
  </si>
  <si>
    <t>GST/23-24/1274</t>
  </si>
  <si>
    <t>GST/23-24/1276</t>
  </si>
  <si>
    <t>GST/23-24/1278</t>
  </si>
  <si>
    <t>GST/23-24/1280</t>
  </si>
  <si>
    <t>GST/23-24/1282</t>
  </si>
  <si>
    <t>GST/23-24/1283</t>
  </si>
  <si>
    <t>GST/23-24/1286</t>
  </si>
  <si>
    <t>13/03/2024</t>
  </si>
  <si>
    <t>GST/23-24/1289</t>
  </si>
  <si>
    <t>GST/23-24/1290</t>
  </si>
  <si>
    <t>GST/23-24/1291</t>
  </si>
  <si>
    <t>GST/23-24/1294</t>
  </si>
  <si>
    <t>GST/23-24/1296</t>
  </si>
  <si>
    <t>15/03/2024</t>
  </si>
  <si>
    <t>GST/23-24/1297</t>
  </si>
  <si>
    <t>GST/23-24/1300</t>
  </si>
  <si>
    <t>16/03/2024</t>
  </si>
  <si>
    <t>GST/23-24/1301</t>
  </si>
  <si>
    <t>GST/23-24/1304</t>
  </si>
  <si>
    <t>GST/23-24/1305</t>
  </si>
  <si>
    <t>17/03/2024</t>
  </si>
  <si>
    <t>GST/23-24/1307</t>
  </si>
  <si>
    <t>GST/23-24/1309</t>
  </si>
  <si>
    <t>GST/23-24/1313</t>
  </si>
  <si>
    <t>GST/23-24/1314</t>
  </si>
  <si>
    <t>GST/23-24/1319</t>
  </si>
  <si>
    <t>GST/23-24/1321</t>
  </si>
  <si>
    <t>GST/23-24/1323</t>
  </si>
  <si>
    <t>22/03/2024</t>
  </si>
  <si>
    <t>GST/23-24/1324</t>
  </si>
  <si>
    <t>GST/23-24/1326</t>
  </si>
  <si>
    <t>GST/23-24/1327</t>
  </si>
  <si>
    <t>GST/23-24/1329</t>
  </si>
  <si>
    <t>GST/23-24/1330</t>
  </si>
  <si>
    <t>GST/23-24/1333</t>
  </si>
  <si>
    <t>GST/23-24/1334</t>
  </si>
  <si>
    <t>GST/23-24/1335</t>
  </si>
  <si>
    <t>GST/23-24/1337</t>
  </si>
  <si>
    <t>24/03/2024</t>
  </si>
  <si>
    <t>GST/23-24/1338</t>
  </si>
  <si>
    <t>GST/23-24/1340</t>
  </si>
  <si>
    <t>GST/23-24/1343</t>
  </si>
  <si>
    <t>GST/23-24/1344</t>
  </si>
  <si>
    <t>GST/23-24/1347</t>
  </si>
  <si>
    <t>GST/23-24/1348</t>
  </si>
  <si>
    <t>GST/23-24/1350</t>
  </si>
  <si>
    <t>GST/23-24/1353</t>
  </si>
  <si>
    <t>29/03/2024</t>
  </si>
  <si>
    <t>GST/23-24/1354</t>
  </si>
  <si>
    <t>TI-1319/23-24</t>
  </si>
  <si>
    <t>TI-1321/23-24</t>
  </si>
  <si>
    <t>TI-1322/23-24</t>
  </si>
  <si>
    <t>TI-1323/23-24</t>
  </si>
  <si>
    <t>2024307R00003658</t>
  </si>
  <si>
    <t>2024307R00003659</t>
  </si>
  <si>
    <t>2024307R00003660</t>
  </si>
  <si>
    <t>2024307R00003661</t>
  </si>
  <si>
    <t>24307S000029</t>
  </si>
  <si>
    <t>07AAJCC8517E1ZN</t>
  </si>
  <si>
    <t>YNGD-158622</t>
  </si>
  <si>
    <t>MARLC528</t>
  </si>
  <si>
    <t>24BBIPT2746N1Z3</t>
  </si>
  <si>
    <t>MAC ENTERPRISE</t>
  </si>
  <si>
    <t>IN-133792</t>
  </si>
  <si>
    <t>27AADCV6807E1ZB</t>
  </si>
  <si>
    <t>CIMPRESS INDIA PRIVATE LIMITED</t>
  </si>
  <si>
    <t>402602888162</t>
  </si>
  <si>
    <t>DL-2324-182257</t>
  </si>
  <si>
    <t>7785110429</t>
  </si>
  <si>
    <t>7788598289</t>
  </si>
  <si>
    <t>7788601317</t>
  </si>
  <si>
    <t>7842683701</t>
  </si>
  <si>
    <t>SA/9117/23-24</t>
  </si>
  <si>
    <t>SA/9147/23-24</t>
  </si>
  <si>
    <t>RST/2023-24/274</t>
  </si>
  <si>
    <t>DEL5-11280428</t>
  </si>
  <si>
    <t>DEL5-11592834</t>
  </si>
  <si>
    <t>C-5008/2023-24</t>
  </si>
  <si>
    <t>C-5297/2023-24</t>
  </si>
  <si>
    <t>ITLP23-24/32160</t>
  </si>
  <si>
    <t>ITLP23-24/34573</t>
  </si>
  <si>
    <t>ITLP23-24/35625</t>
  </si>
  <si>
    <t>4943711051</t>
  </si>
  <si>
    <t>4951540273</t>
  </si>
  <si>
    <t>CF/23-24/70048</t>
  </si>
  <si>
    <t>1227/2023-2024</t>
  </si>
  <si>
    <t>24AAHCP2064R1ZZ</t>
  </si>
  <si>
    <t>PARIZAT HEALTHCARE  PVT LTD</t>
  </si>
  <si>
    <t>PR-539/23-24</t>
  </si>
  <si>
    <t>23-24/1901</t>
  </si>
  <si>
    <t>KI/2023-24/00668</t>
  </si>
  <si>
    <t>KI/2023-24/00720</t>
  </si>
  <si>
    <t>AO/PT/23-24/923</t>
  </si>
  <si>
    <t>AO/PT/23-24/924</t>
  </si>
  <si>
    <t>05AAICS7496M1ZJ</t>
  </si>
  <si>
    <t>M/S SHRI GREESH ASSOCIATES PVT LTD</t>
  </si>
  <si>
    <t>FM1337BIL0003195</t>
  </si>
  <si>
    <t>FM1337BIL0003196</t>
  </si>
  <si>
    <t>FM1337BIL0003197</t>
  </si>
  <si>
    <t>0135240304012444</t>
  </si>
  <si>
    <t>0135240319087588</t>
  </si>
  <si>
    <t>0135240326119456</t>
  </si>
  <si>
    <t>0138241095359737</t>
  </si>
  <si>
    <t>202403P00002948</t>
  </si>
  <si>
    <t>24BRIPM5140H1ZW</t>
  </si>
  <si>
    <t>M06AI24I19794902</t>
  </si>
  <si>
    <t>06AAVCA5575G1Z7</t>
  </si>
  <si>
    <t>AVES PRODUCTS PRIVATE LIMITED</t>
  </si>
  <si>
    <t>IN-133756</t>
  </si>
  <si>
    <t>1772/2023-24</t>
  </si>
  <si>
    <t>36EUOPK6542R1ZL</t>
  </si>
  <si>
    <t>Solstice Traders</t>
  </si>
  <si>
    <t>HYD8-20364</t>
  </si>
  <si>
    <t>ST/2324/6100</t>
  </si>
  <si>
    <t>ST/2324/6504</t>
  </si>
  <si>
    <t>UPAE/09527/23-24</t>
  </si>
  <si>
    <t>IN240331V0216382</t>
  </si>
  <si>
    <t>YNGD-217614</t>
  </si>
  <si>
    <t>KA23-CN-02250526</t>
  </si>
  <si>
    <t>ADS314-103235109</t>
  </si>
  <si>
    <t>ADS314-103235797</t>
  </si>
  <si>
    <t>ADS314-103235882</t>
  </si>
  <si>
    <t>RCAC072402336</t>
  </si>
  <si>
    <t>RCAC072402338</t>
  </si>
  <si>
    <t>RCAC072402347</t>
  </si>
  <si>
    <t>RCAC072402352</t>
  </si>
  <si>
    <t>RCAC072402531</t>
  </si>
  <si>
    <t>RCAC072402824</t>
  </si>
  <si>
    <t>22/07/2024</t>
  </si>
  <si>
    <t>07AAECF2337G1ZV</t>
  </si>
  <si>
    <t>FELIKS LOGISTICS PRIVATE LIMITED</t>
  </si>
  <si>
    <t>FL/437/24-25</t>
  </si>
  <si>
    <t>27AAACR9011K1ZB</t>
  </si>
  <si>
    <t>R &amp; Y LOGISTICS PVT.LTD.</t>
  </si>
  <si>
    <t>430F2425</t>
  </si>
  <si>
    <t>24AGDPP9416A2ZO</t>
  </si>
  <si>
    <t>ENESS SERVICES (INDIA)</t>
  </si>
  <si>
    <t>ES/GST/135/2425</t>
  </si>
  <si>
    <t>03/08/2024</t>
  </si>
  <si>
    <t>YES</t>
  </si>
  <si>
    <t>ES/GST/138/2425</t>
  </si>
  <si>
    <t>ES/GST/142/2425</t>
  </si>
  <si>
    <t>20/08/2024</t>
  </si>
  <si>
    <t>ES/OF/76/2425</t>
  </si>
  <si>
    <t>ES/OF/79/2425</t>
  </si>
  <si>
    <t>32AAAGE0054K1ZW</t>
  </si>
  <si>
    <t>EXPORT INSPECTION AGENCY KOCHI</t>
  </si>
  <si>
    <t>KCKLB20242501952</t>
  </si>
  <si>
    <t>06/07/2024</t>
  </si>
  <si>
    <t>KCKLB20242502298</t>
  </si>
  <si>
    <t>07AAACU2414K1ZH</t>
  </si>
  <si>
    <t>AXIS BANK LIMITED</t>
  </si>
  <si>
    <t>FIN0808243770646</t>
  </si>
  <si>
    <t>FIN0808243772484</t>
  </si>
  <si>
    <t>FIN0808244054540</t>
  </si>
  <si>
    <t>FIN0808244139682</t>
  </si>
  <si>
    <t>FIN0908244292889</t>
  </si>
  <si>
    <t>FIN1308249026208</t>
  </si>
  <si>
    <t>FIN1308249035383</t>
  </si>
  <si>
    <t>FIN1408249635520</t>
  </si>
  <si>
    <t>FIN1608240921760</t>
  </si>
  <si>
    <t>14/08/2024</t>
  </si>
  <si>
    <t>FIN1708241807073</t>
  </si>
  <si>
    <t>FIN1708241874857</t>
  </si>
  <si>
    <t>FIN2008242247607</t>
  </si>
  <si>
    <t>17/08/2024</t>
  </si>
  <si>
    <t>FIN2108244871163</t>
  </si>
  <si>
    <t>FIN2208247796989</t>
  </si>
  <si>
    <t>21/08/2024</t>
  </si>
  <si>
    <t>FIN2208247821727</t>
  </si>
  <si>
    <t>FIN2208247856702</t>
  </si>
  <si>
    <t>FIN2208247895544</t>
  </si>
  <si>
    <t>FIN2208247898692</t>
  </si>
  <si>
    <t>FIN2808247557463</t>
  </si>
  <si>
    <t>27/08/2024</t>
  </si>
  <si>
    <t>FIN2908244051450</t>
  </si>
  <si>
    <t>FIN2908244417894</t>
  </si>
  <si>
    <t>FIN2908244685994</t>
  </si>
  <si>
    <t>29AASCA2674H1Z6</t>
  </si>
  <si>
    <t>APNATIME TECH PRIVATE LIMITED</t>
  </si>
  <si>
    <t>TI24-25/08/5507</t>
  </si>
  <si>
    <t>24AACCF6799A1ZN</t>
  </si>
  <si>
    <t>FAIRLEAD INSPECTION &amp; TESTING PRIVATE LIMITED</t>
  </si>
  <si>
    <t>FIT/24-25/1109</t>
  </si>
  <si>
    <t>FIT/24-25/1110</t>
  </si>
  <si>
    <t>FIT/24-25/1111</t>
  </si>
  <si>
    <t>FIT/24-25/1118</t>
  </si>
  <si>
    <t>10/08/2024</t>
  </si>
  <si>
    <t>ADS457-103655355</t>
  </si>
  <si>
    <t>DPCS/3317/24-25</t>
  </si>
  <si>
    <t>07AAAPG2683F1Z0</t>
  </si>
  <si>
    <t>HINDUSTAN AGRO</t>
  </si>
  <si>
    <t>HA/0116/2024-25</t>
  </si>
  <si>
    <t>07AAJCA5637P1Z3</t>
  </si>
  <si>
    <t>Avon Food Lab Private Limited</t>
  </si>
  <si>
    <t>1832/24-25</t>
  </si>
  <si>
    <t>24AABCT3152A1Z1</t>
  </si>
  <si>
    <t>TRINITY SHIPPING &amp; ALLIED SERVICES PVT LTD</t>
  </si>
  <si>
    <t>TSAS/1365/2425</t>
  </si>
  <si>
    <t>00440026</t>
  </si>
  <si>
    <t>TSAS/1396/2425</t>
  </si>
  <si>
    <t>TSAS/1554/2425</t>
  </si>
  <si>
    <t>07AAFPC3839G1ZX</t>
  </si>
  <si>
    <t>RAM GOPAL LAKHMI CHAND &amp; CO.</t>
  </si>
  <si>
    <t>RGLC/24-25/1901</t>
  </si>
  <si>
    <t>07AAVFB2297D1Z7</t>
  </si>
  <si>
    <t>BHAGWATI STEEL TRADERS</t>
  </si>
  <si>
    <t>472/24-25</t>
  </si>
  <si>
    <t>29AAECE0186G1ZN</t>
  </si>
  <si>
    <t>WORKINDIA</t>
  </si>
  <si>
    <t>82024/000803525</t>
  </si>
  <si>
    <t>07AAAGF0023K1ZV</t>
  </si>
  <si>
    <t>FOOD SAFETY AND STANDARDS AUTHORITY OF INDIA</t>
  </si>
  <si>
    <t>2425FA00381075</t>
  </si>
  <si>
    <t>07AABCC4977C2ZQ</t>
  </si>
  <si>
    <t>Computer Land ( Prop Capscan Computer Forms Pvt. Ltd.)</t>
  </si>
  <si>
    <t>CLWZ1/24/08056</t>
  </si>
  <si>
    <t>07AAFFU7737F1ZX</t>
  </si>
  <si>
    <t>UNIVERSAL EXPRESS SERVICES</t>
  </si>
  <si>
    <t>2024-08-514</t>
  </si>
  <si>
    <t>06AACCE1862H1ZU</t>
  </si>
  <si>
    <t>EUROFINS ANALYTICAL SERVICES INDIA PVT LTD</t>
  </si>
  <si>
    <t>IN-KVF-24-003451</t>
  </si>
  <si>
    <t>09AAJPK1404F1Z2</t>
  </si>
  <si>
    <t>PAPER CENTRE</t>
  </si>
  <si>
    <t>151/2024-25</t>
  </si>
  <si>
    <t>07AAACE0296K1ZL</t>
  </si>
  <si>
    <t>ECGC LIMITED</t>
  </si>
  <si>
    <t>TI07202425000439</t>
  </si>
  <si>
    <t>RCAC082400132</t>
  </si>
  <si>
    <t>01ABNFS2453D1ZI</t>
  </si>
  <si>
    <t>SUBASH CHANDER RICE &amp; GENERAL MILL</t>
  </si>
  <si>
    <t>08</t>
  </si>
  <si>
    <t>HA/0147/2024-25</t>
  </si>
  <si>
    <t>20/09/2024</t>
  </si>
  <si>
    <t>2024-09-704</t>
  </si>
  <si>
    <t>DPCS/4144/24-25</t>
  </si>
  <si>
    <t>03/09/2024</t>
  </si>
  <si>
    <t>TSAS/1867/2425</t>
  </si>
  <si>
    <t>APED202400100707</t>
  </si>
  <si>
    <t>RCAC092401854</t>
  </si>
  <si>
    <t>RCAC092402248</t>
  </si>
  <si>
    <t>TI07202425000538</t>
  </si>
  <si>
    <t>18/09/2024</t>
  </si>
  <si>
    <t>TI07202425000540</t>
  </si>
  <si>
    <t>KA-2425-1707919</t>
  </si>
  <si>
    <t>07AUZPS7289Q1ZV</t>
  </si>
  <si>
    <t>MSK BUSINESS CENTRE</t>
  </si>
  <si>
    <t>26527</t>
  </si>
  <si>
    <t>06/09/2024</t>
  </si>
  <si>
    <t>FL/514/24-25</t>
  </si>
  <si>
    <t>SPI/24-25/274</t>
  </si>
  <si>
    <t>07BLWPK6117N1ZC</t>
  </si>
  <si>
    <t>A.K.ENTERPRISES</t>
  </si>
  <si>
    <t>1120</t>
  </si>
  <si>
    <t>FIN2409246607247</t>
  </si>
  <si>
    <t>FIN2509246891951</t>
  </si>
  <si>
    <t>24/09/2024</t>
  </si>
  <si>
    <t>FIN2509247011326</t>
  </si>
  <si>
    <t>FIN2509247030983</t>
  </si>
  <si>
    <t>FIN2609242360873</t>
  </si>
  <si>
    <t>FIN3009244876112</t>
  </si>
  <si>
    <t>ADS251-103716639</t>
  </si>
  <si>
    <t>ADS251-103722155</t>
  </si>
  <si>
    <t>FIT/24-25/1277</t>
  </si>
  <si>
    <t>05/09/2024</t>
  </si>
  <si>
    <t>ES/GST/145/2425</t>
  </si>
  <si>
    <t>ES/OF/85/2425</t>
  </si>
  <si>
    <t>KA-C-25-895122</t>
  </si>
  <si>
    <t>2024-10-810</t>
  </si>
  <si>
    <t>07AANCM4452E1ZF</t>
  </si>
  <si>
    <t>MARUTI AGRO INDUSTRIES PRIVATE LIMITED</t>
  </si>
  <si>
    <t>8298N</t>
  </si>
  <si>
    <t>07ADYFS8383B1ZE</t>
  </si>
  <si>
    <t>SHRAMAN AUTOMOBILES</t>
  </si>
  <si>
    <t>12075BJ24S4061</t>
  </si>
  <si>
    <t>06/10/2024</t>
  </si>
  <si>
    <t>06AAFCR1791M1ZZ</t>
  </si>
  <si>
    <t>Radiance Printpack Pvt. Ltd.</t>
  </si>
  <si>
    <t>R/24-25/1494</t>
  </si>
  <si>
    <t>14/10/2024</t>
  </si>
  <si>
    <t>ES/GST/179/2425</t>
  </si>
  <si>
    <t>ADS-2425-511917</t>
  </si>
  <si>
    <t>KA-2425-2054302</t>
  </si>
  <si>
    <t>FL/590/24-25</t>
  </si>
  <si>
    <t>07/10/2024</t>
  </si>
  <si>
    <t>07AAHCI2871H1ZG</t>
  </si>
  <si>
    <t>INDIAN RICE EXPORTER'S FEDERATION</t>
  </si>
  <si>
    <t>IREF/000135</t>
  </si>
  <si>
    <t>07AAATD3885A1ZZ</t>
  </si>
  <si>
    <t>DELHI CHAMBER OF COMMERCE</t>
  </si>
  <si>
    <t>889584</t>
  </si>
  <si>
    <t>889788</t>
  </si>
  <si>
    <t>24/07/2024</t>
  </si>
  <si>
    <t>890439</t>
  </si>
  <si>
    <t>ADS251-103728632</t>
  </si>
  <si>
    <t>FIT/24-25/1527</t>
  </si>
  <si>
    <t>04/10/2024</t>
  </si>
  <si>
    <t>09AAACQ1273G1ZJ</t>
  </si>
  <si>
    <t>QUICK FOREX LIMITED</t>
  </si>
  <si>
    <t>SP/2425/9/2155</t>
  </si>
  <si>
    <t>TI07202425000590</t>
  </si>
  <si>
    <t>TI07202425000609</t>
  </si>
  <si>
    <t>TI07202425000647</t>
  </si>
  <si>
    <t>24/10/2024</t>
  </si>
  <si>
    <t>SPI/24-25/284</t>
  </si>
  <si>
    <t>SPI/24-25/304</t>
  </si>
  <si>
    <t>SPI/24-25/319</t>
  </si>
  <si>
    <t>07AAACU5552C1ZL</t>
  </si>
  <si>
    <t>UNITED INDIA INSURANCE COMPANY LIMITED</t>
  </si>
  <si>
    <t>24HE61433113</t>
  </si>
  <si>
    <t>24AABCM6541J1ZI</t>
  </si>
  <si>
    <t>MERCHANT SHIPPING SERVICES PRIVATE LIMITED</t>
  </si>
  <si>
    <t>GJTIEXA240700227</t>
  </si>
  <si>
    <t>GJTIEXA240700272</t>
  </si>
  <si>
    <t>29/10/2024</t>
  </si>
  <si>
    <t>GJTIEXA240700275</t>
  </si>
  <si>
    <t>30/10/2024</t>
  </si>
  <si>
    <t>GJTIEXI240700278</t>
  </si>
  <si>
    <t>GJTIEXI240700324</t>
  </si>
  <si>
    <t>GJTIEXI240700326</t>
  </si>
  <si>
    <t>HA/0181/2024-25</t>
  </si>
  <si>
    <t>TSAS/2154/2425</t>
  </si>
  <si>
    <t>GJEXREV240700043</t>
  </si>
  <si>
    <t>GJEXREV240700044</t>
  </si>
  <si>
    <t>CN/63/2425</t>
  </si>
  <si>
    <t>TI07202425000680</t>
  </si>
  <si>
    <t>12/11/2024</t>
  </si>
  <si>
    <t>TI07202425000689</t>
  </si>
  <si>
    <t>TI07202425000705</t>
  </si>
  <si>
    <t>19/11/2024</t>
  </si>
  <si>
    <t>ADS-2425-540768</t>
  </si>
  <si>
    <t>KA-2425-2280611</t>
  </si>
  <si>
    <t>KA-2425-2477811</t>
  </si>
  <si>
    <t>FKRKA25001167488</t>
  </si>
  <si>
    <t>07AIRPJ6413F1Z7</t>
  </si>
  <si>
    <t>GAURAV COMPUTERS</t>
  </si>
  <si>
    <t>GC/0026/24-25</t>
  </si>
  <si>
    <t>09/11/2024</t>
  </si>
  <si>
    <t>FIT/24-25/1808</t>
  </si>
  <si>
    <t>04/11/2024</t>
  </si>
  <si>
    <t>FIT/24-25/2088</t>
  </si>
  <si>
    <t>242530013</t>
  </si>
  <si>
    <t>RCAC102400586</t>
  </si>
  <si>
    <t>RCAC102400588</t>
  </si>
  <si>
    <t>RCAC102401807</t>
  </si>
  <si>
    <t>CDT2432528815707</t>
  </si>
  <si>
    <t>FIN0410245848894</t>
  </si>
  <si>
    <t>FIN0410245990122</t>
  </si>
  <si>
    <t>FIN0410246140002</t>
  </si>
  <si>
    <t>FIN0510246165253</t>
  </si>
  <si>
    <t>FIN0510246167906</t>
  </si>
  <si>
    <t>FIN0510246387248</t>
  </si>
  <si>
    <t>FIN0510246390971</t>
  </si>
  <si>
    <t>FIN0510246451840</t>
  </si>
  <si>
    <t>FIN0510246485156</t>
  </si>
  <si>
    <t>FIN0610246569799</t>
  </si>
  <si>
    <t>05/10/2024</t>
  </si>
  <si>
    <t>FIN0810247286568</t>
  </si>
  <si>
    <t>FIN1710240604738</t>
  </si>
  <si>
    <t>FIN1710240605065</t>
  </si>
  <si>
    <t>FIN1710241695852</t>
  </si>
  <si>
    <t>FIN1710242083227</t>
  </si>
  <si>
    <t>FIN1910243100624</t>
  </si>
  <si>
    <t>18/10/2024</t>
  </si>
  <si>
    <t>FIN3010245810593</t>
  </si>
  <si>
    <t>25/10/2024</t>
  </si>
  <si>
    <t>07AAEPG4259P1ZB</t>
  </si>
  <si>
    <t>GOYAL JUTE FABRICATORS</t>
  </si>
  <si>
    <t>1065</t>
  </si>
  <si>
    <t>TSAS/2175/2425</t>
  </si>
  <si>
    <t>TSAS/2498/2425</t>
  </si>
  <si>
    <t>SPI/24-25/348</t>
  </si>
  <si>
    <t>SPI/24-25/393</t>
  </si>
  <si>
    <t>3384/24-25</t>
  </si>
  <si>
    <t>ADS251-103867887</t>
  </si>
  <si>
    <t>ADS457-103923963</t>
  </si>
  <si>
    <t>ES/GST/205/2425</t>
  </si>
  <si>
    <t>ES/OF/124/2425</t>
  </si>
  <si>
    <t>07AACCH5933J1ZG</t>
  </si>
  <si>
    <t>HARIOM RETAIL PVT.LTD.</t>
  </si>
  <si>
    <t>A2G11653/2425</t>
  </si>
  <si>
    <t>2024-11-893</t>
  </si>
  <si>
    <t>FIN0511245259767</t>
  </si>
  <si>
    <t>FIN0511245447810</t>
  </si>
  <si>
    <t>FIN0711243489275</t>
  </si>
  <si>
    <t>FIN0811244530399</t>
  </si>
  <si>
    <t>FIN1211246732036</t>
  </si>
  <si>
    <t>FIN1411248848323</t>
  </si>
  <si>
    <t>FIN1411249147777</t>
  </si>
  <si>
    <t>FIN2711242929939</t>
  </si>
  <si>
    <t>FIN2711244093795</t>
  </si>
  <si>
    <t>FIN2711244100345</t>
  </si>
  <si>
    <t>09AAACW7903M1ZV</t>
  </si>
  <si>
    <t>WINMET TECHNOLOGIES PRIVATE LIMITED</t>
  </si>
  <si>
    <t>WTN/24-25/0847</t>
  </si>
  <si>
    <t>KA-C-25-1171997</t>
  </si>
  <si>
    <t>CNTAX/085/2425</t>
  </si>
  <si>
    <t>27AABCG0609F1Z2</t>
  </si>
  <si>
    <t>Speedways Logistics Private Limited</t>
  </si>
  <si>
    <t>CN/SL/N/2425/072</t>
  </si>
  <si>
    <t>07AABCV3609C1ZP</t>
  </si>
  <si>
    <t>VRL LOGISTICS LIMITED.</t>
  </si>
  <si>
    <t>6106035932</t>
  </si>
  <si>
    <t>R/24-25/1901</t>
  </si>
  <si>
    <t>R/24-25/1927</t>
  </si>
  <si>
    <t>R/24-25/1934</t>
  </si>
  <si>
    <t>R/24-25/2034</t>
  </si>
  <si>
    <t>R/24-25/2056</t>
  </si>
  <si>
    <t>18/12/2024</t>
  </si>
  <si>
    <t>2024-12-994</t>
  </si>
  <si>
    <t>ES/GST/222/2425</t>
  </si>
  <si>
    <t>03/12/2024</t>
  </si>
  <si>
    <t>ES/GST/240/2425</t>
  </si>
  <si>
    <t>26/12/2024</t>
  </si>
  <si>
    <t>ES/GST/243/2425</t>
  </si>
  <si>
    <t>ES/OF/142/2425</t>
  </si>
  <si>
    <t>ES/OF/155/2425</t>
  </si>
  <si>
    <t>ES/OF/157/2425</t>
  </si>
  <si>
    <t>DPCS/6471/24-25</t>
  </si>
  <si>
    <t>06AABCV3609C1ZR</t>
  </si>
  <si>
    <t>6106036052</t>
  </si>
  <si>
    <t>FIN0712248977712</t>
  </si>
  <si>
    <t>06/12/2024</t>
  </si>
  <si>
    <t>FIN0912240022299</t>
  </si>
  <si>
    <t>FIN1012240503668</t>
  </si>
  <si>
    <t>09/12/2024</t>
  </si>
  <si>
    <t>FIN1012240593871</t>
  </si>
  <si>
    <t>FIN1012240634020</t>
  </si>
  <si>
    <t>FIN1312242205444</t>
  </si>
  <si>
    <t>11/12/2024</t>
  </si>
  <si>
    <t>FIN1312242868947</t>
  </si>
  <si>
    <t>FIN1312243240860</t>
  </si>
  <si>
    <t>FIN1312243650962</t>
  </si>
  <si>
    <t>FIN1412243659297</t>
  </si>
  <si>
    <t>13/12/2024</t>
  </si>
  <si>
    <t>FIN1412243809458</t>
  </si>
  <si>
    <t>FIN1812247025808</t>
  </si>
  <si>
    <t>FIN1812247162127</t>
  </si>
  <si>
    <t>FIN1812247164774</t>
  </si>
  <si>
    <t>FIN2012247601993</t>
  </si>
  <si>
    <t>19/12/2024</t>
  </si>
  <si>
    <t>FIN2012247644464</t>
  </si>
  <si>
    <t>FIN2312248991837</t>
  </si>
  <si>
    <t>21/12/2024</t>
  </si>
  <si>
    <t>SSV/3503/2024-25</t>
  </si>
  <si>
    <t>25/12/2024</t>
  </si>
  <si>
    <t>SSV/3504/2024-25</t>
  </si>
  <si>
    <t>SSV/3505/2024-25</t>
  </si>
  <si>
    <t>ADS-2425-611118</t>
  </si>
  <si>
    <t>KA-2425-2688557</t>
  </si>
  <si>
    <t>07AAGFJ2638D1ZL</t>
  </si>
  <si>
    <t>JAGAN INDUSTRIES</t>
  </si>
  <si>
    <t>1386</t>
  </si>
  <si>
    <t>1401</t>
  </si>
  <si>
    <t>23/12/2024</t>
  </si>
  <si>
    <t>07BGRPG8386D1ZY</t>
  </si>
  <si>
    <t>S.S.COMPUTERS</t>
  </si>
  <si>
    <t>2678</t>
  </si>
  <si>
    <t>FIT/24-25/2194</t>
  </si>
  <si>
    <t>FIT/24-25/2203</t>
  </si>
  <si>
    <t>FIT/24-25/2383</t>
  </si>
  <si>
    <t>30/12/2024</t>
  </si>
  <si>
    <t>FIT/24-25/2384</t>
  </si>
  <si>
    <t>FIT/24-25/2386</t>
  </si>
  <si>
    <t>IN-KVF-24-006375</t>
  </si>
  <si>
    <t>IN-KVF-24-006510</t>
  </si>
  <si>
    <t>16/12/2024</t>
  </si>
  <si>
    <t>SPI/24-25/446</t>
  </si>
  <si>
    <t>SPI/24-25/449</t>
  </si>
  <si>
    <t>07AACCS2321R1Z5</t>
  </si>
  <si>
    <t>SERVICE EQUIPMENT INDIA P LTD</t>
  </si>
  <si>
    <t>ND-S04043/24-25</t>
  </si>
  <si>
    <t>TI07202425000809</t>
  </si>
  <si>
    <t>TI07202425000810</t>
  </si>
  <si>
    <t>08IGTPD8675R1ZX</t>
  </si>
  <si>
    <t>WELLTECH CERTIFICATION SERVICES</t>
  </si>
  <si>
    <t>WCS-153</t>
  </si>
  <si>
    <t>SP/2425/9/3131</t>
  </si>
  <si>
    <t>SP/2425/9/3132</t>
  </si>
  <si>
    <t>1228</t>
  </si>
  <si>
    <t>1245</t>
  </si>
  <si>
    <t>27/12/2024</t>
  </si>
  <si>
    <t>1273</t>
  </si>
  <si>
    <t>29AABCT0716G1ZJ</t>
  </si>
  <si>
    <t>TUV SUD SOUTH ASIA PRIVATE LIMITED</t>
  </si>
  <si>
    <t>GG2900112634</t>
  </si>
  <si>
    <t>3889/24-25</t>
  </si>
  <si>
    <t>07AAAGE0059E1ZX</t>
  </si>
  <si>
    <t>EXPORT INSPECTION AGENCY DELHI</t>
  </si>
  <si>
    <t>DLDHO20242511477</t>
  </si>
  <si>
    <t>TSAS/2573/2425</t>
  </si>
  <si>
    <t>TSAS/2644/2425</t>
  </si>
  <si>
    <t>14/12/2024</t>
  </si>
  <si>
    <t>TSAS/2710/2425</t>
  </si>
  <si>
    <t>TSAS/2745/2425</t>
  </si>
  <si>
    <t>TSAS/2843/2425</t>
  </si>
  <si>
    <t>19AADCL9323M1Z0</t>
  </si>
  <si>
    <t>LEI REGISTER INDIA PRIVATE LIMITED</t>
  </si>
  <si>
    <t>INV-269004</t>
  </si>
  <si>
    <t>FIN0102252336060</t>
  </si>
  <si>
    <t>FIN0102252348001</t>
  </si>
  <si>
    <t>FIN0102252365525</t>
  </si>
  <si>
    <t>FIN0102252386223</t>
  </si>
  <si>
    <t>FIN0102252448459</t>
  </si>
  <si>
    <t>FIN0102252664689</t>
  </si>
  <si>
    <t>FIN0201258353883</t>
  </si>
  <si>
    <t>FIN0201258358696</t>
  </si>
  <si>
    <t>FIN0501251998059</t>
  </si>
  <si>
    <t>FIN0501252186805</t>
  </si>
  <si>
    <t>FIN0501252210803</t>
  </si>
  <si>
    <t>FIN0801252805773</t>
  </si>
  <si>
    <t>FIN1501258521717</t>
  </si>
  <si>
    <t>FIN1501258547700</t>
  </si>
  <si>
    <t>FIN1501258595785</t>
  </si>
  <si>
    <t>FIN1701259211198</t>
  </si>
  <si>
    <t>FIN1801250123203</t>
  </si>
  <si>
    <t>FIN1801250328410</t>
  </si>
  <si>
    <t>FIN1801250441463</t>
  </si>
  <si>
    <t>FIN1801250483664</t>
  </si>
  <si>
    <t>FIN1801250558175</t>
  </si>
  <si>
    <t>FIN1801250766782</t>
  </si>
  <si>
    <t>FIN1801251200621</t>
  </si>
  <si>
    <t>FIN1801259604360</t>
  </si>
  <si>
    <t>FIN1801259935322</t>
  </si>
  <si>
    <t>FIN2001252991244</t>
  </si>
  <si>
    <t>FIN2101253189094</t>
  </si>
  <si>
    <t>FIN2101253238413</t>
  </si>
  <si>
    <t>FIN2101253316226</t>
  </si>
  <si>
    <t>FIN2101253387040</t>
  </si>
  <si>
    <t>FIN2301253800009</t>
  </si>
  <si>
    <t>FIN2301253801138</t>
  </si>
  <si>
    <t>FIN2301257522156</t>
  </si>
  <si>
    <t>FIN2301257545126</t>
  </si>
  <si>
    <t>FIN2301257614598</t>
  </si>
  <si>
    <t>FIN2401251679508</t>
  </si>
  <si>
    <t>FIN2401251758988</t>
  </si>
  <si>
    <t>FIN2401251787641</t>
  </si>
  <si>
    <t>FIN2401251807986</t>
  </si>
  <si>
    <t>FIN2401251911766</t>
  </si>
  <si>
    <t>FIN2401251913957</t>
  </si>
  <si>
    <t>FIN3001251146805</t>
  </si>
  <si>
    <t>FIN3001251349605</t>
  </si>
  <si>
    <t>FIN3001251371890</t>
  </si>
  <si>
    <t>FIN3001251373772</t>
  </si>
  <si>
    <t>FIN3001251421121</t>
  </si>
  <si>
    <t>FIN3001251437628</t>
  </si>
  <si>
    <t>FIN3001251463002</t>
  </si>
  <si>
    <t>FIN3001251488513</t>
  </si>
  <si>
    <t>FIN3001251535539</t>
  </si>
  <si>
    <t>FIN3001251593404</t>
  </si>
  <si>
    <t>FIN3001251626355</t>
  </si>
  <si>
    <t>FIN3001251718718</t>
  </si>
  <si>
    <t>FIN3001251737001</t>
  </si>
  <si>
    <t>08AAPFR6736B1ZZ</t>
  </si>
  <si>
    <t>RITUL PATWA AND CO</t>
  </si>
  <si>
    <t>24-25/APoB/4121</t>
  </si>
  <si>
    <t>GJTIEXA241000366</t>
  </si>
  <si>
    <t>GJTIEXI241000451</t>
  </si>
  <si>
    <t>ES/GST/253/2425</t>
  </si>
  <si>
    <t>ES/GST/271/2425</t>
  </si>
  <si>
    <t>ES/GST/286/2425</t>
  </si>
  <si>
    <t>ES/OF/165/2425</t>
  </si>
  <si>
    <t>ES/OF/181/2425</t>
  </si>
  <si>
    <t>ES/OF/196/2425</t>
  </si>
  <si>
    <t>07AAECB1598D1ZS</t>
  </si>
  <si>
    <t>BALAJI TELESERVE PRIVATE LIMITED</t>
  </si>
  <si>
    <t>GST-66389</t>
  </si>
  <si>
    <t>9966</t>
  </si>
  <si>
    <t>TI07202425000846</t>
  </si>
  <si>
    <t>TI07202425000881</t>
  </si>
  <si>
    <t>TI07202425000896</t>
  </si>
  <si>
    <t>2025-01-1114</t>
  </si>
  <si>
    <t>FKRKA25001390315</t>
  </si>
  <si>
    <t>KCKLB20242505957</t>
  </si>
  <si>
    <t>TSAS/2942/2425</t>
  </si>
  <si>
    <t>TSAS/2945/2425</t>
  </si>
  <si>
    <t>TSAS/2976/2425</t>
  </si>
  <si>
    <t>TSAS/3025/2425</t>
  </si>
  <si>
    <t>TSAS/3078/2425</t>
  </si>
  <si>
    <t>TSAS/3095/2425</t>
  </si>
  <si>
    <t>TSAS/3273/2425</t>
  </si>
  <si>
    <t>09AAQFR0898B1ZT</t>
  </si>
  <si>
    <t>M/S R S AGRO INDUSTRIES</t>
  </si>
  <si>
    <t>GST/24-25/0439</t>
  </si>
  <si>
    <t>GST/24-25/0440</t>
  </si>
  <si>
    <t>GST/24-25/0441</t>
  </si>
  <si>
    <t>GST/24-25/0443</t>
  </si>
  <si>
    <t>GST/24-25/0444</t>
  </si>
  <si>
    <t>GST/24-25/0446</t>
  </si>
  <si>
    <t>GST/24-25/0447</t>
  </si>
  <si>
    <t>GST/24-25/0449</t>
  </si>
  <si>
    <t>GST/24-25/0450</t>
  </si>
  <si>
    <t>GST/24-25/0451</t>
  </si>
  <si>
    <t>GST/24-25/0452</t>
  </si>
  <si>
    <t>GST/24-25/0455</t>
  </si>
  <si>
    <t>26/01/2025</t>
  </si>
  <si>
    <t>GST/24-25/0459</t>
  </si>
  <si>
    <t>07AAKCT2454L1ZY</t>
  </si>
  <si>
    <t>TNSA SHIPPING CONSULTING PRIVATE LIMITED</t>
  </si>
  <si>
    <t>TNSA1/1043/24-25</t>
  </si>
  <si>
    <t>32AABGS2342P1Z4</t>
  </si>
  <si>
    <t>STATE LABORATORY FOR LIVESTOCK MARINE AND AGRI PRODUCTS</t>
  </si>
  <si>
    <t>2106</t>
  </si>
  <si>
    <t>08AAJCV9214B1ZC</t>
  </si>
  <si>
    <t>VS TRANS LOJISTIK PRIVATE LIMITED</t>
  </si>
  <si>
    <t>JPLSELS242506144</t>
  </si>
  <si>
    <t>JPLSELS242506145</t>
  </si>
  <si>
    <t>R/24-25/2384</t>
  </si>
  <si>
    <t xml:space="preserve">Input  </t>
  </si>
  <si>
    <t>09AAZFA6135D1Z7</t>
  </si>
  <si>
    <t>ARIHANT OVERSEAS</t>
  </si>
  <si>
    <t>U/24-25/2377</t>
  </si>
  <si>
    <t>07AWRPK1142L2Z8</t>
  </si>
  <si>
    <t>GOEL HARDWARE &amp; MILL STORE</t>
  </si>
  <si>
    <t>1714</t>
  </si>
  <si>
    <t>27/01/2025</t>
  </si>
  <si>
    <t>ADS-2425-723981</t>
  </si>
  <si>
    <t>KA-2425-2906696</t>
  </si>
  <si>
    <t>07AABCG3118R1ZD</t>
  </si>
  <si>
    <t>GALAXY AUTOMOBILES PRIVATE LIMITED</t>
  </si>
  <si>
    <t>TXC2443682</t>
  </si>
  <si>
    <t>DPCS/7244/24-25</t>
  </si>
  <si>
    <t>DLDHO20242512463</t>
  </si>
  <si>
    <t>DLDHO20242512469</t>
  </si>
  <si>
    <t>DLDHO20242512471</t>
  </si>
  <si>
    <t>DLDHO20242512472</t>
  </si>
  <si>
    <t>DLDHO20242512980</t>
  </si>
  <si>
    <t>DLDHO20242513022</t>
  </si>
  <si>
    <t>DLDHO20242513342</t>
  </si>
  <si>
    <t>DLDHO20242513375</t>
  </si>
  <si>
    <t>DLDHO20242513382</t>
  </si>
  <si>
    <t>SPG2425/3985</t>
  </si>
  <si>
    <t>SPG2425/3986</t>
  </si>
  <si>
    <t>SPG2425/3987</t>
  </si>
  <si>
    <t>SPG2425/4140</t>
  </si>
  <si>
    <t>SPG2425/4141</t>
  </si>
  <si>
    <t>SPG2425/4142</t>
  </si>
  <si>
    <t>SPG2425/4143</t>
  </si>
  <si>
    <t>SPG2425/4144</t>
  </si>
  <si>
    <t>SPG2425/4145</t>
  </si>
  <si>
    <t>RCAC122403784</t>
  </si>
  <si>
    <t>RCAC122403800</t>
  </si>
  <si>
    <t>RCAC122403802</t>
  </si>
  <si>
    <t>33AABCB6767B1ZZ</t>
  </si>
  <si>
    <t>BUREAU VERITAS INDIA PRIVATE LIMITED</t>
  </si>
  <si>
    <t>79-25000325</t>
  </si>
  <si>
    <t>4274/24-25</t>
  </si>
  <si>
    <t>4408/24-25</t>
  </si>
  <si>
    <t>4452/24-25</t>
  </si>
  <si>
    <t>4453/24-25</t>
  </si>
  <si>
    <t>4498/24-25</t>
  </si>
  <si>
    <t>PP/2425/9/209</t>
  </si>
  <si>
    <t>FIT/24-25/2526</t>
  </si>
  <si>
    <t>FIT/24-25/2535</t>
  </si>
  <si>
    <t>FIT/24-25/2670</t>
  </si>
  <si>
    <t>FIT/24-25/2671</t>
  </si>
  <si>
    <t>IN-KVF-24-007098</t>
  </si>
  <si>
    <t>IN-KVF-24-007270</t>
  </si>
  <si>
    <t>IN-KVF-24-007575</t>
  </si>
  <si>
    <t>IN-KVF-24-007576</t>
  </si>
  <si>
    <t>31170024E0005824</t>
  </si>
  <si>
    <t>SPI/24-25/470</t>
  </si>
  <si>
    <t>496</t>
  </si>
  <si>
    <t>506</t>
  </si>
  <si>
    <t>41</t>
  </si>
  <si>
    <t>CN/099/2425</t>
  </si>
  <si>
    <t>KA-C-25-1533842</t>
  </si>
  <si>
    <t>27ACYPA8091P1ZL</t>
  </si>
  <si>
    <t>Shrii Dadiji Agro</t>
  </si>
  <si>
    <t>22/02/2025</t>
  </si>
  <si>
    <t>09/02/2025</t>
  </si>
  <si>
    <t>TSAS/3312/2425</t>
  </si>
  <si>
    <t>04/02/2025</t>
  </si>
  <si>
    <t>TSAS/3357/2425</t>
  </si>
  <si>
    <t>TSAS/3379/2425</t>
  </si>
  <si>
    <t>08/02/2025</t>
  </si>
  <si>
    <t>TSAS/3422/2425</t>
  </si>
  <si>
    <t>TSAS/3550/2425</t>
  </si>
  <si>
    <t>19/02/2025</t>
  </si>
  <si>
    <t>TSAS/3552/2425</t>
  </si>
  <si>
    <t>TSAS/3553/2425</t>
  </si>
  <si>
    <t>TSAS/3554/2425</t>
  </si>
  <si>
    <t>TSAS/3570/2425</t>
  </si>
  <si>
    <t>4605/24-25</t>
  </si>
  <si>
    <t>4606/24-25</t>
  </si>
  <si>
    <t>4607/24-25</t>
  </si>
  <si>
    <t>4875/24-25</t>
  </si>
  <si>
    <t>IN-KVF-24-007917</t>
  </si>
  <si>
    <t>IN-KVF-24-008121</t>
  </si>
  <si>
    <t>IN-KVF-24-008122</t>
  </si>
  <si>
    <t>IN-KVF-24-008440</t>
  </si>
  <si>
    <t>IN-KVF-24-008766</t>
  </si>
  <si>
    <t>DLDHO20242513935</t>
  </si>
  <si>
    <t>DLDHO20242514382</t>
  </si>
  <si>
    <t>DLDHO20242514878</t>
  </si>
  <si>
    <t>DLDHO20242515312</t>
  </si>
  <si>
    <t>DLDHO20242515359</t>
  </si>
  <si>
    <t>71-25001799</t>
  </si>
  <si>
    <t>31170024E0006428</t>
  </si>
  <si>
    <t>32030024E0015242</t>
  </si>
  <si>
    <t>ES/GST/310/2425</t>
  </si>
  <si>
    <t>ES/OF/214/2425</t>
  </si>
  <si>
    <t>24AACCM4945P1Z1</t>
  </si>
  <si>
    <t>MSC MEDITERRANEAN SHIPPING CO. S.A.AGENT MSC AGENCY (INDIA)</t>
  </si>
  <si>
    <t>INMUNPX240193028</t>
  </si>
  <si>
    <t>INMUNPX240193493</t>
  </si>
  <si>
    <t>INMUNPX240198978</t>
  </si>
  <si>
    <t>RCAC012501236</t>
  </si>
  <si>
    <t>RCAC012502083</t>
  </si>
  <si>
    <t>RCAC012503696</t>
  </si>
  <si>
    <t>RCAC012504983</t>
  </si>
  <si>
    <t>PP/2425/9/223</t>
  </si>
  <si>
    <t>SP/2425/9/3685</t>
  </si>
  <si>
    <t>SP/2425/9/3690</t>
  </si>
  <si>
    <t>27AANCS1697M1ZH</t>
  </si>
  <si>
    <t>SIGMA FREIGHT PRIVATE LIMITED</t>
  </si>
  <si>
    <t>SIG/24-25/1305</t>
  </si>
  <si>
    <t>SIG/24-25/1306</t>
  </si>
  <si>
    <t>SIG/24-25/1308</t>
  </si>
  <si>
    <t>SIG/24-25/1309</t>
  </si>
  <si>
    <t>27AABCB6767B1ZS</t>
  </si>
  <si>
    <t>70-25002947</t>
  </si>
  <si>
    <t>09AAMCA4557H1ZC</t>
  </si>
  <si>
    <t>M/S  ASTHALAKSHMI AGROTECH PRIVATE LIMITED</t>
  </si>
  <si>
    <t>2024-25/100</t>
  </si>
  <si>
    <t>FIN0502256469849</t>
  </si>
  <si>
    <t>FIN0502259010915</t>
  </si>
  <si>
    <t>FIN0702259292578</t>
  </si>
  <si>
    <t>FIN0802250516973</t>
  </si>
  <si>
    <t>FIN0802259432086</t>
  </si>
  <si>
    <t>FIN1102251432373</t>
  </si>
  <si>
    <t>FIN1402251511505</t>
  </si>
  <si>
    <t>FIN1502251797196</t>
  </si>
  <si>
    <t>FIN1502251912015</t>
  </si>
  <si>
    <t>FIN1502252031902</t>
  </si>
  <si>
    <t>FIN1502252055255</t>
  </si>
  <si>
    <t>FIN1502252067617</t>
  </si>
  <si>
    <t>FIN1502252216375</t>
  </si>
  <si>
    <t>FIN1702252751930</t>
  </si>
  <si>
    <t>FIN1702254040387</t>
  </si>
  <si>
    <t>FIN1702254471059</t>
  </si>
  <si>
    <t>FIN1802254781771</t>
  </si>
  <si>
    <t>FIN1802254803048</t>
  </si>
  <si>
    <t>FIN1802254921072</t>
  </si>
  <si>
    <t>FIN2002255766919</t>
  </si>
  <si>
    <t>FIN2002255814407</t>
  </si>
  <si>
    <t>FIN2002255830522</t>
  </si>
  <si>
    <t>FIN2002255831729</t>
  </si>
  <si>
    <t>FIN2002255900666</t>
  </si>
  <si>
    <t>FIN2002255920898</t>
  </si>
  <si>
    <t>FIN2002256286973</t>
  </si>
  <si>
    <t>FIN2002256417924</t>
  </si>
  <si>
    <t>FIN2402250250664</t>
  </si>
  <si>
    <t>FIN2602256581592</t>
  </si>
  <si>
    <t>FIN2602257152568</t>
  </si>
  <si>
    <t>FIN2702251505002</t>
  </si>
  <si>
    <t>26/02/2025</t>
  </si>
  <si>
    <t>FIN2702251558061</t>
  </si>
  <si>
    <t>FIN2702252240799</t>
  </si>
  <si>
    <t>09AAAJB0346E1ZR</t>
  </si>
  <si>
    <t>Basmati Export Development Foundation</t>
  </si>
  <si>
    <t>32</t>
  </si>
  <si>
    <t>DL-2425-145837</t>
  </si>
  <si>
    <t>24AAACI6890F1ZK</t>
  </si>
  <si>
    <t>INTERTEK INDIA PRIVATE LIMITED</t>
  </si>
  <si>
    <t>IN-GJ-25-000432</t>
  </si>
  <si>
    <t>27AFBPM2157C1ZU</t>
  </si>
  <si>
    <t>SHREE COMP SYSTEMS</t>
  </si>
  <si>
    <t>07AFAPB4028C1ZA</t>
  </si>
  <si>
    <t>Maruti Logistics</t>
  </si>
  <si>
    <t>2025/Jan/244</t>
  </si>
  <si>
    <t>JPLSELS242506556</t>
  </si>
  <si>
    <t>JPLSELS242506683</t>
  </si>
  <si>
    <t>27AAACN9456C1ZF</t>
  </si>
  <si>
    <t>NAG VIDARBHA CHAMBER OF COMMERCE</t>
  </si>
  <si>
    <t>101202400001429</t>
  </si>
  <si>
    <t>101202400001431</t>
  </si>
  <si>
    <t>101202400001546</t>
  </si>
  <si>
    <t>101202400001547</t>
  </si>
  <si>
    <t>SPI/24-25/554</t>
  </si>
  <si>
    <t>SPI/24-25/555</t>
  </si>
  <si>
    <t>SPI/24-25/574</t>
  </si>
  <si>
    <t>07AAXCS7382P2Z0</t>
  </si>
  <si>
    <t>SHAMOOR PRIVATE LIMITED</t>
  </si>
  <si>
    <t>INV-2019001586</t>
  </si>
  <si>
    <t>32AACCM4485G1ZK</t>
  </si>
  <si>
    <t>NIPPON MOTOR CORPORATION PVT LTD</t>
  </si>
  <si>
    <t>TSUB24C00059</t>
  </si>
  <si>
    <t>TXC24-15940</t>
  </si>
  <si>
    <t>27AACCT1176H1ZC</t>
  </si>
  <si>
    <t>M/S TRIKOM SHIPPING PVT.LTD.</t>
  </si>
  <si>
    <t>EXP/002522/24-25</t>
  </si>
  <si>
    <t>24AAFCH3729K1ZH</t>
  </si>
  <si>
    <t>HUMBER INSPECTION INTERNATIONAL INDIA PRIVATE LIMITED</t>
  </si>
  <si>
    <t>HIIIPL/24-25/040</t>
  </si>
  <si>
    <t>HIIIPL/24-25/041</t>
  </si>
  <si>
    <t>HIIIPL/24-25/042</t>
  </si>
  <si>
    <t>FKRKA25001607805</t>
  </si>
  <si>
    <t>TI07202425000937</t>
  </si>
  <si>
    <t>TI07202425001009</t>
  </si>
  <si>
    <t>TI07202425001010</t>
  </si>
  <si>
    <t>ADS-2425-765951</t>
  </si>
  <si>
    <t>KA-2425-3266843</t>
  </si>
  <si>
    <t>KA-2425-3312006</t>
  </si>
  <si>
    <t>2025-02-1238</t>
  </si>
  <si>
    <t>GJEXREV241100078</t>
  </si>
  <si>
    <t>GJEXREV241100079</t>
  </si>
  <si>
    <t>KA-C-25-1654633</t>
  </si>
  <si>
    <t>07AABCW4315J1ZC</t>
  </si>
  <si>
    <t>WORLD ONE INDIA FOREX PRIVATE LIMITED</t>
  </si>
  <si>
    <t>SP/2425/1/51</t>
  </si>
  <si>
    <t>22AASFM0764B1ZJ</t>
  </si>
  <si>
    <t>MANJEESA AGRO PRODUCTS</t>
  </si>
  <si>
    <t>587</t>
  </si>
  <si>
    <t>862</t>
  </si>
  <si>
    <t>863</t>
  </si>
  <si>
    <t>04/04/2024</t>
  </si>
  <si>
    <t>2024-04-88</t>
  </si>
  <si>
    <t>07AAACI7904G1ZP</t>
  </si>
  <si>
    <t>ICICI LOMBARD GENERAL INSURANCE COMPANY LTD.</t>
  </si>
  <si>
    <t>1002242035011</t>
  </si>
  <si>
    <t>TNSA04/109/24-25</t>
  </si>
  <si>
    <t>26/04/2024</t>
  </si>
  <si>
    <t>TNSA04/110/24-25</t>
  </si>
  <si>
    <t>TNSA04/111/24-25</t>
  </si>
  <si>
    <t>FIT/24-25/0010</t>
  </si>
  <si>
    <t>FIT/24-25/0020</t>
  </si>
  <si>
    <t>FIT/24-25/0026</t>
  </si>
  <si>
    <t>FIT/24-25/0080</t>
  </si>
  <si>
    <t>23/04/2024</t>
  </si>
  <si>
    <t>V-EXP-2425-0013</t>
  </si>
  <si>
    <t>12/04/2024</t>
  </si>
  <si>
    <t>V-EXP-2425-0015</t>
  </si>
  <si>
    <t>V-EXP-2425-0024</t>
  </si>
  <si>
    <t>V-EXP-2425-0096</t>
  </si>
  <si>
    <t>16/04/2024</t>
  </si>
  <si>
    <t>V-EXP-2425-0135</t>
  </si>
  <si>
    <t>22/04/2024</t>
  </si>
  <si>
    <t>SSV/0115/2024-25</t>
  </si>
  <si>
    <t>22AANFA0738N1ZD</t>
  </si>
  <si>
    <t>ARIHANT RICE MILL</t>
  </si>
  <si>
    <t>10</t>
  </si>
  <si>
    <t>09/04/2024</t>
  </si>
  <si>
    <t>11</t>
  </si>
  <si>
    <t>12</t>
  </si>
  <si>
    <t>3</t>
  </si>
  <si>
    <t>4</t>
  </si>
  <si>
    <t>06/04/2024</t>
  </si>
  <si>
    <t>7</t>
  </si>
  <si>
    <t>07/04/2024</t>
  </si>
  <si>
    <t>FIN0304245036836</t>
  </si>
  <si>
    <t>FIN0504245611769</t>
  </si>
  <si>
    <t>FIN0604248098048</t>
  </si>
  <si>
    <t>FIN0904249073447</t>
  </si>
  <si>
    <t>FIN1304249752022</t>
  </si>
  <si>
    <t>FIN1404240044045</t>
  </si>
  <si>
    <t>FIN1504242435593</t>
  </si>
  <si>
    <t>FIN1804243609426</t>
  </si>
  <si>
    <t>FIN1804243979340</t>
  </si>
  <si>
    <t>FIN1804244090228</t>
  </si>
  <si>
    <t>FIN2004245309429</t>
  </si>
  <si>
    <t>FIN2304241270426</t>
  </si>
  <si>
    <t>FIN2304241310727</t>
  </si>
  <si>
    <t>FIN2404245010452</t>
  </si>
  <si>
    <t>FIN2404245030870</t>
  </si>
  <si>
    <t>FIN2404245030876</t>
  </si>
  <si>
    <t>FIN2404245198384</t>
  </si>
  <si>
    <t>FIN2504245285063</t>
  </si>
  <si>
    <t>FIN2504246592046</t>
  </si>
  <si>
    <t>21/04/2024</t>
  </si>
  <si>
    <t>FIN2504249103641</t>
  </si>
  <si>
    <t>FIN2704246546494</t>
  </si>
  <si>
    <t>06AAECI9044D1ZQ</t>
  </si>
  <si>
    <t>ISSGF INDIA PRIVATE LIMITED</t>
  </si>
  <si>
    <t>6TI/2425F/00484</t>
  </si>
  <si>
    <t>6TI/2425F/00485</t>
  </si>
  <si>
    <t>6TI/2425F/00493</t>
  </si>
  <si>
    <t>6TI/2425F/00494</t>
  </si>
  <si>
    <t>6TI/2425F/00517</t>
  </si>
  <si>
    <t>6TI/2425F/00518</t>
  </si>
  <si>
    <t>6TI/2425F/00561</t>
  </si>
  <si>
    <t>25/04/2024</t>
  </si>
  <si>
    <t>6TI/2425F/00578</t>
  </si>
  <si>
    <t>6TI/2425F/00579</t>
  </si>
  <si>
    <t>6TI/2425F/00580</t>
  </si>
  <si>
    <t>6TI/2425F/00728</t>
  </si>
  <si>
    <t>6TI/2425F/00729</t>
  </si>
  <si>
    <t>27AAACS5514Q1ZY</t>
  </si>
  <si>
    <t>1270310694</t>
  </si>
  <si>
    <t>7710479575</t>
  </si>
  <si>
    <t>07AACPB9986C1ZP</t>
  </si>
  <si>
    <t>KANAHIA STORES</t>
  </si>
  <si>
    <t>14</t>
  </si>
  <si>
    <t>SSG257/2024-25</t>
  </si>
  <si>
    <t>27AAMFK2535Q1ZP</t>
  </si>
  <si>
    <t>KAMAL POLYPACK</t>
  </si>
  <si>
    <t>KP/24-25/0217</t>
  </si>
  <si>
    <t>20/04/2024</t>
  </si>
  <si>
    <t>1</t>
  </si>
  <si>
    <t>8710079183</t>
  </si>
  <si>
    <t>15/04/2024</t>
  </si>
  <si>
    <t>19AEKFS9941L1Z2</t>
  </si>
  <si>
    <t>SANAY ENTERPRISES LLP</t>
  </si>
  <si>
    <t>SEL/0378/24-25</t>
  </si>
  <si>
    <t>SEL/0456/24-25</t>
  </si>
  <si>
    <t>17/05/2024</t>
  </si>
  <si>
    <t>SEL/0457/24-25</t>
  </si>
  <si>
    <t>SEL/0461/24-25</t>
  </si>
  <si>
    <t>SSV/0554/2024-25</t>
  </si>
  <si>
    <t>07AARFB8091P1ZI</t>
  </si>
  <si>
    <t>BOSS BOMBAY BATTERIES</t>
  </si>
  <si>
    <t>BBB/850/24-25</t>
  </si>
  <si>
    <t>FIN0106243803390</t>
  </si>
  <si>
    <t>FIN0705245033314</t>
  </si>
  <si>
    <t>FIN0705245193476</t>
  </si>
  <si>
    <t>FIN0805245399315</t>
  </si>
  <si>
    <t>FIN0805245861988</t>
  </si>
  <si>
    <t>FIN0805245901014</t>
  </si>
  <si>
    <t>FIN0905246309871</t>
  </si>
  <si>
    <t>FIN0905246406569</t>
  </si>
  <si>
    <t>FIN1005246656545</t>
  </si>
  <si>
    <t>FIN1605240188977</t>
  </si>
  <si>
    <t>FIN1605240249640</t>
  </si>
  <si>
    <t>FIN1605240389946</t>
  </si>
  <si>
    <t>FIN1605240413969</t>
  </si>
  <si>
    <t>FIN1605240614290</t>
  </si>
  <si>
    <t>FIN1705240831709</t>
  </si>
  <si>
    <t>FIN1805241051797</t>
  </si>
  <si>
    <t>FIN1805241059313</t>
  </si>
  <si>
    <t>FIN1805241111249</t>
  </si>
  <si>
    <t>FIN1805241171927</t>
  </si>
  <si>
    <t>FIN1805241209726</t>
  </si>
  <si>
    <t>FIN1805241300511</t>
  </si>
  <si>
    <t>FIN2105241865659</t>
  </si>
  <si>
    <t>20/05/2024</t>
  </si>
  <si>
    <t>FIN2705245599207</t>
  </si>
  <si>
    <t>FIN2805240530582</t>
  </si>
  <si>
    <t>27/05/2024</t>
  </si>
  <si>
    <t>FIN2805240596056</t>
  </si>
  <si>
    <t>FIN2805240667653</t>
  </si>
  <si>
    <t>FIN2805240717440</t>
  </si>
  <si>
    <t>FIN2805240737580</t>
  </si>
  <si>
    <t>FIN2905240786775</t>
  </si>
  <si>
    <t>28/05/2024</t>
  </si>
  <si>
    <t>FIN3005243153324</t>
  </si>
  <si>
    <t>29/05/2024</t>
  </si>
  <si>
    <t>FIN3105243331418</t>
  </si>
  <si>
    <t>V-EXP-2425-0467</t>
  </si>
  <si>
    <t>6TI/2425F/00894</t>
  </si>
  <si>
    <t>6TI/2425F/00988</t>
  </si>
  <si>
    <t>6TI/2425F/01035</t>
  </si>
  <si>
    <t>6TI/2425F/01162</t>
  </si>
  <si>
    <t>23/05/2024</t>
  </si>
  <si>
    <t>6TI/2425F/01274</t>
  </si>
  <si>
    <t>FIT/24-25/0236</t>
  </si>
  <si>
    <t>FIT/24-25/0485</t>
  </si>
  <si>
    <t>1004241002536</t>
  </si>
  <si>
    <t>1005242663132</t>
  </si>
  <si>
    <t>21/05/2024</t>
  </si>
  <si>
    <t>TNSA05/125/24-25</t>
  </si>
  <si>
    <t>01/05/2024</t>
  </si>
  <si>
    <t>KP/24-25/0850</t>
  </si>
  <si>
    <t>08/06/2024</t>
  </si>
  <si>
    <t>FIT/24-25/0673</t>
  </si>
  <si>
    <t>DHSEXP436/2425</t>
  </si>
  <si>
    <t>DHSEXP438/2425</t>
  </si>
  <si>
    <t>DHSEXP478/2425</t>
  </si>
  <si>
    <t>10/06/2024</t>
  </si>
  <si>
    <t>FIN0107241397691</t>
  </si>
  <si>
    <t>FIN0107242683152</t>
  </si>
  <si>
    <t>29/06/2024</t>
  </si>
  <si>
    <t>FIN0107242950044</t>
  </si>
  <si>
    <t>FIN0406246414578</t>
  </si>
  <si>
    <t>FIN0506246696099</t>
  </si>
  <si>
    <t>04/06/2024</t>
  </si>
  <si>
    <t>FIN1306241745951</t>
  </si>
  <si>
    <t>FIN1406242267871</t>
  </si>
  <si>
    <t>FIN1506242695194</t>
  </si>
  <si>
    <t>FIN1806242790951</t>
  </si>
  <si>
    <t>FIN2206243673391</t>
  </si>
  <si>
    <t>FIN2506244295488</t>
  </si>
  <si>
    <t>24/06/2024</t>
  </si>
  <si>
    <t>FIN2506244480930</t>
  </si>
  <si>
    <t>FIN2506244492418</t>
  </si>
  <si>
    <t>FIN2506244519959</t>
  </si>
  <si>
    <t>FIN2506244581138</t>
  </si>
  <si>
    <t>FIN2506244588597</t>
  </si>
  <si>
    <t>FIN2706249458530</t>
  </si>
  <si>
    <t>FIN2806240074108</t>
  </si>
  <si>
    <t>FIN2806240135006</t>
  </si>
  <si>
    <t>FIN2806249966580</t>
  </si>
  <si>
    <t>FIN2906240436167</t>
  </si>
  <si>
    <t>FIN2906240551263</t>
  </si>
  <si>
    <t>22ABPFM4875P1ZF</t>
  </si>
  <si>
    <t>MAA DURGE RICE MILL</t>
  </si>
  <si>
    <t>UNIT-II/278</t>
  </si>
  <si>
    <t>UNIT-II/279</t>
  </si>
  <si>
    <t>UNIT-II/281</t>
  </si>
  <si>
    <t>UNIT-II/283</t>
  </si>
  <si>
    <t>UNIT-II/284</t>
  </si>
  <si>
    <t>UNIT-II/288</t>
  </si>
  <si>
    <t>UNIT-II/289</t>
  </si>
  <si>
    <t>UNIT-II/291</t>
  </si>
  <si>
    <t>UNIT-II/293</t>
  </si>
  <si>
    <t>UNIT-II/294</t>
  </si>
  <si>
    <t>UNIT-II/295</t>
  </si>
  <si>
    <t>UNIT-II/297</t>
  </si>
  <si>
    <t>UNIT-II/301</t>
  </si>
  <si>
    <t>26/05/2024</t>
  </si>
  <si>
    <t>UNIT-II/303</t>
  </si>
  <si>
    <t>UNIT-II/304</t>
  </si>
  <si>
    <t>UNIT-II/305</t>
  </si>
  <si>
    <t>UNIT-II/306</t>
  </si>
  <si>
    <t>UNT-II/276</t>
  </si>
  <si>
    <t>TNSA06/318/24-25</t>
  </si>
  <si>
    <t>07/06/2024</t>
  </si>
  <si>
    <t>TNSA06/360/24-25</t>
  </si>
  <si>
    <t>TNSA06/361/24-25</t>
  </si>
  <si>
    <t>6TI/2425F/01488</t>
  </si>
  <si>
    <t>6TI/2425F/01801</t>
  </si>
  <si>
    <t>6TI/2425F/01803</t>
  </si>
  <si>
    <t>6TI/2425F/01804</t>
  </si>
  <si>
    <t>6TI/2425F/01805</t>
  </si>
  <si>
    <t>07AALCM1004A1Z7</t>
  </si>
  <si>
    <t>MOR BAGH HOSPITALITY PRIVATE LIMITED</t>
  </si>
  <si>
    <t>2024-2025/32</t>
  </si>
  <si>
    <t>24AADCS0142B1Z6</t>
  </si>
  <si>
    <t>SHUBHAM SHIPPING SERVICES PVT. LTD.</t>
  </si>
  <si>
    <t>SSSPL/25-26/187</t>
  </si>
  <si>
    <t>17/12/2025</t>
  </si>
  <si>
    <t>Input services</t>
  </si>
  <si>
    <t>07AACCU5496R1ZD</t>
  </si>
  <si>
    <t>UNICHECK LABS PRIVATE LIMITED</t>
  </si>
  <si>
    <t>2137</t>
  </si>
  <si>
    <t>24/12/2025</t>
  </si>
  <si>
    <t>07AABCJ6786G1Z9</t>
  </si>
  <si>
    <t>JET FREIGHT LOGISTICS LIMITED</t>
  </si>
  <si>
    <t>JFLDEL2512000059</t>
  </si>
  <si>
    <t>04/12/2025</t>
  </si>
  <si>
    <t>00440045</t>
  </si>
  <si>
    <t>JFLDEL2512000060</t>
  </si>
  <si>
    <t>09/12/2025</t>
  </si>
  <si>
    <t>JFLDEL2512000363</t>
  </si>
  <si>
    <t>29/12/2025</t>
  </si>
  <si>
    <t>JFLDEL2512000364</t>
  </si>
  <si>
    <t>0135251205040125</t>
  </si>
  <si>
    <t>05/12/2025</t>
  </si>
  <si>
    <t>0135251222130505</t>
  </si>
  <si>
    <t>22/12/2025</t>
  </si>
  <si>
    <t>0138251355515928</t>
  </si>
  <si>
    <t>12/12/2025</t>
  </si>
  <si>
    <t>0138251355516176</t>
  </si>
  <si>
    <t>0138251355516179</t>
  </si>
  <si>
    <t>0138251360705400</t>
  </si>
  <si>
    <t>3797DL2531007108</t>
  </si>
  <si>
    <t>31/12/2025</t>
  </si>
  <si>
    <t>07KHWPS6264K1Z2</t>
  </si>
  <si>
    <t>SHRI APKA LOGISTICS</t>
  </si>
  <si>
    <t>DL/164/25-26</t>
  </si>
  <si>
    <t>01/12/2025</t>
  </si>
  <si>
    <t>NO</t>
  </si>
  <si>
    <t>DL/178/25-26</t>
  </si>
  <si>
    <t>06/12/2025</t>
  </si>
  <si>
    <t>DL/192/25-26</t>
  </si>
  <si>
    <t>DL/193/25-26</t>
  </si>
  <si>
    <t>37AAECC7885N1ZT</t>
  </si>
  <si>
    <t>CU INSPECTIONS &amp; CERTIFICATIONS INDIA PRIVATE LIMITED</t>
  </si>
  <si>
    <t>INDVCI252600300</t>
  </si>
  <si>
    <t>23/12/2025</t>
  </si>
  <si>
    <t>11669N</t>
  </si>
  <si>
    <t>26/12/2025</t>
  </si>
  <si>
    <t>03AAEFG2588H1ZH</t>
  </si>
  <si>
    <t>GOLDEN FOOD PROUCTS NABHA</t>
  </si>
  <si>
    <t>237</t>
  </si>
  <si>
    <t>DLSR000267038</t>
  </si>
  <si>
    <t>INVDE2526000081</t>
  </si>
  <si>
    <t>03/12/2025</t>
  </si>
  <si>
    <t>0701122500872408</t>
  </si>
  <si>
    <t>0703122500000333</t>
  </si>
  <si>
    <t>07AGOPG0561G1ZJ</t>
  </si>
  <si>
    <t>A2Z PACKAGING INDUSTRIES</t>
  </si>
  <si>
    <t>2025-26/801</t>
  </si>
  <si>
    <t>02/12/2025</t>
  </si>
  <si>
    <t>2025-26/802</t>
  </si>
  <si>
    <t>RCAC122502107</t>
  </si>
  <si>
    <t>08/12/2025</t>
  </si>
  <si>
    <t>RCAC122505010</t>
  </si>
  <si>
    <t>16/12/2025</t>
  </si>
  <si>
    <t>RCAC122506469</t>
  </si>
  <si>
    <t>19/12/2025</t>
  </si>
  <si>
    <t>07AABAI0049P1ZJ</t>
  </si>
  <si>
    <t>INDO LATIN AMERICAN CHAMBER OF COMMERCE</t>
  </si>
  <si>
    <t>101202500060883</t>
  </si>
  <si>
    <t>07AAKCP4072C1ZJ</t>
  </si>
  <si>
    <t>PGS GLOBAL FORWARDING (INDIA) PRIVATE LIMITED</t>
  </si>
  <si>
    <t>DELSD014394</t>
  </si>
  <si>
    <t>DELSD014482</t>
  </si>
  <si>
    <t>11/12/2025</t>
  </si>
  <si>
    <t>DELSD014621</t>
  </si>
  <si>
    <t>DELSD014710</t>
  </si>
  <si>
    <t>30/12/2025</t>
  </si>
  <si>
    <t>A101202500035380</t>
  </si>
  <si>
    <t>25/12/2025</t>
  </si>
  <si>
    <t>IN-HR-25-013666</t>
  </si>
  <si>
    <t>30/11/2025</t>
  </si>
  <si>
    <t>IN-HR-25-013667</t>
  </si>
  <si>
    <t>DELSD014111</t>
  </si>
  <si>
    <t>15/11/2025</t>
  </si>
  <si>
    <t>DELSD014293</t>
  </si>
  <si>
    <t>29/11/2025</t>
  </si>
  <si>
    <t>IND/001449/25-26</t>
  </si>
  <si>
    <t>26/11/2025</t>
  </si>
  <si>
    <t>07AAGCR8772D1Z4</t>
  </si>
  <si>
    <t>Porter</t>
  </si>
  <si>
    <t>CRN1755485473</t>
  </si>
  <si>
    <t>CRN2063661097</t>
  </si>
  <si>
    <t>11/11/2025</t>
  </si>
  <si>
    <t>DL/152/25-26</t>
  </si>
  <si>
    <t>19/11/2025</t>
  </si>
  <si>
    <t>DLSR000264792</t>
  </si>
  <si>
    <t>14/11/2025</t>
  </si>
  <si>
    <t>DLSR000265248</t>
  </si>
  <si>
    <t>21/11/2025</t>
  </si>
  <si>
    <t>2025-26/714</t>
  </si>
  <si>
    <t>07/11/2025</t>
  </si>
  <si>
    <t>2025-26/743</t>
  </si>
  <si>
    <t>2025-26/746</t>
  </si>
  <si>
    <t>2025-26/764</t>
  </si>
  <si>
    <t>20/11/2025</t>
  </si>
  <si>
    <t>2025-26/779</t>
  </si>
  <si>
    <t>25/11/2025</t>
  </si>
  <si>
    <t>2025-26/781</t>
  </si>
  <si>
    <t>225-26/795</t>
  </si>
  <si>
    <t>28/11/2025</t>
  </si>
  <si>
    <t>0135251101001134</t>
  </si>
  <si>
    <t>01/11/2025</t>
  </si>
  <si>
    <t>0135251110048132</t>
  </si>
  <si>
    <t>10/11/2025</t>
  </si>
  <si>
    <t>0135251113068696</t>
  </si>
  <si>
    <t>13/11/2025</t>
  </si>
  <si>
    <t>0135251113069827</t>
  </si>
  <si>
    <t>0135251113070129</t>
  </si>
  <si>
    <t>0138251345415756</t>
  </si>
  <si>
    <t>RCAC112505180</t>
  </si>
  <si>
    <t>RCAC112505637</t>
  </si>
  <si>
    <t>TI07202526000749</t>
  </si>
  <si>
    <t>07AACCR1459F1ZI</t>
  </si>
  <si>
    <t>SPICEJET LIMITED</t>
  </si>
  <si>
    <t>10726/0000469843</t>
  </si>
  <si>
    <t>18/11/2025</t>
  </si>
  <si>
    <t>07AAACI7573H1ZE</t>
  </si>
  <si>
    <t>IFFCO TOKIO GENERAL INSURANCE COMPANY LTD</t>
  </si>
  <si>
    <t>22N2134700002</t>
  </si>
  <si>
    <t>24/11/2025</t>
  </si>
  <si>
    <t>09AAECA9674R2ZM</t>
  </si>
  <si>
    <t>M/S AROHUL FOODS PVT.LTD.</t>
  </si>
  <si>
    <t>RE007</t>
  </si>
  <si>
    <t>19AAFCJ2831E1ZQ</t>
  </si>
  <si>
    <t>JAK CLEARING AGENCY PRIVATE LIMITED</t>
  </si>
  <si>
    <t>JCAPL/1316/25-26</t>
  </si>
  <si>
    <t>13/10/2025</t>
  </si>
  <si>
    <t>CRN2139859125</t>
  </si>
  <si>
    <t>22/09/2025</t>
  </si>
  <si>
    <t>CRN1436291436</t>
  </si>
  <si>
    <t>29/10/2025</t>
  </si>
  <si>
    <t>CRN1582174211</t>
  </si>
  <si>
    <t>07/10/2025</t>
  </si>
  <si>
    <t>0135251014067489</t>
  </si>
  <si>
    <t>14/10/2025</t>
  </si>
  <si>
    <t>0135251024115227</t>
  </si>
  <si>
    <t>24/10/2025</t>
  </si>
  <si>
    <t>0138251332945208</t>
  </si>
  <si>
    <t>15/10/2025</t>
  </si>
  <si>
    <t>0138251333057912</t>
  </si>
  <si>
    <t>JFLDEL2510000090</t>
  </si>
  <si>
    <t>JFLDEL2510000101</t>
  </si>
  <si>
    <t>1693</t>
  </si>
  <si>
    <t>31/10/2025</t>
  </si>
  <si>
    <t>998346</t>
  </si>
  <si>
    <t>07APIPG9819G1ZN</t>
  </si>
  <si>
    <t>ALL PACK ENG. WORKS</t>
  </si>
  <si>
    <t>APEW/0809/25-26</t>
  </si>
  <si>
    <t>04/10/2025</t>
  </si>
  <si>
    <t>Capital goods</t>
  </si>
  <si>
    <t>27AAACF5690C1ZR</t>
  </si>
  <si>
    <t>HI-TOS LINER AGENCY PRIVATE LIMITED</t>
  </si>
  <si>
    <t>SDRN-N2510/5034</t>
  </si>
  <si>
    <t>101202500048450</t>
  </si>
  <si>
    <t>101202500049169</t>
  </si>
  <si>
    <t>IND/001087/25-26</t>
  </si>
  <si>
    <t>05/10/2025</t>
  </si>
  <si>
    <t>IND/001140/25-26</t>
  </si>
  <si>
    <t>10/10/2025</t>
  </si>
  <si>
    <t>2025-26/656</t>
  </si>
  <si>
    <t>19/10/2025</t>
  </si>
  <si>
    <t>2025-26/688</t>
  </si>
  <si>
    <t>RCAC092504158</t>
  </si>
  <si>
    <t>26/09/2025</t>
  </si>
  <si>
    <t>RCAC102501322</t>
  </si>
  <si>
    <t>RCAC102503128</t>
  </si>
  <si>
    <t>DELSD013777</t>
  </si>
  <si>
    <t>DELSD013791</t>
  </si>
  <si>
    <t>DELSD013792</t>
  </si>
  <si>
    <t>06AABCJ6786G1ZB</t>
  </si>
  <si>
    <t>JET FREIGHT LOGISTICS LIMITED0</t>
  </si>
  <si>
    <t>CNGGN2510000001</t>
  </si>
  <si>
    <t>01/10/2025</t>
  </si>
  <si>
    <t>07AAJCK6633P1ZV</t>
  </si>
  <si>
    <t>KBS TRAVELS PRIVATE LIMITED</t>
  </si>
  <si>
    <t>TI5/20260119</t>
  </si>
  <si>
    <t>19/01/2026</t>
  </si>
  <si>
    <t>TI6/20260120</t>
  </si>
  <si>
    <t>20/01/2026</t>
  </si>
  <si>
    <t>0135260109048333</t>
  </si>
  <si>
    <t>09/01/2026</t>
  </si>
  <si>
    <t>07AFFPG3432C1Z2</t>
  </si>
  <si>
    <t>GAUR VIJAY ELECTRICALS</t>
  </si>
  <si>
    <t>4493</t>
  </si>
  <si>
    <t>12/01/2026</t>
  </si>
  <si>
    <t>07AUNPK2455N1Z3</t>
  </si>
  <si>
    <t>Cell4UNxt</t>
  </si>
  <si>
    <t>2692/2025-26</t>
  </si>
  <si>
    <t>22/01/2026</t>
  </si>
  <si>
    <t>07AAMCS9358N1ZC</t>
  </si>
  <si>
    <t>SHRI CHAND COMPUTERS PVT LTD</t>
  </si>
  <si>
    <t>SCC/25-26/51051</t>
  </si>
  <si>
    <t>24/01/2026</t>
  </si>
  <si>
    <t>TI07202526000909</t>
  </si>
  <si>
    <t>15/01/2026</t>
  </si>
  <si>
    <t>07AABCF0191R1ZB</t>
  </si>
  <si>
    <t>GENERALI CENTRAL INSURANCE COMPANY LIMITED</t>
  </si>
  <si>
    <t>202507PNT0039830</t>
  </si>
  <si>
    <t>FEDERATION OF KUTCH INDUSTRIES ASSOCIATIONS</t>
  </si>
  <si>
    <t>102202500013885</t>
  </si>
  <si>
    <t>08/01/2026</t>
  </si>
  <si>
    <t>102202500013903</t>
  </si>
  <si>
    <t>RCAC012604052</t>
  </si>
  <si>
    <t>RCAC012605377</t>
  </si>
  <si>
    <t>RCAC012605603</t>
  </si>
  <si>
    <t>RCAC012606211</t>
  </si>
  <si>
    <t>13/01/2026</t>
  </si>
  <si>
    <t>06AAACS5514Q1Z2</t>
  </si>
  <si>
    <t>1060690711</t>
  </si>
  <si>
    <t>998349</t>
  </si>
  <si>
    <t>1060693468</t>
  </si>
  <si>
    <t>16/01/2026</t>
  </si>
  <si>
    <t>DLSCR00000110</t>
  </si>
  <si>
    <t>04/01/2026</t>
  </si>
  <si>
    <t>DLSCR00000128</t>
  </si>
  <si>
    <t>CRN1182501488</t>
  </si>
  <si>
    <t>06AAFCE6293D1ZO</t>
  </si>
  <si>
    <t>Eureka Analytical Services Private Limited</t>
  </si>
  <si>
    <t>EKA2/2526/8797</t>
  </si>
  <si>
    <t>02/01/2026</t>
  </si>
  <si>
    <t>LLP-PC-2526-8057</t>
  </si>
  <si>
    <t>998312</t>
  </si>
  <si>
    <t>CBF2602140893280</t>
  </si>
  <si>
    <t>21/01/2026</t>
  </si>
  <si>
    <t>CBF2602242377189</t>
  </si>
  <si>
    <t>CBF2602242377211</t>
  </si>
  <si>
    <t>CBF2602847818855</t>
  </si>
  <si>
    <t>28/01/2026</t>
  </si>
  <si>
    <t>24AAECC7885N1Z0</t>
  </si>
  <si>
    <t>INDKCI252601226</t>
  </si>
  <si>
    <t>998399</t>
  </si>
  <si>
    <t>2025-26/1013</t>
  </si>
  <si>
    <t>2025-26/1028</t>
  </si>
  <si>
    <t>2025-26/1030</t>
  </si>
  <si>
    <t>29/01/2026</t>
  </si>
  <si>
    <t>2025-26/1034</t>
  </si>
  <si>
    <t>30/01/2026</t>
  </si>
  <si>
    <t>2025-26/934</t>
  </si>
  <si>
    <t>05/01/2026</t>
  </si>
  <si>
    <t>27AAAGE1592G1ZJ</t>
  </si>
  <si>
    <t>Export Inspection Agency - Maharashtra</t>
  </si>
  <si>
    <t>INVMU2526000431</t>
  </si>
  <si>
    <t>0701012600437372</t>
  </si>
  <si>
    <t>31/01/2026</t>
  </si>
  <si>
    <t>0703012600000614</t>
  </si>
  <si>
    <t>11968N</t>
  </si>
  <si>
    <t>01/01/2026</t>
  </si>
  <si>
    <t>3197</t>
  </si>
  <si>
    <t>3198</t>
  </si>
  <si>
    <t>101202500065936</t>
  </si>
  <si>
    <t>DELSD014811</t>
  </si>
  <si>
    <t>A101202500040191</t>
  </si>
  <si>
    <t>23/01/2026</t>
  </si>
  <si>
    <t>A101202500040220</t>
  </si>
  <si>
    <t>TSS/TI/2526/1507</t>
  </si>
  <si>
    <t>TSS/TI/2526/1508</t>
  </si>
  <si>
    <t>TSS/TI/2526/1509</t>
  </si>
  <si>
    <t>TSS/TI/2526/1510</t>
  </si>
  <si>
    <t>TSS/TI/2526/1511</t>
  </si>
  <si>
    <t>07ACXPJ1358F1ZC</t>
  </si>
  <si>
    <t>TEJAL EXPORTS</t>
  </si>
  <si>
    <t>TE/005/25-26</t>
  </si>
  <si>
    <t>08AAAGM0289C1ZJ</t>
  </si>
  <si>
    <t>Ministry of Railways</t>
  </si>
  <si>
    <t>PR24NW2019557035</t>
  </si>
  <si>
    <t>996421</t>
  </si>
  <si>
    <t>PR24NW2019682965</t>
  </si>
  <si>
    <t>29AAGCR4375J1ZU</t>
  </si>
  <si>
    <t>RAZORPAY SOFTWARE PRIVATE LIMITED</t>
  </si>
  <si>
    <t>LVGNKY8DQRLD0324</t>
  </si>
  <si>
    <t>08AAACB0446L1ZS</t>
  </si>
  <si>
    <t>2024308R00001886</t>
  </si>
  <si>
    <t>0044</t>
  </si>
  <si>
    <t>08AMBPM7231J1ZZ</t>
  </si>
  <si>
    <t>PRIYANKA ART N STYLE</t>
  </si>
  <si>
    <t>PANS/23-24/107</t>
  </si>
  <si>
    <t>PANS/23-24/108</t>
  </si>
  <si>
    <t>PANS/23-24/109</t>
  </si>
  <si>
    <t>PANS/23-24/110</t>
  </si>
  <si>
    <t>PANS/23-24/111</t>
  </si>
  <si>
    <t>PANS/23-24/112</t>
  </si>
  <si>
    <t>PANS/23-24/114</t>
  </si>
  <si>
    <t>PANS/23-24/115</t>
  </si>
  <si>
    <t>PANS/23-24/116</t>
  </si>
  <si>
    <t>PANS/23-24/117</t>
  </si>
  <si>
    <t>PANS/23-24/118</t>
  </si>
  <si>
    <t>2024307R00002406</t>
  </si>
  <si>
    <t>08AHFPN2118N2Z4</t>
  </si>
  <si>
    <t>ABHIK IMPEX</t>
  </si>
  <si>
    <t>ABK/23-24/037</t>
  </si>
  <si>
    <t>08EDQPS6820F1Z1</t>
  </si>
  <si>
    <t>THE HANDICRAFT HOME</t>
  </si>
  <si>
    <t>245</t>
  </si>
  <si>
    <t>IN240331V0131690</t>
  </si>
  <si>
    <t>FIN0204244395834</t>
  </si>
  <si>
    <t>FIN0603245274899</t>
  </si>
  <si>
    <t>FIN0603245392129</t>
  </si>
  <si>
    <t>FIN0603245445228</t>
  </si>
  <si>
    <t>FIN0603245567465</t>
  </si>
  <si>
    <t>FIN0803247935551</t>
  </si>
  <si>
    <t>FIN0903248753556</t>
  </si>
  <si>
    <t>FIN1103240630355</t>
  </si>
  <si>
    <t>FIN1503245815441</t>
  </si>
  <si>
    <t>FIN1603246321623</t>
  </si>
  <si>
    <t>FIN1903247177663</t>
  </si>
  <si>
    <t>FIN2403243942277</t>
  </si>
  <si>
    <t>FIN2603245894296</t>
  </si>
  <si>
    <t>FIN2603246186340</t>
  </si>
  <si>
    <t>FIN3103249789682</t>
  </si>
  <si>
    <t>DLSR000216406</t>
  </si>
  <si>
    <t>9968</t>
  </si>
  <si>
    <t>DLSR000216945</t>
  </si>
  <si>
    <t>DLSR000217485</t>
  </si>
  <si>
    <t>DLSR000218000</t>
  </si>
  <si>
    <t>2024208R00001881</t>
  </si>
  <si>
    <t>2024207R00002266</t>
  </si>
  <si>
    <t>IN240229V0129624</t>
  </si>
  <si>
    <t>4926396767</t>
  </si>
  <si>
    <t>FIN2502240441177</t>
  </si>
  <si>
    <t>FIN2602240590225</t>
  </si>
  <si>
    <t>FIN2702243152190</t>
  </si>
  <si>
    <t>LVGNKY8DQRLD0224</t>
  </si>
  <si>
    <t>06AAECB7131Q1ZE</t>
  </si>
  <si>
    <t>BIGFOOT RETAIL SOLUTIONS PRIVATE LIMITED</t>
  </si>
  <si>
    <t>SRF2324/00923786</t>
  </si>
  <si>
    <t>DLSR000215801</t>
  </si>
  <si>
    <t>PANS/23-24/102</t>
  </si>
  <si>
    <t>PANS/23-24/103</t>
  </si>
  <si>
    <t>PANS/23-24/105</t>
  </si>
  <si>
    <t>PANS/23-24/106</t>
  </si>
  <si>
    <t>PANS/24-25/003</t>
  </si>
  <si>
    <t>PANS/24-25/004</t>
  </si>
  <si>
    <t>17/04/2024</t>
  </si>
  <si>
    <t>PANS/24-25/006</t>
  </si>
  <si>
    <t>PANS/24-25/007</t>
  </si>
  <si>
    <t>PR24NW2019903892</t>
  </si>
  <si>
    <t>PR24NW2019990656</t>
  </si>
  <si>
    <t>27/04/2024</t>
  </si>
  <si>
    <t>2024407R00002954</t>
  </si>
  <si>
    <t>ADS574-103307862</t>
  </si>
  <si>
    <t>ADS574-103310371</t>
  </si>
  <si>
    <t>ADS574-103312849</t>
  </si>
  <si>
    <t>ADS574-103315354</t>
  </si>
  <si>
    <t>18/04/2024</t>
  </si>
  <si>
    <t>ADS574-103317966</t>
  </si>
  <si>
    <t>FIN0404245586581</t>
  </si>
  <si>
    <t>FIN0604247814552</t>
  </si>
  <si>
    <t>FIN0704248341311</t>
  </si>
  <si>
    <t>FIN0904248866424</t>
  </si>
  <si>
    <t>FIN1804243447922</t>
  </si>
  <si>
    <t>FIN1804243576852</t>
  </si>
  <si>
    <t>FIN2004245227485</t>
  </si>
  <si>
    <t>FIN2404245130716</t>
  </si>
  <si>
    <t>FIN2504245548112</t>
  </si>
  <si>
    <t>FIN2504248492937</t>
  </si>
  <si>
    <t>FIN2704246991962</t>
  </si>
  <si>
    <t>FIN3004248366309</t>
  </si>
  <si>
    <t>LVGNKY8DQRLD0424</t>
  </si>
  <si>
    <t>IN240430V0186856</t>
  </si>
  <si>
    <t>4975004060</t>
  </si>
  <si>
    <t>FIN0107242259461</t>
  </si>
  <si>
    <t>FIN0506246987309</t>
  </si>
  <si>
    <t>FIN0606247446597</t>
  </si>
  <si>
    <t>FIN0706248627722</t>
  </si>
  <si>
    <t>FIN1306241954680</t>
  </si>
  <si>
    <t>FIN1306242066498</t>
  </si>
  <si>
    <t>FIN1406242409979</t>
  </si>
  <si>
    <t>FIN1506242665625</t>
  </si>
  <si>
    <t>FIN2006243844190</t>
  </si>
  <si>
    <t>19/06/2024</t>
  </si>
  <si>
    <t>FIN2206243628656</t>
  </si>
  <si>
    <t>FIN2206243746385</t>
  </si>
  <si>
    <t>FIN2906240259326</t>
  </si>
  <si>
    <t>FIN2906240624381</t>
  </si>
  <si>
    <t>FIN2906240651617</t>
  </si>
  <si>
    <t>PANS/24-25/016</t>
  </si>
  <si>
    <t>PANS/24-25/017</t>
  </si>
  <si>
    <t>PANS/24-25/018</t>
  </si>
  <si>
    <t>PANS/24-25/019</t>
  </si>
  <si>
    <t>PANS/24-25/020</t>
  </si>
  <si>
    <t>PANS/24-25/021</t>
  </si>
  <si>
    <t>PANS/24-25/022</t>
  </si>
  <si>
    <t>5016337768</t>
  </si>
  <si>
    <t>LVGNKY8DQRLD0624</t>
  </si>
  <si>
    <t>IN240630V0177216</t>
  </si>
  <si>
    <t>IN240531V0193993</t>
  </si>
  <si>
    <t>07AAACM4873C2ZM</t>
  </si>
  <si>
    <t>MAGIC AUTO PRIVATE  LIMITED</t>
  </si>
  <si>
    <t>14/BR/24002570</t>
  </si>
  <si>
    <t>12/05/2024</t>
  </si>
  <si>
    <t>Input service</t>
  </si>
  <si>
    <t>FIN0305243793042</t>
  </si>
  <si>
    <t>FIN0305243839825</t>
  </si>
  <si>
    <t>FIN0705245048100</t>
  </si>
  <si>
    <t>FIN0705245066533</t>
  </si>
  <si>
    <t>FIN0705245248495</t>
  </si>
  <si>
    <t>FIN1205246786839</t>
  </si>
  <si>
    <t>FIN1805241285878</t>
  </si>
  <si>
    <t>FIN2505245375913</t>
  </si>
  <si>
    <t>FIN2705246529931</t>
  </si>
  <si>
    <t>FIN3105243043738</t>
  </si>
  <si>
    <t>FIN3105243198797</t>
  </si>
  <si>
    <t>SLA044360699576</t>
  </si>
  <si>
    <t>18/05/2024</t>
  </si>
  <si>
    <t>SLA044360699997</t>
  </si>
  <si>
    <t>4992392481</t>
  </si>
  <si>
    <t>PANS/24-25/008</t>
  </si>
  <si>
    <t>PANS/24-25/009</t>
  </si>
  <si>
    <t>PANS/24-25/014</t>
  </si>
  <si>
    <t>PANS/24-25/015</t>
  </si>
  <si>
    <t>DLSR000222315</t>
  </si>
  <si>
    <t>LVGNKY8DQRLD0524</t>
  </si>
  <si>
    <t>RIA044360699843</t>
  </si>
  <si>
    <t>5035363933</t>
  </si>
  <si>
    <t>FIN0207243405981</t>
  </si>
  <si>
    <t>01/07/2024</t>
  </si>
  <si>
    <t>FIN0507248853878</t>
  </si>
  <si>
    <t>FIN0607249208653</t>
  </si>
  <si>
    <t>FIN1407242506268</t>
  </si>
  <si>
    <t>13/07/2024</t>
  </si>
  <si>
    <t>FIN1407242633701</t>
  </si>
  <si>
    <t>FIN1607244894391</t>
  </si>
  <si>
    <t>15/07/2024</t>
  </si>
  <si>
    <t>FIN2207248947556</t>
  </si>
  <si>
    <t>FIN2407243456421</t>
  </si>
  <si>
    <t>23/07/2024</t>
  </si>
  <si>
    <t>LVGNKY8DQRLD0724</t>
  </si>
  <si>
    <t>08AABCD3611Q1ZI</t>
  </si>
  <si>
    <t>DHL EXPRESS (INDIA) PRIVATE LIMITED</t>
  </si>
  <si>
    <t>RJSR000137267</t>
  </si>
  <si>
    <t>RJSR000138141</t>
  </si>
  <si>
    <t>SLA044364126114</t>
  </si>
  <si>
    <t>LVGNKY8DQRLD0924</t>
  </si>
  <si>
    <t>5080746915</t>
  </si>
  <si>
    <t>PANS/24-25/041</t>
  </si>
  <si>
    <t>PANS/24-25/042</t>
  </si>
  <si>
    <t>PANS/24-25/043</t>
  </si>
  <si>
    <t>PANS/24-25/044</t>
  </si>
  <si>
    <t>15/09/2024</t>
  </si>
  <si>
    <t>PANS/24-25/045</t>
  </si>
  <si>
    <t>PANS/24-25/046</t>
  </si>
  <si>
    <t>PANS/24-25/047</t>
  </si>
  <si>
    <t>33BNFPS1795B2Z0</t>
  </si>
  <si>
    <t>HUEPRESS</t>
  </si>
  <si>
    <t>HP/24-25/181184</t>
  </si>
  <si>
    <t>INPUT</t>
  </si>
  <si>
    <t>HP/24-25/182183</t>
  </si>
  <si>
    <t>FIN0309248295403</t>
  </si>
  <si>
    <t>FIN1909241491503</t>
  </si>
  <si>
    <t>FIN2409246627941</t>
  </si>
  <si>
    <t>FIN2609242712305</t>
  </si>
  <si>
    <t>FIN3009245242488</t>
  </si>
  <si>
    <t>ADS540-103752415</t>
  </si>
  <si>
    <t>ADS540-103762217</t>
  </si>
  <si>
    <t>13/09/2024</t>
  </si>
  <si>
    <t>ADS540-103765177</t>
  </si>
  <si>
    <t>ADS540-103768436</t>
  </si>
  <si>
    <t>ADS540-103783661</t>
  </si>
  <si>
    <t>ADS540-103786522</t>
  </si>
  <si>
    <t>21/09/2024</t>
  </si>
  <si>
    <t>ADS540-103789130</t>
  </si>
  <si>
    <t>22/09/2024</t>
  </si>
  <si>
    <t>ADS540-103792383</t>
  </si>
  <si>
    <t>ADS540-103795665</t>
  </si>
  <si>
    <t>ADS540-103798733</t>
  </si>
  <si>
    <t>25/09/2024</t>
  </si>
  <si>
    <t>ADS540-103803166</t>
  </si>
  <si>
    <t>ADS540-103806166</t>
  </si>
  <si>
    <t>ADS540-103809108</t>
  </si>
  <si>
    <t>ADS540-103811884</t>
  </si>
  <si>
    <t>ADS540-103814976</t>
  </si>
  <si>
    <t>IN240930V0162206</t>
  </si>
  <si>
    <t>09AFRPK9552K1ZK</t>
  </si>
  <si>
    <t>M/S  INDIA ARTS PALACE</t>
  </si>
  <si>
    <t>GN-3134/2024-25</t>
  </si>
  <si>
    <t>PANS/24-25/032</t>
  </si>
  <si>
    <t>PANS/24-25/033</t>
  </si>
  <si>
    <t>PANS/24-25/034</t>
  </si>
  <si>
    <t>PANS/24-25/035</t>
  </si>
  <si>
    <t>18/08/2024</t>
  </si>
  <si>
    <t>PANS/24-25/036</t>
  </si>
  <si>
    <t>PANS/24-25/038</t>
  </si>
  <si>
    <t>PANS/24-25/039</t>
  </si>
  <si>
    <t>29/08/2024</t>
  </si>
  <si>
    <t>PANS/24-25/040</t>
  </si>
  <si>
    <t>LVGNKY8DQRLD0824</t>
  </si>
  <si>
    <t>5060596164</t>
  </si>
  <si>
    <t>FIN0608243307359</t>
  </si>
  <si>
    <t>FIN2008243649599</t>
  </si>
  <si>
    <t>FIN2008243947688</t>
  </si>
  <si>
    <t>19/08/2024</t>
  </si>
  <si>
    <t>FIN2308248041280</t>
  </si>
  <si>
    <t>FIN2708247436159</t>
  </si>
  <si>
    <t>26/08/2024</t>
  </si>
  <si>
    <t>HP/24-25/144942</t>
  </si>
  <si>
    <t>HP/24-25/170003</t>
  </si>
  <si>
    <t>PANS/24-25/026</t>
  </si>
  <si>
    <t>PANS/24-25/027</t>
  </si>
  <si>
    <t>PANS/24-25/029</t>
  </si>
  <si>
    <t>21/07/2024</t>
  </si>
  <si>
    <t>PANS/24-25/030</t>
  </si>
  <si>
    <t>ADS540-103693189</t>
  </si>
  <si>
    <t>ADS540-103695128</t>
  </si>
  <si>
    <t>ADS540-103696674</t>
  </si>
  <si>
    <t>ADS540-103699535</t>
  </si>
  <si>
    <t>ADS540-103704988</t>
  </si>
  <si>
    <t>25/08/2024</t>
  </si>
  <si>
    <t>ADS540-103707378</t>
  </si>
  <si>
    <t>ADS540-103710528</t>
  </si>
  <si>
    <t>RJSR000136365</t>
  </si>
  <si>
    <t>RJSR000136816</t>
  </si>
  <si>
    <t>ADS540-103998165</t>
  </si>
  <si>
    <t>ADS540-104000941</t>
  </si>
  <si>
    <t>ADS540-104003855</t>
  </si>
  <si>
    <t>ADS540-104036831</t>
  </si>
  <si>
    <t>ADS540-104040176</t>
  </si>
  <si>
    <t>15/12/2024</t>
  </si>
  <si>
    <t>ADS540-104069137</t>
  </si>
  <si>
    <t>ADS540-104071765</t>
  </si>
  <si>
    <t>ADS540-104071888</t>
  </si>
  <si>
    <t>ADS540-104074775</t>
  </si>
  <si>
    <t>ADS540-104077654</t>
  </si>
  <si>
    <t>05AAAHI1320K1ZS</t>
  </si>
  <si>
    <t>M/S JIMS JUNGLE RETREAT</t>
  </si>
  <si>
    <t>310</t>
  </si>
  <si>
    <t>LVGNKY8DQRLD1124</t>
  </si>
  <si>
    <t>PANS/24-25/069</t>
  </si>
  <si>
    <t>PANS/24-25/070</t>
  </si>
  <si>
    <t>PANS/24-25/071</t>
  </si>
  <si>
    <t>PANS/24-25/072</t>
  </si>
  <si>
    <t>PANS/24-25/073</t>
  </si>
  <si>
    <t>PANS/24-25/074</t>
  </si>
  <si>
    <t>FIN0211243359549</t>
  </si>
  <si>
    <t>FIN0310240610474</t>
  </si>
  <si>
    <t>02/10/2024</t>
  </si>
  <si>
    <t>FIN0510246437279</t>
  </si>
  <si>
    <t>FIN0610246663526</t>
  </si>
  <si>
    <t>FIN1010248755420</t>
  </si>
  <si>
    <t>FIN1510240093572</t>
  </si>
  <si>
    <t>FIN1710241325508</t>
  </si>
  <si>
    <t>FIN2110243397459</t>
  </si>
  <si>
    <t>20/10/2024</t>
  </si>
  <si>
    <t>FIN2310247483909</t>
  </si>
  <si>
    <t>22/10/2024</t>
  </si>
  <si>
    <t>FIN3010246044782</t>
  </si>
  <si>
    <t>5150423362</t>
  </si>
  <si>
    <t>SLA044367049865</t>
  </si>
  <si>
    <t>SLRSI2142016</t>
  </si>
  <si>
    <t>FIN0912240444417</t>
  </si>
  <si>
    <t>08/12/2024</t>
  </si>
  <si>
    <t>FIN1712246780628</t>
  </si>
  <si>
    <t>FIN2012247865131</t>
  </si>
  <si>
    <t>FIN2112248199673</t>
  </si>
  <si>
    <t>FIN2312249940934</t>
  </si>
  <si>
    <t>FIN2412243680406</t>
  </si>
  <si>
    <t>FIN3012240386967</t>
  </si>
  <si>
    <t>29/12/2024</t>
  </si>
  <si>
    <t>FIN3012249259765</t>
  </si>
  <si>
    <t>PANS/24-25/049</t>
  </si>
  <si>
    <t>PANS/24-25/050</t>
  </si>
  <si>
    <t>PANS/24-25/051</t>
  </si>
  <si>
    <t>PANS/24-25/052</t>
  </si>
  <si>
    <t>13/10/2024</t>
  </si>
  <si>
    <t>PANS/24-25/056</t>
  </si>
  <si>
    <t>07AAECT6220G2ZI</t>
  </si>
  <si>
    <t>TAMS GLOBAL PRIVATE LIMITED</t>
  </si>
  <si>
    <t>B21176T240604620</t>
  </si>
  <si>
    <t>PR24NW2021407753</t>
  </si>
  <si>
    <t>5105392032</t>
  </si>
  <si>
    <t>RJSR000142776</t>
  </si>
  <si>
    <t>RJSR000144252</t>
  </si>
  <si>
    <t>ADS540-103818064</t>
  </si>
  <si>
    <t>ADS540-103820889</t>
  </si>
  <si>
    <t>ADS540-103860986</t>
  </si>
  <si>
    <t>ADS540-103863712</t>
  </si>
  <si>
    <t>17/10/2024</t>
  </si>
  <si>
    <t>ADS540-103881344</t>
  </si>
  <si>
    <t>ADS540-103884386</t>
  </si>
  <si>
    <t>ADS540-103887557</t>
  </si>
  <si>
    <t>LVGNKY8DQRLD1024</t>
  </si>
  <si>
    <t>ADS540-103935326</t>
  </si>
  <si>
    <t>ADS540-103938437</t>
  </si>
  <si>
    <t>ADS540-103963896</t>
  </si>
  <si>
    <t>20/11/2024</t>
  </si>
  <si>
    <t>ADS540-103966988</t>
  </si>
  <si>
    <t>ADS540-103970185</t>
  </si>
  <si>
    <t>ADS540-103973332</t>
  </si>
  <si>
    <t>23/11/2024</t>
  </si>
  <si>
    <t>ADS540-103995421</t>
  </si>
  <si>
    <t>LVGNKY8DQRLD1224</t>
  </si>
  <si>
    <t>07AAFCG9846E2ZC</t>
  </si>
  <si>
    <t>BLINK COMMERCE PRIVATE LIMITED</t>
  </si>
  <si>
    <t>DLFB250000069939</t>
  </si>
  <si>
    <t>5129005215</t>
  </si>
  <si>
    <t>PR24NW2021505637</t>
  </si>
  <si>
    <t>07/11/2024</t>
  </si>
  <si>
    <t>PANS/24-25/059</t>
  </si>
  <si>
    <t>PANS/24-25/061</t>
  </si>
  <si>
    <t>15/11/2024</t>
  </si>
  <si>
    <t>PANS/24-25/062</t>
  </si>
  <si>
    <t>PANS/24-25/063</t>
  </si>
  <si>
    <t>FIN0112240142693</t>
  </si>
  <si>
    <t>FIN1511249548237</t>
  </si>
  <si>
    <t>FIN2711242537971</t>
  </si>
  <si>
    <t>FIN2711242709997</t>
  </si>
  <si>
    <t>FIN2711243048935</t>
  </si>
  <si>
    <t>RJSR000147070</t>
  </si>
  <si>
    <t>RJSR000147799</t>
  </si>
  <si>
    <t>RJSR000148163</t>
  </si>
  <si>
    <t>FIN2001251913143</t>
  </si>
  <si>
    <t>FIN2401251753262</t>
  </si>
  <si>
    <t>FIN2501252190311</t>
  </si>
  <si>
    <t>FIN3001251300688</t>
  </si>
  <si>
    <t>ADS540-104090388</t>
  </si>
  <si>
    <t>ADS540-104093161</t>
  </si>
  <si>
    <t>ADS540-104095948</t>
  </si>
  <si>
    <t>ADS540-104098707</t>
  </si>
  <si>
    <t>ADS540-104101526</t>
  </si>
  <si>
    <t>ADS540-104109538</t>
  </si>
  <si>
    <t>ADS540-104112306</t>
  </si>
  <si>
    <t>ADS540-104115077</t>
  </si>
  <si>
    <t>ADS540-104117763</t>
  </si>
  <si>
    <t>ADS540-104132482</t>
  </si>
  <si>
    <t>ADS540-104135151</t>
  </si>
  <si>
    <t>ADS540-104137728</t>
  </si>
  <si>
    <t>ADS540-104140477</t>
  </si>
  <si>
    <t>ADS540-104153978</t>
  </si>
  <si>
    <t>ADS540-104156576</t>
  </si>
  <si>
    <t>ADS540-104159435</t>
  </si>
  <si>
    <t>ADS540-104162077</t>
  </si>
  <si>
    <t>ADS540-104164776</t>
  </si>
  <si>
    <t>ADS540-104167395</t>
  </si>
  <si>
    <t>ADS540-104170392</t>
  </si>
  <si>
    <t>PANS/24-25/089</t>
  </si>
  <si>
    <t>PANS/24-25/090</t>
  </si>
  <si>
    <t>LVGNKY8DQRLD0325</t>
  </si>
  <si>
    <t>PANS/24-25/078</t>
  </si>
  <si>
    <t>PANS/24-25/080</t>
  </si>
  <si>
    <t>PANS/24-25/081</t>
  </si>
  <si>
    <t>PANS/24-25/084</t>
  </si>
  <si>
    <t>PANS/24-25/085</t>
  </si>
  <si>
    <t>PANS/24-25/086</t>
  </si>
  <si>
    <t>5220834810</t>
  </si>
  <si>
    <t>27AAVCS5204J1ZW</t>
  </si>
  <si>
    <t>SMARTIVITY LABS PRIVATE LIMITED</t>
  </si>
  <si>
    <t>MH/24-25/OL/1748</t>
  </si>
  <si>
    <t>07AAGCE9609N1Z2</t>
  </si>
  <si>
    <t>SHREYASH AUTOMOTIVES PRIVATE LIMITED</t>
  </si>
  <si>
    <t>10/BR/24005529</t>
  </si>
  <si>
    <t>5196871686</t>
  </si>
  <si>
    <t>PANS/24-25/096</t>
  </si>
  <si>
    <t>PANS/24-25/097</t>
  </si>
  <si>
    <t>PANS/24-25/098</t>
  </si>
  <si>
    <t>PANS/24-25/099</t>
  </si>
  <si>
    <t>09/03/2025</t>
  </si>
  <si>
    <t>PANS/24-25/100</t>
  </si>
  <si>
    <t>PANS/24-25/101</t>
  </si>
  <si>
    <t>PANS/24-25/102</t>
  </si>
  <si>
    <t>PANS/24-25/103</t>
  </si>
  <si>
    <t>PANS/24-25/105</t>
  </si>
  <si>
    <t>PANS/24-25/106</t>
  </si>
  <si>
    <t>PANS/24-25/107</t>
  </si>
  <si>
    <t>30/03/2025</t>
  </si>
  <si>
    <t>PANS/24-25/109</t>
  </si>
  <si>
    <t>RJSR000145616</t>
  </si>
  <si>
    <t>RJSR000145948</t>
  </si>
  <si>
    <t>ADS540-104172740</t>
  </si>
  <si>
    <t>ADS540-104187335</t>
  </si>
  <si>
    <t>ADS540-104190429</t>
  </si>
  <si>
    <t>ADS540-104193449</t>
  </si>
  <si>
    <t>ADS540-104196402</t>
  </si>
  <si>
    <t>ADS540-104199456</t>
  </si>
  <si>
    <t>ADS540-104218720</t>
  </si>
  <si>
    <t>ADS540-104221672</t>
  </si>
  <si>
    <t>ADS540-104224561</t>
  </si>
  <si>
    <t>ADS540-104227499</t>
  </si>
  <si>
    <t>ADS540-104230734</t>
  </si>
  <si>
    <t>ADS540-104243075</t>
  </si>
  <si>
    <t>24/02/2025</t>
  </si>
  <si>
    <t>ADS540-104246302</t>
  </si>
  <si>
    <t>ADS540-104249821</t>
  </si>
  <si>
    <t>ADS540-104253192</t>
  </si>
  <si>
    <t>LVGNKY8DQRLD0225</t>
  </si>
  <si>
    <t>ADS540-104282479</t>
  </si>
  <si>
    <t>ADS540-104285403</t>
  </si>
  <si>
    <t>ADS540-104288624</t>
  </si>
  <si>
    <t>10/03/2025</t>
  </si>
  <si>
    <t>ADS540-104319061</t>
  </si>
  <si>
    <t>ADS540-104322510</t>
  </si>
  <si>
    <t>ADS540-104325844</t>
  </si>
  <si>
    <t>ADS540-104328929</t>
  </si>
  <si>
    <t>ADS540-104331913</t>
  </si>
  <si>
    <t>ADS540-104335051</t>
  </si>
  <si>
    <t>ADS540-104338059</t>
  </si>
  <si>
    <t>ADS540-104341162</t>
  </si>
  <si>
    <t>ADS540-104344390</t>
  </si>
  <si>
    <t>ADS540-104347589</t>
  </si>
  <si>
    <t>FIN1002251381798</t>
  </si>
  <si>
    <t>FIN1502252219125</t>
  </si>
  <si>
    <t>FIN2402250090179</t>
  </si>
  <si>
    <t>FIN2402250347203</t>
  </si>
  <si>
    <t>FIN2802254744024</t>
  </si>
  <si>
    <t>05AADCR0911P1ZD</t>
  </si>
  <si>
    <t>TREE OF LIFE HIGHLANDS, LANDOUR-MUSSOORIE</t>
  </si>
  <si>
    <t>MUS-Y21/FD1591</t>
  </si>
  <si>
    <t>MUS-Y21/FD1592</t>
  </si>
  <si>
    <t>5174980410</t>
  </si>
  <si>
    <t>06AAJCC9424C1ZT</t>
  </si>
  <si>
    <t>CANOPY ESSENCE PRIVATE LIMITED</t>
  </si>
  <si>
    <t>DEL4-28966</t>
  </si>
  <si>
    <t>LVGNKY8DQRLD0125</t>
  </si>
  <si>
    <t>09BYRPK2031D1ZJ</t>
  </si>
  <si>
    <t>M.F.KHAN &amp; ASSOCIATES</t>
  </si>
  <si>
    <t>MF/24-25/00246</t>
  </si>
  <si>
    <t>09CKIPN0074R1ZG</t>
  </si>
  <si>
    <t>CROSS WOOD</t>
  </si>
  <si>
    <t>961</t>
  </si>
  <si>
    <t>IN250228V0182297</t>
  </si>
  <si>
    <t>FIN0903253204974</t>
  </si>
  <si>
    <t>FIN1003253991884</t>
  </si>
  <si>
    <t>FIN2003258193973</t>
  </si>
  <si>
    <t>FIN2103259778969</t>
  </si>
  <si>
    <t>FIN2303250924504</t>
  </si>
  <si>
    <t>FIN2503252230863</t>
  </si>
  <si>
    <t>FIN3003257086053</t>
  </si>
  <si>
    <t>27AQVPG0779R1ZQ</t>
  </si>
  <si>
    <t>Evergreen Enterprises</t>
  </si>
  <si>
    <t>PNQ3-5566</t>
  </si>
  <si>
    <t>06AAFCD6883Q1ZU</t>
  </si>
  <si>
    <t>Darshita Aashiyana Private Limited</t>
  </si>
  <si>
    <t>DEL5-1401832</t>
  </si>
  <si>
    <t>PR25NW2022379259</t>
  </si>
  <si>
    <t>23/02/2025</t>
  </si>
  <si>
    <t>RJSR000144851</t>
  </si>
  <si>
    <t>IN250331V0128184</t>
  </si>
  <si>
    <t>FIN0306256958974</t>
  </si>
  <si>
    <t>FIN1506254719691</t>
  </si>
  <si>
    <t>14/06/2025</t>
  </si>
  <si>
    <t>FIN2306252242194</t>
  </si>
  <si>
    <t>21/06/2025</t>
  </si>
  <si>
    <t>FIN2406256864650</t>
  </si>
  <si>
    <t>FIN2506257132679</t>
  </si>
  <si>
    <t>24/06/2025</t>
  </si>
  <si>
    <t>DEL5-897549</t>
  </si>
  <si>
    <t>15/06/2025</t>
  </si>
  <si>
    <t>RJSR000148796</t>
  </si>
  <si>
    <t>RJSR000149132</t>
  </si>
  <si>
    <t>RJSR000149490</t>
  </si>
  <si>
    <t>RJSR000149853</t>
  </si>
  <si>
    <t>RAZORPAY SOFTWARE LIMITED</t>
  </si>
  <si>
    <t>LVGNKY8DQRLD0425</t>
  </si>
  <si>
    <t>36BMPPJ6869L1Z2</t>
  </si>
  <si>
    <t>RIDHIMA ENTERPRISES</t>
  </si>
  <si>
    <t>3329</t>
  </si>
  <si>
    <t>ADS540-104569645</t>
  </si>
  <si>
    <t>ADS540-104573031</t>
  </si>
  <si>
    <t>ADS540-104576256</t>
  </si>
  <si>
    <t>ADS540-104579421</t>
  </si>
  <si>
    <t>ADS540-104582481</t>
  </si>
  <si>
    <t>08/06/2025</t>
  </si>
  <si>
    <t>ADS540-104585794</t>
  </si>
  <si>
    <t>ADS540-104592317</t>
  </si>
  <si>
    <t>ADS540-104595661</t>
  </si>
  <si>
    <t>ADS540-104599020</t>
  </si>
  <si>
    <t>13/06/2025</t>
  </si>
  <si>
    <t>ADS540-104602122</t>
  </si>
  <si>
    <t>ADS540-104605688</t>
  </si>
  <si>
    <t>ADS540-104608925</t>
  </si>
  <si>
    <t>16/06/2025</t>
  </si>
  <si>
    <t>ADS540-104622390</t>
  </si>
  <si>
    <t>ADS540-104625697</t>
  </si>
  <si>
    <t>ADS540-104628917</t>
  </si>
  <si>
    <t>ADS540-104632456</t>
  </si>
  <si>
    <t>ADS540-104649772</t>
  </si>
  <si>
    <t>28/06/2025</t>
  </si>
  <si>
    <t>ADS540-104652900</t>
  </si>
  <si>
    <t>29/06/2025</t>
  </si>
  <si>
    <t>ADS540-104656811</t>
  </si>
  <si>
    <t>IN250531V0173988</t>
  </si>
  <si>
    <t>08AABCF6516A1Z3</t>
  </si>
  <si>
    <t>FEDEX EXPRESS TRANSPORTATION AND SUPPLY CHAIN SERVICES (I) PRIVATE LIMITED</t>
  </si>
  <si>
    <t>276389289</t>
  </si>
  <si>
    <t>276389744</t>
  </si>
  <si>
    <t>276390244</t>
  </si>
  <si>
    <t>08AAACH2439K1ZJ</t>
  </si>
  <si>
    <t>BOUTIQUE HOTELS INDIA PRIVATE LIMITED</t>
  </si>
  <si>
    <t>21286205</t>
  </si>
  <si>
    <t>PR25NW2022799523</t>
  </si>
  <si>
    <t>PANS/25-26/024</t>
  </si>
  <si>
    <t>PANS/25-26/025</t>
  </si>
  <si>
    <t>PANS/25-26/026</t>
  </si>
  <si>
    <t>PANS/25-26/029</t>
  </si>
  <si>
    <t>PANS/25-26/030</t>
  </si>
  <si>
    <t>SLRSI4852743</t>
  </si>
  <si>
    <t>SLRSI4852744</t>
  </si>
  <si>
    <t>5301052737</t>
  </si>
  <si>
    <t>08AAACF5757E1ZN</t>
  </si>
  <si>
    <t>FRUITFUL BUILDCON PRIVATE LIMITED</t>
  </si>
  <si>
    <t>JAIGH304232</t>
  </si>
  <si>
    <t>276387770</t>
  </si>
  <si>
    <t>07AAHCV3778L1ZM</t>
  </si>
  <si>
    <t>VIJAY SALES</t>
  </si>
  <si>
    <t>DRG-F-SI3191</t>
  </si>
  <si>
    <t>DRG-F-SIRT2688</t>
  </si>
  <si>
    <t>Shiprocket Limited</t>
  </si>
  <si>
    <t>SRF26HR000114469</t>
  </si>
  <si>
    <t>PANS/25-26/012</t>
  </si>
  <si>
    <t>PANS/25-26/013</t>
  </si>
  <si>
    <t>PANS/25-26/014</t>
  </si>
  <si>
    <t>PANS/25-26/015</t>
  </si>
  <si>
    <t>PANS/25-26/016</t>
  </si>
  <si>
    <t>10/05/2025</t>
  </si>
  <si>
    <t>PANS/25-26/017</t>
  </si>
  <si>
    <t>PANS/25-26/019</t>
  </si>
  <si>
    <t>PANS/25-26/020</t>
  </si>
  <si>
    <t>PANS/25-26/021</t>
  </si>
  <si>
    <t>PANS/25-26/022</t>
  </si>
  <si>
    <t>PANS/25-26/023</t>
  </si>
  <si>
    <t>ADS540-104370151</t>
  </si>
  <si>
    <t>ADS540-104373039</t>
  </si>
  <si>
    <t>ADS540-104375917</t>
  </si>
  <si>
    <t>06/04/2025</t>
  </si>
  <si>
    <t>ADS540-104379102</t>
  </si>
  <si>
    <t>ADS540-104382336</t>
  </si>
  <si>
    <t>ADS540-104385580</t>
  </si>
  <si>
    <t>ADS540-104395329</t>
  </si>
  <si>
    <t>ADS540-104398446</t>
  </si>
  <si>
    <t>ADS540-104401636</t>
  </si>
  <si>
    <t>ADS540-104414048</t>
  </si>
  <si>
    <t>ADS540-104416949</t>
  </si>
  <si>
    <t>19/04/2025</t>
  </si>
  <si>
    <t>ADS540-104419866</t>
  </si>
  <si>
    <t>20/04/2025</t>
  </si>
  <si>
    <t>ADS540-104422844</t>
  </si>
  <si>
    <t>ADS540-104425855</t>
  </si>
  <si>
    <t>ADS540-104429015</t>
  </si>
  <si>
    <t>ADS540-104432216</t>
  </si>
  <si>
    <t>ADS540-104441498</t>
  </si>
  <si>
    <t>27/04/2025</t>
  </si>
  <si>
    <t>ADS540-104444774</t>
  </si>
  <si>
    <t>ADS540-104447984</t>
  </si>
  <si>
    <t>29/04/2025</t>
  </si>
  <si>
    <t>ADS540-104451732</t>
  </si>
  <si>
    <t>M06AI26I02505509</t>
  </si>
  <si>
    <t>DPO2612252718067</t>
  </si>
  <si>
    <t>5272386009</t>
  </si>
  <si>
    <t>LVGNKY8DQRLD0625</t>
  </si>
  <si>
    <t>FIN0305250503217</t>
  </si>
  <si>
    <t>FIN0305250506361</t>
  </si>
  <si>
    <t>FIN0305250512570</t>
  </si>
  <si>
    <t>FIN0305250527559</t>
  </si>
  <si>
    <t>FIN0305250532034</t>
  </si>
  <si>
    <t>FIN0305250546573</t>
  </si>
  <si>
    <t>FIN0305250558046</t>
  </si>
  <si>
    <t>FIN0305250558323</t>
  </si>
  <si>
    <t>FIN0305250560116</t>
  </si>
  <si>
    <t>FIN0305250570396</t>
  </si>
  <si>
    <t>FIN0305250574537</t>
  </si>
  <si>
    <t>FIN0305250591144</t>
  </si>
  <si>
    <t>FIN0305250592418</t>
  </si>
  <si>
    <t>FIN0305250595825</t>
  </si>
  <si>
    <t>FIN0305250597408</t>
  </si>
  <si>
    <t>FIN0305250599222</t>
  </si>
  <si>
    <t>FIN0305250600053</t>
  </si>
  <si>
    <t>FIN0305250601410</t>
  </si>
  <si>
    <t>FIN0305250611760</t>
  </si>
  <si>
    <t>FIN0305250625322</t>
  </si>
  <si>
    <t>FIN0305250634585</t>
  </si>
  <si>
    <t>FIN0305250663497</t>
  </si>
  <si>
    <t>FIN0305250664774</t>
  </si>
  <si>
    <t>FIN0305250666011</t>
  </si>
  <si>
    <t>FIN0305250669969</t>
  </si>
  <si>
    <t>FIN0305250671443</t>
  </si>
  <si>
    <t>FIN0305250680559</t>
  </si>
  <si>
    <t>FIN0305250693135</t>
  </si>
  <si>
    <t>FIN0305250697423</t>
  </si>
  <si>
    <t>FIN0305250698177</t>
  </si>
  <si>
    <t>FIN0305250713915</t>
  </si>
  <si>
    <t>FIN0305250716872</t>
  </si>
  <si>
    <t>FIN0305250721560</t>
  </si>
  <si>
    <t>FIN0305250722775</t>
  </si>
  <si>
    <t>FIN0305250724248</t>
  </si>
  <si>
    <t>FIN0305250725602</t>
  </si>
  <si>
    <t>FIN0305250728274</t>
  </si>
  <si>
    <t>FIN0305250731090</t>
  </si>
  <si>
    <t>FIN0305250741790</t>
  </si>
  <si>
    <t>FIN0305250742041</t>
  </si>
  <si>
    <t>FIN0305250744514</t>
  </si>
  <si>
    <t>FIN0305250752331</t>
  </si>
  <si>
    <t>FIN0305250771195</t>
  </si>
  <si>
    <t>FIN0305250782024</t>
  </si>
  <si>
    <t>FIN0305250788454</t>
  </si>
  <si>
    <t>FIN0305250799134</t>
  </si>
  <si>
    <t>FIN0305250799188</t>
  </si>
  <si>
    <t>FIN0305250801390</t>
  </si>
  <si>
    <t>FIN0305250808738</t>
  </si>
  <si>
    <t>FIN0305250824273</t>
  </si>
  <si>
    <t>FIN1305257129073</t>
  </si>
  <si>
    <t>FIN2405251489089</t>
  </si>
  <si>
    <t>FIN2705252967911</t>
  </si>
  <si>
    <t>FIN2805257566591</t>
  </si>
  <si>
    <t>LVGNKY8DQRLD0525</t>
  </si>
  <si>
    <t>09AAECR6642Q1ZM</t>
  </si>
  <si>
    <t>BLUEWUD CONCEPTS PRIVATE LIMITED</t>
  </si>
  <si>
    <t>KSCJ-2070</t>
  </si>
  <si>
    <t>FIN0604254690528</t>
  </si>
  <si>
    <t>FIN1604252508328</t>
  </si>
  <si>
    <t>FIN2104254501957</t>
  </si>
  <si>
    <t>FIN2104254506799</t>
  </si>
  <si>
    <t>FIN2704254145359</t>
  </si>
  <si>
    <t>26/04/2025</t>
  </si>
  <si>
    <t>PANS/25-26/001</t>
  </si>
  <si>
    <t>PANS/25-26/003</t>
  </si>
  <si>
    <t>PANS/25-26/004</t>
  </si>
  <si>
    <t>PANS/25-26/005</t>
  </si>
  <si>
    <t>PANS/25-26/006</t>
  </si>
  <si>
    <t>PANS/25-26/007</t>
  </si>
  <si>
    <t>PANS/25-26/008</t>
  </si>
  <si>
    <t>PANS/25-26/010</t>
  </si>
  <si>
    <t>ADS340-104394458</t>
  </si>
  <si>
    <t>ADS340-104397488</t>
  </si>
  <si>
    <t>ADS340-104400815</t>
  </si>
  <si>
    <t>ADS540-104461372</t>
  </si>
  <si>
    <t>ADS540-104464537</t>
  </si>
  <si>
    <t>ADS540-104468024</t>
  </si>
  <si>
    <t>ADS540-104471439</t>
  </si>
  <si>
    <t>ADS540-104488248</t>
  </si>
  <si>
    <t>11/05/2025</t>
  </si>
  <si>
    <t>ADS540-104491490</t>
  </si>
  <si>
    <t>ADS540-104494755</t>
  </si>
  <si>
    <t>ADS540-104497976</t>
  </si>
  <si>
    <t>ADS540-104501593</t>
  </si>
  <si>
    <t>ADS540-104505098</t>
  </si>
  <si>
    <t>ADS540-104508437</t>
  </si>
  <si>
    <t>ADS540-104511506</t>
  </si>
  <si>
    <t>18/05/2025</t>
  </si>
  <si>
    <t>ADS540-104514736</t>
  </si>
  <si>
    <t>ADS540-104517897</t>
  </si>
  <si>
    <t>20/05/2025</t>
  </si>
  <si>
    <t>ADS540-104531292</t>
  </si>
  <si>
    <t>ADS540-104534477</t>
  </si>
  <si>
    <t>ADS540-104537857</t>
  </si>
  <si>
    <t>RJSR000150626</t>
  </si>
  <si>
    <t>07AAACE1237C2ZA</t>
  </si>
  <si>
    <t>Emirates</t>
  </si>
  <si>
    <t>DLINRA0525002133</t>
  </si>
  <si>
    <t>DLINTK0525020600</t>
  </si>
  <si>
    <t>DPO2617484168909</t>
  </si>
  <si>
    <t>DPO2617686838973</t>
  </si>
  <si>
    <t>5246479750</t>
  </si>
  <si>
    <t>DLSR000248114</t>
  </si>
  <si>
    <t>DRG-F-SRV246</t>
  </si>
  <si>
    <t>KSCJ-C-409</t>
  </si>
  <si>
    <t>DLINCN0525000464</t>
  </si>
  <si>
    <t>5350079148</t>
  </si>
  <si>
    <t>31/08/2025</t>
  </si>
  <si>
    <t>DED4-1908492</t>
  </si>
  <si>
    <t>DED4-1910420</t>
  </si>
  <si>
    <t>PR25NW2023751959</t>
  </si>
  <si>
    <t>SLA044372735653</t>
  </si>
  <si>
    <t>01/08/2025</t>
  </si>
  <si>
    <t>SLA044372737361</t>
  </si>
  <si>
    <t>PANS/25-26/031</t>
  </si>
  <si>
    <t>02/07/2025</t>
  </si>
  <si>
    <t>PANS/25-26/032</t>
  </si>
  <si>
    <t>07/07/2025</t>
  </si>
  <si>
    <t>PANS/25-26/035</t>
  </si>
  <si>
    <t>23/07/2025</t>
  </si>
  <si>
    <t>PANS/25-26/036</t>
  </si>
  <si>
    <t>PANS/25-26/037</t>
  </si>
  <si>
    <t>PANS/25-26/038</t>
  </si>
  <si>
    <t>28/07/2025</t>
  </si>
  <si>
    <t>5379140216</t>
  </si>
  <si>
    <t>FCU2626605057961</t>
  </si>
  <si>
    <t>FCU2626809215758</t>
  </si>
  <si>
    <t>25/09/2025</t>
  </si>
  <si>
    <t>FCU2627217108751</t>
  </si>
  <si>
    <t>276393534</t>
  </si>
  <si>
    <t>07/08/2025</t>
  </si>
  <si>
    <t>276394021</t>
  </si>
  <si>
    <t>14/08/2025</t>
  </si>
  <si>
    <t>276394550</t>
  </si>
  <si>
    <t>21/08/2025</t>
  </si>
  <si>
    <t>276395084</t>
  </si>
  <si>
    <t>28/08/2025</t>
  </si>
  <si>
    <t>5326547969</t>
  </si>
  <si>
    <t>FIN2407256908787</t>
  </si>
  <si>
    <t>FIN2807259011911</t>
  </si>
  <si>
    <t>15/07/2025</t>
  </si>
  <si>
    <t>FIN2907253444627</t>
  </si>
  <si>
    <t>276390778</t>
  </si>
  <si>
    <t>276391862</t>
  </si>
  <si>
    <t>276392875</t>
  </si>
  <si>
    <t>DPO2622593822453</t>
  </si>
  <si>
    <t>13/08/2025</t>
  </si>
  <si>
    <t>ADS540-104660130</t>
  </si>
  <si>
    <t>ADS540-104663343</t>
  </si>
  <si>
    <t>ADS540-104666733</t>
  </si>
  <si>
    <t>ADS540-104669939</t>
  </si>
  <si>
    <t>04/07/2025</t>
  </si>
  <si>
    <t>ADS540-104672984</t>
  </si>
  <si>
    <t>05/07/2025</t>
  </si>
  <si>
    <t>ADS540-104676040</t>
  </si>
  <si>
    <t>06/07/2025</t>
  </si>
  <si>
    <t>ADS540-104679118</t>
  </si>
  <si>
    <t>ADS540-104682460</t>
  </si>
  <si>
    <t>ADS540-104685759</t>
  </si>
  <si>
    <t>ADS540-104713201</t>
  </si>
  <si>
    <t>ADS540-104716853</t>
  </si>
  <si>
    <t>18/07/2025</t>
  </si>
  <si>
    <t>ADS540-104720210</t>
  </si>
  <si>
    <t>ADS540-104743726</t>
  </si>
  <si>
    <t>ADS540-104747096</t>
  </si>
  <si>
    <t>27/07/2025</t>
  </si>
  <si>
    <t>ADS540-104750690</t>
  </si>
  <si>
    <t>ADS540-104754220</t>
  </si>
  <si>
    <t>ADS540-104757504</t>
  </si>
  <si>
    <t>27AADCV4254H1Z8</t>
  </si>
  <si>
    <t>ETRADE MARKETING PRIVATE LIMITED</t>
  </si>
  <si>
    <t>BOM5-1926712</t>
  </si>
  <si>
    <t>19/09/2025</t>
  </si>
  <si>
    <t>LVGNKY8DQRLD0725</t>
  </si>
  <si>
    <t>CRN1207571894</t>
  </si>
  <si>
    <t>20/09/2025</t>
  </si>
  <si>
    <t>CRN1412451026</t>
  </si>
  <si>
    <t>CRN2118625756</t>
  </si>
  <si>
    <t>PANS/25-26/053</t>
  </si>
  <si>
    <t>03/09/2025</t>
  </si>
  <si>
    <t>PANS/25-26/055</t>
  </si>
  <si>
    <t>10/09/2025</t>
  </si>
  <si>
    <t>PANS/25-26/056</t>
  </si>
  <si>
    <t>14/09/2025</t>
  </si>
  <si>
    <t>PANS/25-26/057</t>
  </si>
  <si>
    <t>FIN0408252596690</t>
  </si>
  <si>
    <t>FIN0908253643029</t>
  </si>
  <si>
    <t>FIN2008257390220</t>
  </si>
  <si>
    <t>16/08/2025</t>
  </si>
  <si>
    <t>ADS540-104779168</t>
  </si>
  <si>
    <t>ADS540-104782716</t>
  </si>
  <si>
    <t>06/08/2025</t>
  </si>
  <si>
    <t>ADS540-104785947</t>
  </si>
  <si>
    <t>ADS540-104789382</t>
  </si>
  <si>
    <t>ADS540-104795963</t>
  </si>
  <si>
    <t>10/08/2025</t>
  </si>
  <si>
    <t>ADS540-104799344</t>
  </si>
  <si>
    <t>ADS540-104802887</t>
  </si>
  <si>
    <t>ADS540-104806222</t>
  </si>
  <si>
    <t>ADS540-104809603</t>
  </si>
  <si>
    <t>ADS540-104814086</t>
  </si>
  <si>
    <t>15/08/2025</t>
  </si>
  <si>
    <t>ADS540-104833855</t>
  </si>
  <si>
    <t>ADS540-104837239</t>
  </si>
  <si>
    <t>22/08/2025</t>
  </si>
  <si>
    <t>ADS540-104840296</t>
  </si>
  <si>
    <t>DPO2619006560562</t>
  </si>
  <si>
    <t>PANS/25-26/039</t>
  </si>
  <si>
    <t>02/08/2025</t>
  </si>
  <si>
    <t>PANS/25-26/040</t>
  </si>
  <si>
    <t>04/08/2025</t>
  </si>
  <si>
    <t>PANS/25-26/042</t>
  </si>
  <si>
    <t>PANS/25-26/043</t>
  </si>
  <si>
    <t>PANS/25-26/044</t>
  </si>
  <si>
    <t>PANS/25-26/049</t>
  </si>
  <si>
    <t>PANS/25-26/050</t>
  </si>
  <si>
    <t>29/08/2025</t>
  </si>
  <si>
    <t>PANS/25-26/052</t>
  </si>
  <si>
    <t>FIN2409253422928</t>
  </si>
  <si>
    <t>ADS540-104894124</t>
  </si>
  <si>
    <t>ADS540-104897416</t>
  </si>
  <si>
    <t>07/09/2025</t>
  </si>
  <si>
    <t>ADS540-104900743</t>
  </si>
  <si>
    <t>ADS540-104904234</t>
  </si>
  <si>
    <t>ADS540-104925515</t>
  </si>
  <si>
    <t>15/09/2025</t>
  </si>
  <si>
    <t>ADS540-104928931</t>
  </si>
  <si>
    <t>ADS540-104932475</t>
  </si>
  <si>
    <t>17/09/2025</t>
  </si>
  <si>
    <t>ADS540-104935837</t>
  </si>
  <si>
    <t>18/09/2025</t>
  </si>
  <si>
    <t>ADS540-104939332</t>
  </si>
  <si>
    <t>ADS540-104942647</t>
  </si>
  <si>
    <t>ADS540-104945730</t>
  </si>
  <si>
    <t>21/09/2025</t>
  </si>
  <si>
    <t>ADS540-104948897</t>
  </si>
  <si>
    <t>ADS540-104952397</t>
  </si>
  <si>
    <t>ADS540-104955942</t>
  </si>
  <si>
    <t>ADS540-104959383</t>
  </si>
  <si>
    <t>ADS540-104963097</t>
  </si>
  <si>
    <t>ADS540-104966763</t>
  </si>
  <si>
    <t>27/09/2025</t>
  </si>
  <si>
    <t>ADS540-104970124</t>
  </si>
  <si>
    <t>28/09/2025</t>
  </si>
  <si>
    <t>ADS540-104973528</t>
  </si>
  <si>
    <t>ADS540-104977624</t>
  </si>
  <si>
    <t>LVGNKY8DQRLD0925</t>
  </si>
  <si>
    <t>IN250731V0056415</t>
  </si>
  <si>
    <t>CNINTRJ000036140</t>
  </si>
  <si>
    <t>ADS540-104712599</t>
  </si>
  <si>
    <t>CNINTRJ000037083</t>
  </si>
  <si>
    <t>CRN2041890603</t>
  </si>
  <si>
    <t>CRN1120673998</t>
  </si>
  <si>
    <t>CRN1275483564</t>
  </si>
  <si>
    <t>IN251031V0027899</t>
  </si>
  <si>
    <t>5460369503</t>
  </si>
  <si>
    <t>LVGNKY8DQRLD1125</t>
  </si>
  <si>
    <t>ADS540-105246126</t>
  </si>
  <si>
    <t>ADS540-105250215</t>
  </si>
  <si>
    <t>ADS540-105253992</t>
  </si>
  <si>
    <t>13/12/2025</t>
  </si>
  <si>
    <t>ADS540-105257606</t>
  </si>
  <si>
    <t>14/12/2025</t>
  </si>
  <si>
    <t>ADS540-105261819</t>
  </si>
  <si>
    <t>15/12/2025</t>
  </si>
  <si>
    <t>ADS540-105265984</t>
  </si>
  <si>
    <t>ADS540-105269668</t>
  </si>
  <si>
    <t>ADS540-105292913</t>
  </si>
  <si>
    <t>ADS540-105296422</t>
  </si>
  <si>
    <t>ADS540-105299760</t>
  </si>
  <si>
    <t>ADS540-105303431</t>
  </si>
  <si>
    <t>ADS540-105306708</t>
  </si>
  <si>
    <t>27/12/2025</t>
  </si>
  <si>
    <t>LVGNKY8DQRLD1225</t>
  </si>
  <si>
    <t>DPO2633812478038</t>
  </si>
  <si>
    <t>FIN3110251995962</t>
  </si>
  <si>
    <t>28/10/2025</t>
  </si>
  <si>
    <t>FIN3110253592397</t>
  </si>
  <si>
    <t>ADS540-104981263</t>
  </si>
  <si>
    <t>ADS540-105010829</t>
  </si>
  <si>
    <t>09/10/2025</t>
  </si>
  <si>
    <t>ADS540-105014856</t>
  </si>
  <si>
    <t>ADS540-105018491</t>
  </si>
  <si>
    <t>11/10/2025</t>
  </si>
  <si>
    <t>ADS540-105022005</t>
  </si>
  <si>
    <t>12/10/2025</t>
  </si>
  <si>
    <t>ADS540-105025458</t>
  </si>
  <si>
    <t>276399945</t>
  </si>
  <si>
    <t>23/10/2025</t>
  </si>
  <si>
    <t>PANS/25-26/062</t>
  </si>
  <si>
    <t>06/10/2025</t>
  </si>
  <si>
    <t>PANS/25-26/064</t>
  </si>
  <si>
    <t>PANS/25-26/067</t>
  </si>
  <si>
    <t>18/10/2025</t>
  </si>
  <si>
    <t>PANS/25-26/068</t>
  </si>
  <si>
    <t>PANS/25-26/070</t>
  </si>
  <si>
    <t>FIN0712254751275</t>
  </si>
  <si>
    <t>FIN0712254777467</t>
  </si>
  <si>
    <t>FIN0712254836486</t>
  </si>
  <si>
    <t>FIN0712254901559</t>
  </si>
  <si>
    <t>FIN2412252544574</t>
  </si>
  <si>
    <t>FIN2712253354729</t>
  </si>
  <si>
    <t>FIN2912256900537</t>
  </si>
  <si>
    <t>20/12/2025</t>
  </si>
  <si>
    <t>FIN3112259943441</t>
  </si>
  <si>
    <t>276404226</t>
  </si>
  <si>
    <t>276405118</t>
  </si>
  <si>
    <t>276406682</t>
  </si>
  <si>
    <t>10/BR/25006092</t>
  </si>
  <si>
    <t>22/11/2025</t>
  </si>
  <si>
    <t>LVGNKY8DQRLD1025</t>
  </si>
  <si>
    <t>DPO2627624025012</t>
  </si>
  <si>
    <t>03/10/2025</t>
  </si>
  <si>
    <t>ADS540-105109167</t>
  </si>
  <si>
    <t>05/11/2025</t>
  </si>
  <si>
    <t>ADS540-105112883</t>
  </si>
  <si>
    <t>06/11/2025</t>
  </si>
  <si>
    <t>ADS540-105116562</t>
  </si>
  <si>
    <t>ADS540-105120059</t>
  </si>
  <si>
    <t>08/11/2025</t>
  </si>
  <si>
    <t>ADS540-105130812</t>
  </si>
  <si>
    <t>ADS540-105134735</t>
  </si>
  <si>
    <t>12/11/2025</t>
  </si>
  <si>
    <t>ADS540-105147153</t>
  </si>
  <si>
    <t>ADS540-105151050</t>
  </si>
  <si>
    <t>16/11/2025</t>
  </si>
  <si>
    <t>ADS540-105154664</t>
  </si>
  <si>
    <t>17/11/2025</t>
  </si>
  <si>
    <t>ADS540-105158408</t>
  </si>
  <si>
    <t>ADS540-105162152</t>
  </si>
  <si>
    <t>ADS540-105173589</t>
  </si>
  <si>
    <t>ADS540-105177301</t>
  </si>
  <si>
    <t>23/11/2025</t>
  </si>
  <si>
    <t>ADS540-105181119</t>
  </si>
  <si>
    <t>ADS540-105184648</t>
  </si>
  <si>
    <t>ADS540-105188315</t>
  </si>
  <si>
    <t>ADS540-105192359</t>
  </si>
  <si>
    <t>27/11/2025</t>
  </si>
  <si>
    <t>ADS540-105196432</t>
  </si>
  <si>
    <t>ADS540-105200258</t>
  </si>
  <si>
    <t>07AABFM3505B1ZZ</t>
  </si>
  <si>
    <t>MAHAJAN ELECTRONICS (Regd)</t>
  </si>
  <si>
    <t>TME-14519</t>
  </si>
  <si>
    <t>5405112794</t>
  </si>
  <si>
    <t>5433047502</t>
  </si>
  <si>
    <t>PANS/25-26/071</t>
  </si>
  <si>
    <t>PANS/25-26/073</t>
  </si>
  <si>
    <t>FIN0312254901020</t>
  </si>
  <si>
    <t>FIN0312256392652</t>
  </si>
  <si>
    <t>FIN0611257168353</t>
  </si>
  <si>
    <t>FIN1211250059881</t>
  </si>
  <si>
    <t>FIN1711251782668</t>
  </si>
  <si>
    <t>FIN2111253164040</t>
  </si>
  <si>
    <t>FIN2111253173443</t>
  </si>
  <si>
    <t>FIN2111253194541</t>
  </si>
  <si>
    <t>FIN2111253268077</t>
  </si>
  <si>
    <t>FIN2411257675767</t>
  </si>
  <si>
    <t>FIN2411257787253</t>
  </si>
  <si>
    <t>FIN2411257803604</t>
  </si>
  <si>
    <t>FIN2411257841648</t>
  </si>
  <si>
    <t>FIN2411257850214</t>
  </si>
  <si>
    <t>FIN2411257953970</t>
  </si>
  <si>
    <t>FIN2411257982868</t>
  </si>
  <si>
    <t>FIN2411258160052</t>
  </si>
  <si>
    <t>FIN2411258171267</t>
  </si>
  <si>
    <t>FIN2411258180944</t>
  </si>
  <si>
    <t>FIN2411258217178</t>
  </si>
  <si>
    <t>FIN2411258264292</t>
  </si>
  <si>
    <t>FIN2411258574629</t>
  </si>
  <si>
    <t>FIN2411258634796</t>
  </si>
  <si>
    <t>FIN2711253591828</t>
  </si>
  <si>
    <t>HP/25-26/467718</t>
  </si>
  <si>
    <t>ADS540-105315435</t>
  </si>
  <si>
    <t>ADS540-105315443</t>
  </si>
  <si>
    <t>ADS540-105040052</t>
  </si>
  <si>
    <t>17/10/2025</t>
  </si>
  <si>
    <t>CNINTRJ000036217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</si>
</sst>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_-;\-* #,##0.00_-;_-* &quot;-&quot;??_-;_-@_-"/>
    <numFmt numFmtId="166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12121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</font>
    <font>
      <sz val="10"/>
      <color theme="1"/>
      <name val="Calibri"/>
      <family val="2"/>
    </font>
    <font>
      <sz val="10"/>
      <color theme="1"/>
      <name val="Calibri"/>
      <charset val="134"/>
    </font>
    <font>
      <sz val="10"/>
      <color rgb="FF0A0A0A"/>
      <name val="Arial"/>
      <family val="2"/>
    </font>
    <font>
      <sz val="8"/>
      <color rgb="FF212121"/>
      <name val="Verdana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107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2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165" fontId="3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2" fontId="4" fillId="0" borderId="1" xfId="0" applyNumberFormat="1" applyFont="1" applyFill="1" applyBorder="1" applyAlignment="1">
      <alignment horizontal="left"/>
    </xf>
    <xf numFmtId="0" fontId="4" fillId="0" borderId="1" xfId="0" quotePrefix="1" applyFont="1" applyFill="1" applyBorder="1" applyAlignment="1">
      <alignment horizontal="left"/>
    </xf>
    <xf numFmtId="0" fontId="4" fillId="0" borderId="1" xfId="2" applyFont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2" fillId="0" borderId="1" xfId="1" applyNumberFormat="1" applyFont="1" applyFill="1" applyBorder="1" applyAlignment="1">
      <alignment horizontal="left"/>
    </xf>
    <xf numFmtId="2" fontId="2" fillId="0" borderId="1" xfId="1" applyNumberFormat="1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 wrapText="1"/>
    </xf>
    <xf numFmtId="166" fontId="4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49" fontId="2" fillId="0" borderId="1" xfId="1" applyNumberFormat="1" applyFont="1" applyFill="1" applyBorder="1" applyAlignment="1">
      <alignment horizontal="left"/>
    </xf>
    <xf numFmtId="166" fontId="4" fillId="0" borderId="1" xfId="0" applyNumberFormat="1" applyFont="1" applyFill="1" applyBorder="1" applyAlignment="1">
      <alignment horizontal="left" wrapText="1"/>
    </xf>
    <xf numFmtId="1" fontId="2" fillId="0" borderId="1" xfId="0" applyNumberFormat="1" applyFont="1" applyBorder="1" applyAlignment="1">
      <alignment horizontal="left"/>
    </xf>
    <xf numFmtId="2" fontId="2" fillId="0" borderId="1" xfId="1" applyNumberFormat="1" applyFont="1" applyBorder="1" applyAlignment="1">
      <alignment horizontal="left"/>
    </xf>
    <xf numFmtId="164" fontId="2" fillId="0" borderId="1" xfId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165" fontId="4" fillId="0" borderId="1" xfId="0" applyNumberFormat="1" applyFont="1" applyBorder="1" applyAlignment="1">
      <alignment horizontal="left"/>
    </xf>
    <xf numFmtId="0" fontId="2" fillId="0" borderId="1" xfId="0" quotePrefix="1" applyFont="1" applyFill="1" applyBorder="1" applyAlignment="1">
      <alignment horizontal="left"/>
    </xf>
    <xf numFmtId="165" fontId="4" fillId="0" borderId="1" xfId="0" applyNumberFormat="1" applyFont="1" applyFill="1" applyBorder="1" applyAlignment="1">
      <alignment horizontal="left"/>
    </xf>
    <xf numFmtId="2" fontId="4" fillId="0" borderId="1" xfId="0" applyNumberFormat="1" applyFont="1" applyFill="1" applyBorder="1" applyAlignment="1">
      <alignment horizontal="left" vertical="top"/>
    </xf>
    <xf numFmtId="0" fontId="4" fillId="0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quotePrefix="1" applyFont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3" fillId="0" borderId="1" xfId="0" applyFont="1" applyFill="1" applyBorder="1" applyAlignment="1">
      <alignment vertical="center"/>
    </xf>
    <xf numFmtId="0" fontId="2" fillId="0" borderId="1" xfId="0" applyFont="1" applyBorder="1" applyAlignment="1"/>
    <xf numFmtId="0" fontId="2" fillId="0" borderId="1" xfId="0" applyFont="1" applyFill="1" applyBorder="1" applyAlignment="1"/>
    <xf numFmtId="49" fontId="4" fillId="0" borderId="1" xfId="0" applyNumberFormat="1" applyFont="1" applyFill="1" applyBorder="1" applyAlignment="1">
      <alignment vertical="top"/>
    </xf>
    <xf numFmtId="0" fontId="4" fillId="0" borderId="1" xfId="0" applyFont="1" applyFill="1" applyBorder="1" applyAlignment="1"/>
    <xf numFmtId="49" fontId="6" fillId="0" borderId="1" xfId="0" applyNumberFormat="1" applyFont="1" applyFill="1" applyBorder="1" applyAlignment="1" applyProtection="1">
      <alignment vertical="top"/>
    </xf>
    <xf numFmtId="0" fontId="4" fillId="0" borderId="1" xfId="0" applyFont="1" applyBorder="1" applyAlignment="1"/>
    <xf numFmtId="0" fontId="7" fillId="0" borderId="1" xfId="0" applyFont="1" applyFill="1" applyBorder="1" applyAlignment="1"/>
    <xf numFmtId="0" fontId="8" fillId="0" borderId="1" xfId="0" applyFont="1" applyBorder="1" applyAlignment="1"/>
    <xf numFmtId="0" fontId="8" fillId="0" borderId="1" xfId="0" applyFont="1" applyFill="1" applyBorder="1" applyAlignment="1"/>
    <xf numFmtId="49" fontId="2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1" fontId="2" fillId="0" borderId="1" xfId="0" applyNumberFormat="1" applyFont="1" applyBorder="1" applyAlignment="1"/>
    <xf numFmtId="0" fontId="2" fillId="0" borderId="1" xfId="0" applyNumberFormat="1" applyFont="1" applyBorder="1" applyAlignment="1"/>
    <xf numFmtId="14" fontId="4" fillId="0" borderId="1" xfId="0" applyNumberFormat="1" applyFont="1" applyFill="1" applyBorder="1" applyAlignment="1"/>
    <xf numFmtId="2" fontId="2" fillId="0" borderId="1" xfId="0" applyNumberFormat="1" applyFont="1" applyBorder="1" applyAlignment="1"/>
    <xf numFmtId="2" fontId="2" fillId="0" borderId="1" xfId="0" applyNumberFormat="1" applyFont="1" applyFill="1" applyBorder="1" applyAlignment="1"/>
    <xf numFmtId="0" fontId="0" fillId="0" borderId="1" xfId="0" applyBorder="1" applyAlignment="1"/>
    <xf numFmtId="2" fontId="8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2" fontId="2" fillId="0" borderId="1" xfId="3" applyNumberFormat="1" applyFont="1" applyBorder="1" applyAlignment="1"/>
    <xf numFmtId="0" fontId="9" fillId="0" borderId="1" xfId="0" applyFont="1" applyFill="1" applyBorder="1" applyAlignment="1"/>
    <xf numFmtId="0" fontId="10" fillId="0" borderId="1" xfId="0" applyFont="1" applyFill="1" applyBorder="1" applyAlignment="1"/>
    <xf numFmtId="0" fontId="9" fillId="0" borderId="1" xfId="0" applyFont="1" applyBorder="1" applyAlignment="1"/>
    <xf numFmtId="0" fontId="10" fillId="0" borderId="1" xfId="0" applyFont="1" applyBorder="1" applyAlignment="1"/>
    <xf numFmtId="0" fontId="9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0" fillId="0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9" fillId="0" borderId="2" xfId="0" applyNumberFormat="1" applyFont="1" applyFill="1" applyBorder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2" fontId="9" fillId="0" borderId="4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2" fontId="9" fillId="0" borderId="6" xfId="0" applyNumberFormat="1" applyFont="1" applyFill="1" applyBorder="1" applyAlignment="1">
      <alignment horizontal="center"/>
    </xf>
    <xf numFmtId="0" fontId="9" fillId="0" borderId="1" xfId="0" quotePrefix="1" applyFont="1" applyFill="1" applyBorder="1" applyAlignment="1">
      <alignment horizontal="center"/>
    </xf>
    <xf numFmtId="49" fontId="9" fillId="0" borderId="1" xfId="0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9" fillId="0" borderId="1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12" fillId="0" borderId="0" xfId="0" applyFont="1"/>
    <xf numFmtId="2" fontId="13" fillId="0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2" fillId="0" borderId="0" xfId="0" applyFont="1" applyFill="1" applyAlignment="1"/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loni\MIDHA\REFUND%20DOC%2022-23\REFUND%20APPLICATION%20(FINAL)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"/>
      <sheetName val="Sheet3"/>
      <sheetName val="ANNEXURE_B"/>
      <sheetName val="ANNEXURE 1"/>
      <sheetName val="ANNEXURE 2"/>
      <sheetName val="ANNEXURE 3"/>
      <sheetName val="RETURN SUMMARY"/>
      <sheetName val="RECO OUTPUT"/>
      <sheetName val="Sheet2"/>
      <sheetName val="FREIGHT"/>
      <sheetName val="LOCAL SUMMARY"/>
      <sheetName val="Stment3"/>
      <sheetName val="UNDERTAKING"/>
      <sheetName val="54(3)"/>
      <sheetName val="16(96B)"/>
      <sheetName val="54(3)(ii)"/>
      <sheetName val="89(2)(i)"/>
      <sheetName val="DECLARATION"/>
      <sheetName val="Sheet1"/>
    </sheetNames>
    <sheetDataSet>
      <sheetData sheetId="0"/>
      <sheetData sheetId="1"/>
      <sheetData sheetId="2">
        <row r="8">
          <cell r="B8" t="str">
            <v>07EKFPS8367P1Z0</v>
          </cell>
          <cell r="C8" t="str">
            <v>DS ENTERPRISES</v>
          </cell>
          <cell r="D8" t="str">
            <v>84</v>
          </cell>
          <cell r="E8" t="str">
            <v>02/09/2021</v>
          </cell>
          <cell r="F8">
            <v>3776</v>
          </cell>
          <cell r="G8" t="str">
            <v>Inputs</v>
          </cell>
          <cell r="H8">
            <v>7323</v>
          </cell>
        </row>
        <row r="9">
          <cell r="B9" t="str">
            <v>07AHNPB1451C1ZW</v>
          </cell>
          <cell r="C9" t="str">
            <v>INDUS MERCANTILES</v>
          </cell>
          <cell r="D9" t="str">
            <v>95</v>
          </cell>
          <cell r="E9" t="str">
            <v>25/04/2022</v>
          </cell>
          <cell r="F9">
            <v>18002</v>
          </cell>
          <cell r="G9" t="str">
            <v>Inputs</v>
          </cell>
          <cell r="H9">
            <v>8708</v>
          </cell>
        </row>
        <row r="10">
          <cell r="B10" t="str">
            <v>07EKFPS8367P1Z0</v>
          </cell>
          <cell r="C10" t="str">
            <v>DS ENTERPRISES</v>
          </cell>
          <cell r="D10" t="str">
            <v>89</v>
          </cell>
          <cell r="E10" t="str">
            <v>05/10/2021</v>
          </cell>
          <cell r="F10">
            <v>4130</v>
          </cell>
          <cell r="G10" t="str">
            <v>Inputs</v>
          </cell>
          <cell r="H10">
            <v>7323</v>
          </cell>
        </row>
        <row r="11">
          <cell r="B11" t="str">
            <v>07EKFPS8367P1Z0</v>
          </cell>
          <cell r="C11" t="str">
            <v>DS ENTERPRISES</v>
          </cell>
          <cell r="D11" t="str">
            <v>91</v>
          </cell>
          <cell r="E11" t="str">
            <v>14/12/2021</v>
          </cell>
          <cell r="F11">
            <v>12800</v>
          </cell>
          <cell r="G11" t="str">
            <v>Inputs</v>
          </cell>
          <cell r="H11">
            <v>7323</v>
          </cell>
        </row>
        <row r="12">
          <cell r="B12" t="str">
            <v>07AIBPC9541R1ZU</v>
          </cell>
          <cell r="C12" t="str">
            <v>V.S.A. ENTERPRISES</v>
          </cell>
          <cell r="D12" t="str">
            <v>77</v>
          </cell>
          <cell r="E12" t="str">
            <v>26/04/2022</v>
          </cell>
          <cell r="F12">
            <v>18644</v>
          </cell>
          <cell r="G12" t="str">
            <v>Inputs</v>
          </cell>
          <cell r="H12">
            <v>8512</v>
          </cell>
        </row>
        <row r="13">
          <cell r="B13" t="str">
            <v>07AAACC6106G4Z0</v>
          </cell>
          <cell r="C13" t="str">
            <v>CANARA BANK</v>
          </cell>
          <cell r="D13" t="str">
            <v>0701042220050272</v>
          </cell>
          <cell r="E13" t="str">
            <v>30/04/2022</v>
          </cell>
          <cell r="F13">
            <v>1547</v>
          </cell>
          <cell r="G13" t="str">
            <v>Input Services</v>
          </cell>
          <cell r="H13">
            <v>9971</v>
          </cell>
        </row>
        <row r="14">
          <cell r="B14" t="str">
            <v>07AQKPS5406Q1Z3</v>
          </cell>
          <cell r="C14" t="str">
            <v>COGEMA AUTO PARTS</v>
          </cell>
          <cell r="D14" t="str">
            <v>1627</v>
          </cell>
          <cell r="E14" t="str">
            <v>27/04/2022</v>
          </cell>
          <cell r="F14">
            <v>3968</v>
          </cell>
          <cell r="G14" t="str">
            <v>Inputs</v>
          </cell>
          <cell r="H14">
            <v>8708</v>
          </cell>
        </row>
        <row r="15">
          <cell r="B15" t="str">
            <v>07AAAFO7633H1Z9</v>
          </cell>
          <cell r="C15" t="str">
            <v>ORIENT AUTO INDUSTRIES</v>
          </cell>
          <cell r="D15" t="str">
            <v>OAI/22-23/51</v>
          </cell>
          <cell r="E15" t="str">
            <v>27/04/2022</v>
          </cell>
          <cell r="F15">
            <v>14080</v>
          </cell>
          <cell r="G15" t="str">
            <v>Inputs</v>
          </cell>
          <cell r="H15">
            <v>87089900</v>
          </cell>
        </row>
        <row r="16">
          <cell r="B16" t="str">
            <v>07AEBFS2307D1ZJ</v>
          </cell>
          <cell r="C16" t="str">
            <v>S.K.AUTOMOTIVE INDUSTRIES</v>
          </cell>
          <cell r="D16" t="str">
            <v>GST-0127</v>
          </cell>
          <cell r="E16" t="str">
            <v>22/04/2022</v>
          </cell>
          <cell r="F16">
            <v>12710</v>
          </cell>
          <cell r="G16" t="str">
            <v>Inputs</v>
          </cell>
          <cell r="H16">
            <v>8708</v>
          </cell>
        </row>
        <row r="17">
          <cell r="B17" t="str">
            <v>09AAHPB5523E1Z3</v>
          </cell>
          <cell r="C17" t="str">
            <v>M/S HIMANSHU INDUSTRIES</v>
          </cell>
          <cell r="D17" t="str">
            <v>HI/22-23/036</v>
          </cell>
          <cell r="E17" t="str">
            <v>29/04/2022</v>
          </cell>
          <cell r="F17">
            <v>40557</v>
          </cell>
          <cell r="G17" t="str">
            <v>Inputs</v>
          </cell>
          <cell r="H17">
            <v>7307</v>
          </cell>
        </row>
        <row r="18">
          <cell r="B18" t="str">
            <v>07AQKPS5406Q1Z3</v>
          </cell>
          <cell r="C18" t="str">
            <v>COGEMA AUTO PARTS</v>
          </cell>
          <cell r="D18" t="str">
            <v>1635</v>
          </cell>
          <cell r="E18" t="str">
            <v>05/05/2022</v>
          </cell>
          <cell r="F18">
            <v>11800</v>
          </cell>
          <cell r="G18" t="str">
            <v>Inputs</v>
          </cell>
          <cell r="H18">
            <v>8708</v>
          </cell>
        </row>
        <row r="19">
          <cell r="B19" t="str">
            <v>07ACEPJ7159D1ZO</v>
          </cell>
          <cell r="C19" t="str">
            <v>MUKESH AUTO TRADERS</v>
          </cell>
          <cell r="D19" t="str">
            <v>MK/0016/2022-23</v>
          </cell>
          <cell r="E19" t="str">
            <v>27/05/2022</v>
          </cell>
          <cell r="F19">
            <v>22789</v>
          </cell>
          <cell r="G19" t="str">
            <v>Inputs</v>
          </cell>
          <cell r="H19">
            <v>8708</v>
          </cell>
        </row>
        <row r="20">
          <cell r="B20" t="str">
            <v>09ARZPK3969N1ZG</v>
          </cell>
          <cell r="C20" t="str">
            <v>FIBER GLASS INDUSTRIES</v>
          </cell>
          <cell r="D20" t="str">
            <v>348</v>
          </cell>
          <cell r="E20" t="str">
            <v>26/05/2022</v>
          </cell>
          <cell r="F20">
            <v>39846</v>
          </cell>
          <cell r="G20" t="str">
            <v>Inputs</v>
          </cell>
          <cell r="H20">
            <v>8708</v>
          </cell>
        </row>
        <row r="21">
          <cell r="B21" t="str">
            <v>09ARZPK3969N1ZG</v>
          </cell>
          <cell r="C21" t="str">
            <v>FIBER GLASS INDUSTRIES</v>
          </cell>
          <cell r="D21" t="str">
            <v>349</v>
          </cell>
          <cell r="E21" t="str">
            <v>27/05/2022</v>
          </cell>
          <cell r="F21">
            <v>31744</v>
          </cell>
          <cell r="G21" t="str">
            <v>Inputs</v>
          </cell>
          <cell r="H21">
            <v>8708</v>
          </cell>
        </row>
        <row r="22">
          <cell r="B22" t="str">
            <v>09ARZPK3969N1ZG</v>
          </cell>
          <cell r="C22" t="str">
            <v>FIBER GLASS INDUSTRIES</v>
          </cell>
          <cell r="D22" t="str">
            <v>350</v>
          </cell>
          <cell r="E22" t="str">
            <v>28/05/2022</v>
          </cell>
          <cell r="F22">
            <v>20480</v>
          </cell>
          <cell r="G22" t="str">
            <v>Inputs</v>
          </cell>
          <cell r="H22">
            <v>8708</v>
          </cell>
        </row>
        <row r="23">
          <cell r="B23" t="str">
            <v>07AAACC6106G4Z0</v>
          </cell>
          <cell r="C23" t="str">
            <v>CANARA BANK</v>
          </cell>
          <cell r="D23" t="str">
            <v>0701052220035868</v>
          </cell>
          <cell r="E23" t="str">
            <v>31/05/2022</v>
          </cell>
          <cell r="F23">
            <v>5599.5</v>
          </cell>
          <cell r="G23" t="str">
            <v>Input Services</v>
          </cell>
          <cell r="H23">
            <v>9971</v>
          </cell>
        </row>
        <row r="24">
          <cell r="B24" t="str">
            <v>07AFUPB5510R1ZY</v>
          </cell>
          <cell r="C24" t="str">
            <v>BANSAL INTERNATIONAL</v>
          </cell>
          <cell r="D24" t="str">
            <v>2022-23/0174</v>
          </cell>
          <cell r="E24" t="str">
            <v>28/05/2022</v>
          </cell>
          <cell r="F24">
            <v>7680</v>
          </cell>
          <cell r="G24" t="str">
            <v>Inputs</v>
          </cell>
          <cell r="H24">
            <v>8708</v>
          </cell>
        </row>
        <row r="25">
          <cell r="B25" t="str">
            <v>19AAFFO4315B1ZM</v>
          </cell>
          <cell r="C25" t="str">
            <v>OM ENTERPRISE</v>
          </cell>
          <cell r="D25" t="str">
            <v>OE/002/22-23</v>
          </cell>
          <cell r="E25" t="str">
            <v>30/04/2022</v>
          </cell>
          <cell r="F25">
            <v>30080</v>
          </cell>
          <cell r="G25" t="str">
            <v>Inputs</v>
          </cell>
          <cell r="H25">
            <v>8301</v>
          </cell>
        </row>
        <row r="26">
          <cell r="B26" t="str">
            <v>07ALZPK2288G1ZH</v>
          </cell>
          <cell r="C26" t="str">
            <v>SHIV SHAKTI ENGG WORKS</v>
          </cell>
          <cell r="D26" t="str">
            <v>343</v>
          </cell>
          <cell r="E26" t="str">
            <v>11/05/2022</v>
          </cell>
          <cell r="F26">
            <v>27731</v>
          </cell>
          <cell r="G26" t="str">
            <v>Inputs</v>
          </cell>
          <cell r="H26">
            <v>8708</v>
          </cell>
        </row>
        <row r="27">
          <cell r="B27" t="str">
            <v>07BFVPB6062E1ZE</v>
          </cell>
          <cell r="C27" t="str">
            <v>SHI ENTERPRISES</v>
          </cell>
          <cell r="D27" t="str">
            <v>99</v>
          </cell>
          <cell r="E27" t="str">
            <v>27/05/2022</v>
          </cell>
          <cell r="F27">
            <v>29984</v>
          </cell>
          <cell r="G27" t="str">
            <v>Inputs</v>
          </cell>
          <cell r="H27">
            <v>8708</v>
          </cell>
        </row>
        <row r="28">
          <cell r="B28" t="str">
            <v>07FMIPS4916Q1Z3</v>
          </cell>
          <cell r="C28" t="str">
            <v>D.S.R TOOLS</v>
          </cell>
          <cell r="D28" t="str">
            <v>373</v>
          </cell>
          <cell r="E28" t="str">
            <v>05/05/2022</v>
          </cell>
          <cell r="F28">
            <v>2360</v>
          </cell>
          <cell r="G28" t="str">
            <v>Inputs</v>
          </cell>
          <cell r="H28">
            <v>8425</v>
          </cell>
        </row>
        <row r="29">
          <cell r="B29" t="str">
            <v>07AAACA1543R1ZJ</v>
          </cell>
          <cell r="C29" t="str">
            <v>CI CAR INTERNATIONAL PVT LTD</v>
          </cell>
          <cell r="D29" t="str">
            <v>AAM/22-23/05286</v>
          </cell>
          <cell r="E29" t="str">
            <v>09/05/2022</v>
          </cell>
          <cell r="F29">
            <v>4891</v>
          </cell>
          <cell r="G29" t="str">
            <v>Inputs</v>
          </cell>
          <cell r="H29">
            <v>8301</v>
          </cell>
        </row>
        <row r="30">
          <cell r="B30" t="str">
            <v>07AAACA1543R1ZJ</v>
          </cell>
          <cell r="C30" t="str">
            <v>CI CAR INTERNATIONAL PVT LTD</v>
          </cell>
          <cell r="D30" t="str">
            <v>AAM/22-23/05286</v>
          </cell>
          <cell r="E30" t="str">
            <v>09/05/2022</v>
          </cell>
          <cell r="F30">
            <v>4891</v>
          </cell>
          <cell r="G30" t="str">
            <v>Inputs</v>
          </cell>
          <cell r="H30">
            <v>8301</v>
          </cell>
        </row>
        <row r="31">
          <cell r="B31" t="str">
            <v>07AAACA1543R1ZJ</v>
          </cell>
          <cell r="C31" t="str">
            <v>CI CAR INTERNATIONAL PVT LTD</v>
          </cell>
          <cell r="D31" t="str">
            <v>AAM/22-23/07088</v>
          </cell>
          <cell r="E31" t="str">
            <v>20/05/2022</v>
          </cell>
          <cell r="F31">
            <v>323</v>
          </cell>
          <cell r="G31" t="str">
            <v>Inputs</v>
          </cell>
          <cell r="H31">
            <v>8301</v>
          </cell>
        </row>
        <row r="32">
          <cell r="B32" t="str">
            <v>07AAACA1543R1ZJ</v>
          </cell>
          <cell r="C32" t="str">
            <v>CI CAR INTERNATIONAL PVT LTD</v>
          </cell>
          <cell r="D32" t="str">
            <v>AAM/22-23/07109</v>
          </cell>
          <cell r="E32" t="str">
            <v>20/05/2022</v>
          </cell>
          <cell r="F32">
            <v>1291</v>
          </cell>
          <cell r="G32" t="str">
            <v>Inputs</v>
          </cell>
          <cell r="H32">
            <v>8301</v>
          </cell>
        </row>
        <row r="33">
          <cell r="B33" t="str">
            <v>07AABCF9828M1Z3</v>
          </cell>
          <cell r="C33" t="str">
            <v>Frontier Auto Impex Private Limited</v>
          </cell>
          <cell r="D33" t="str">
            <v>4422-23</v>
          </cell>
          <cell r="E33" t="str">
            <v>20/04/2022</v>
          </cell>
          <cell r="F33">
            <v>23040</v>
          </cell>
          <cell r="G33" t="str">
            <v>Inputs</v>
          </cell>
          <cell r="H33">
            <v>87089900</v>
          </cell>
        </row>
        <row r="34">
          <cell r="B34" t="str">
            <v>07APWPM3085Q1ZS</v>
          </cell>
          <cell r="C34" t="str">
            <v>C.J.INTERNATIONAL</v>
          </cell>
          <cell r="D34" t="str">
            <v>1457</v>
          </cell>
          <cell r="E34" t="str">
            <v>02/05/2022</v>
          </cell>
          <cell r="F34">
            <v>18880</v>
          </cell>
          <cell r="G34" t="str">
            <v>Inputs</v>
          </cell>
          <cell r="H34">
            <v>8512</v>
          </cell>
        </row>
        <row r="35">
          <cell r="B35" t="str">
            <v>07AUHPS7693G1ZY</v>
          </cell>
          <cell r="C35" t="str">
            <v>pali plast india</v>
          </cell>
          <cell r="D35" t="str">
            <v>43/2022-23</v>
          </cell>
          <cell r="E35" t="str">
            <v>07/05/2022</v>
          </cell>
          <cell r="F35">
            <v>2688</v>
          </cell>
          <cell r="G35" t="str">
            <v>Inputs</v>
          </cell>
          <cell r="H35">
            <v>8708</v>
          </cell>
        </row>
        <row r="36">
          <cell r="B36" t="str">
            <v>07ACLPA1962A1Z5</v>
          </cell>
          <cell r="C36" t="str">
            <v>DEEPAK AUTO PRODUCTS</v>
          </cell>
          <cell r="D36" t="str">
            <v>I-050</v>
          </cell>
          <cell r="E36" t="str">
            <v>06/05/2022</v>
          </cell>
          <cell r="F36">
            <v>25152</v>
          </cell>
          <cell r="G36" t="str">
            <v>Inputs</v>
          </cell>
          <cell r="H36">
            <v>8708</v>
          </cell>
        </row>
        <row r="37">
          <cell r="B37" t="str">
            <v>07AGKPK3192K1Z1</v>
          </cell>
          <cell r="C37" t="str">
            <v>B P AUTO INDUSTRIES INDIA</v>
          </cell>
          <cell r="D37" t="str">
            <v>T-039</v>
          </cell>
          <cell r="E37" t="str">
            <v>06/05/2022</v>
          </cell>
          <cell r="F37">
            <v>5900</v>
          </cell>
          <cell r="G37" t="str">
            <v>Inputs</v>
          </cell>
          <cell r="H37">
            <v>8484</v>
          </cell>
        </row>
        <row r="38">
          <cell r="B38" t="str">
            <v>07AIBPC9541R1ZU</v>
          </cell>
          <cell r="C38" t="str">
            <v>V.S.A. ENTERPRISES</v>
          </cell>
          <cell r="D38" t="str">
            <v>79</v>
          </cell>
          <cell r="E38" t="str">
            <v>02/05/2022</v>
          </cell>
          <cell r="F38">
            <v>48852</v>
          </cell>
          <cell r="G38" t="str">
            <v>Inputs</v>
          </cell>
          <cell r="H38">
            <v>8512</v>
          </cell>
        </row>
        <row r="39">
          <cell r="B39" t="str">
            <v>07AAOFC5544K1Z2</v>
          </cell>
          <cell r="C39" t="str">
            <v>CG &amp; COMPANY</v>
          </cell>
          <cell r="D39" t="str">
            <v>23</v>
          </cell>
          <cell r="E39" t="str">
            <v>05/05/2022</v>
          </cell>
          <cell r="F39">
            <v>21240</v>
          </cell>
          <cell r="G39" t="str">
            <v>Input Services</v>
          </cell>
          <cell r="H39">
            <v>9982</v>
          </cell>
        </row>
        <row r="40">
          <cell r="B40" t="str">
            <v>07AAOFC5544K1Z2</v>
          </cell>
          <cell r="C40" t="str">
            <v>CG &amp; COMPANY</v>
          </cell>
          <cell r="D40" t="str">
            <v>24</v>
          </cell>
          <cell r="E40" t="str">
            <v>12/05/2022</v>
          </cell>
          <cell r="F40">
            <v>11800</v>
          </cell>
          <cell r="G40" t="str">
            <v>Input Services</v>
          </cell>
          <cell r="H40">
            <v>9982</v>
          </cell>
        </row>
        <row r="41">
          <cell r="B41" t="str">
            <v>07AFZPM1026Q1ZP</v>
          </cell>
          <cell r="C41" t="str">
            <v>SAGAR AUTO PARTS</v>
          </cell>
          <cell r="D41" t="str">
            <v>167</v>
          </cell>
          <cell r="E41" t="str">
            <v>14/05/2022</v>
          </cell>
          <cell r="F41">
            <v>31860</v>
          </cell>
          <cell r="G41" t="str">
            <v>Inputs</v>
          </cell>
          <cell r="H41">
            <v>4016</v>
          </cell>
        </row>
        <row r="42">
          <cell r="B42" t="str">
            <v>07AFZPM1026Q1ZP</v>
          </cell>
          <cell r="C42" t="str">
            <v>SAGAR AUTO PARTS</v>
          </cell>
          <cell r="D42" t="str">
            <v>171</v>
          </cell>
          <cell r="E42" t="str">
            <v>27/05/2022</v>
          </cell>
          <cell r="F42">
            <v>42008</v>
          </cell>
          <cell r="G42" t="str">
            <v>Inputs</v>
          </cell>
          <cell r="H42">
            <v>4016</v>
          </cell>
        </row>
        <row r="43">
          <cell r="B43" t="str">
            <v>07AHFPK5315G1ZK</v>
          </cell>
          <cell r="C43" t="str">
            <v>VINOD AUTOMOBILES</v>
          </cell>
          <cell r="D43" t="str">
            <v>723</v>
          </cell>
          <cell r="E43" t="str">
            <v>02/05/2022</v>
          </cell>
          <cell r="F43">
            <v>79957</v>
          </cell>
          <cell r="G43" t="str">
            <v>Inputs</v>
          </cell>
          <cell r="H43">
            <v>4016</v>
          </cell>
        </row>
        <row r="44">
          <cell r="B44" t="str">
            <v>07AAACA1543R1ZJ</v>
          </cell>
          <cell r="C44" t="str">
            <v>CI CAR INTERNATIONAL PVT LTD</v>
          </cell>
          <cell r="D44" t="str">
            <v>AAM/22-23/068</v>
          </cell>
          <cell r="E44" t="str">
            <v>25/05/2022</v>
          </cell>
          <cell r="F44">
            <v>-323</v>
          </cell>
          <cell r="G44" t="str">
            <v>Inputs</v>
          </cell>
          <cell r="H44">
            <v>8301</v>
          </cell>
        </row>
        <row r="45">
          <cell r="B45" t="str">
            <v>07AAACA1543R1ZJ</v>
          </cell>
          <cell r="C45" t="str">
            <v>CI CAR INTERNATIONAL PVT LTD</v>
          </cell>
          <cell r="D45" t="str">
            <v>AAM/22-23/10929</v>
          </cell>
          <cell r="E45" t="str">
            <v>13/06/2022</v>
          </cell>
          <cell r="F45">
            <v>3340</v>
          </cell>
          <cell r="G45" t="str">
            <v>Inputs</v>
          </cell>
          <cell r="H45">
            <v>8301</v>
          </cell>
        </row>
        <row r="46">
          <cell r="B46" t="str">
            <v>07AAACA1543R1ZJ</v>
          </cell>
          <cell r="C46" t="str">
            <v>CI CAR INTERNATIONAL PVT LTD</v>
          </cell>
          <cell r="D46" t="str">
            <v>AAM/22-23/10929</v>
          </cell>
          <cell r="E46" t="str">
            <v>13/06/2022</v>
          </cell>
          <cell r="F46">
            <v>3340</v>
          </cell>
          <cell r="G46" t="str">
            <v>Inputs</v>
          </cell>
          <cell r="H46">
            <v>8301</v>
          </cell>
        </row>
        <row r="47">
          <cell r="B47" t="str">
            <v>09DFHPS2112N1Z3</v>
          </cell>
          <cell r="C47" t="str">
            <v>M/S AHMAD BROTHERS INDUSTRIES</v>
          </cell>
          <cell r="D47" t="str">
            <v>022</v>
          </cell>
          <cell r="E47" t="str">
            <v>25/06/2022</v>
          </cell>
          <cell r="F47">
            <v>26491</v>
          </cell>
          <cell r="G47" t="str">
            <v>Inputs</v>
          </cell>
          <cell r="H47">
            <v>6813</v>
          </cell>
        </row>
        <row r="48">
          <cell r="B48" t="str">
            <v>07ACJPC5805G1ZV</v>
          </cell>
          <cell r="C48" t="str">
            <v>AZAD AUTO INDUSTRIES</v>
          </cell>
          <cell r="D48" t="str">
            <v>05</v>
          </cell>
          <cell r="E48" t="str">
            <v>08/06/2022</v>
          </cell>
          <cell r="F48">
            <v>13824</v>
          </cell>
          <cell r="G48" t="str">
            <v>Inputs</v>
          </cell>
          <cell r="H48">
            <v>8708</v>
          </cell>
        </row>
        <row r="49">
          <cell r="B49" t="str">
            <v>07AEBFS2307D1ZJ</v>
          </cell>
          <cell r="C49" t="str">
            <v>S.K.AUTOMOTIVE INDUSTRIES</v>
          </cell>
          <cell r="D49" t="str">
            <v>0419</v>
          </cell>
          <cell r="E49" t="str">
            <v>09/06/2022</v>
          </cell>
          <cell r="F49">
            <v>8972</v>
          </cell>
          <cell r="G49" t="str">
            <v>Inputs</v>
          </cell>
          <cell r="H49">
            <v>8708</v>
          </cell>
        </row>
        <row r="50">
          <cell r="B50" t="str">
            <v>07AEBFS2307D1ZJ</v>
          </cell>
          <cell r="C50" t="str">
            <v>S.K.AUTOMOTIVE INDUSTRIES</v>
          </cell>
          <cell r="D50" t="str">
            <v>0473</v>
          </cell>
          <cell r="E50" t="str">
            <v>17/06/2022</v>
          </cell>
          <cell r="F50">
            <v>12436</v>
          </cell>
          <cell r="G50" t="str">
            <v>Inputs</v>
          </cell>
          <cell r="H50">
            <v>8708</v>
          </cell>
        </row>
        <row r="51">
          <cell r="B51" t="str">
            <v>07AFZPM1026Q1ZP</v>
          </cell>
          <cell r="C51" t="str">
            <v>SAGAR AUTO PARTS</v>
          </cell>
          <cell r="D51" t="str">
            <v>173</v>
          </cell>
          <cell r="E51" t="str">
            <v>30/06/2022</v>
          </cell>
          <cell r="F51">
            <v>33984</v>
          </cell>
          <cell r="G51" t="str">
            <v>Inputs</v>
          </cell>
          <cell r="H51">
            <v>4016</v>
          </cell>
        </row>
        <row r="52">
          <cell r="B52" t="str">
            <v>07AHFPK5315G1ZK</v>
          </cell>
          <cell r="C52" t="str">
            <v>VINOD AUTOMOBILES</v>
          </cell>
          <cell r="D52" t="str">
            <v>762</v>
          </cell>
          <cell r="E52" t="str">
            <v>20/06/2022</v>
          </cell>
          <cell r="F52">
            <v>20886</v>
          </cell>
          <cell r="G52" t="str">
            <v>Inputs</v>
          </cell>
          <cell r="H52">
            <v>4016</v>
          </cell>
        </row>
        <row r="53">
          <cell r="B53" t="str">
            <v>07AKKPJ8264F1ZX</v>
          </cell>
          <cell r="C53" t="str">
            <v>Nishant plastic industries</v>
          </cell>
          <cell r="D53" t="str">
            <v>DD-TI-30</v>
          </cell>
          <cell r="E53" t="str">
            <v>21/06/2022</v>
          </cell>
          <cell r="F53">
            <v>5664</v>
          </cell>
          <cell r="G53" t="str">
            <v>Inputs</v>
          </cell>
          <cell r="H53">
            <v>7009</v>
          </cell>
        </row>
        <row r="54">
          <cell r="B54" t="str">
            <v>07AAOFC5544K1Z2</v>
          </cell>
          <cell r="C54" t="str">
            <v>CG &amp; COMPANY</v>
          </cell>
          <cell r="D54" t="str">
            <v>29</v>
          </cell>
          <cell r="E54" t="str">
            <v>04/06/2022</v>
          </cell>
          <cell r="F54">
            <v>14160</v>
          </cell>
          <cell r="G54" t="str">
            <v>Input Services</v>
          </cell>
          <cell r="H54">
            <v>9982</v>
          </cell>
        </row>
        <row r="55">
          <cell r="B55" t="str">
            <v>07AAOFC5544K1Z2</v>
          </cell>
          <cell r="C55" t="str">
            <v>CG &amp; COMPANY</v>
          </cell>
          <cell r="D55" t="str">
            <v>30</v>
          </cell>
          <cell r="E55" t="str">
            <v>11/06/2022</v>
          </cell>
          <cell r="F55">
            <v>23600</v>
          </cell>
          <cell r="G55" t="str">
            <v>Input Services</v>
          </cell>
          <cell r="H55">
            <v>9982</v>
          </cell>
        </row>
        <row r="56">
          <cell r="B56" t="str">
            <v>07AAKPB9673N1Z2</v>
          </cell>
          <cell r="C56" t="str">
            <v>BAJAJ AUTO SALES</v>
          </cell>
          <cell r="D56" t="str">
            <v>873</v>
          </cell>
          <cell r="E56" t="str">
            <v>25/05/2022</v>
          </cell>
          <cell r="F56">
            <v>2643</v>
          </cell>
          <cell r="G56" t="str">
            <v>Inputs</v>
          </cell>
          <cell r="H56">
            <v>39269099</v>
          </cell>
        </row>
        <row r="57">
          <cell r="B57" t="str">
            <v>07AAFFG8660D1ZF</v>
          </cell>
          <cell r="C57" t="str">
            <v>Ganesh Lakshmi Auto Agencies</v>
          </cell>
          <cell r="D57" t="str">
            <v>72</v>
          </cell>
          <cell r="E57" t="str">
            <v>24/06/2022</v>
          </cell>
          <cell r="F57">
            <v>68516</v>
          </cell>
          <cell r="G57" t="str">
            <v>Inputs</v>
          </cell>
          <cell r="H57">
            <v>8708</v>
          </cell>
        </row>
        <row r="58">
          <cell r="B58" t="str">
            <v>07AAGPJ1802R1ZJ</v>
          </cell>
          <cell r="C58" t="str">
            <v>ROHIT INDUSTRIES (INDIA)</v>
          </cell>
          <cell r="D58" t="str">
            <v>420</v>
          </cell>
          <cell r="E58" t="str">
            <v>17/06/2022</v>
          </cell>
          <cell r="F58">
            <v>3304</v>
          </cell>
          <cell r="G58" t="str">
            <v>Inputs</v>
          </cell>
          <cell r="H58">
            <v>8512</v>
          </cell>
        </row>
        <row r="59">
          <cell r="B59" t="str">
            <v>07AIBPC9541R1ZU</v>
          </cell>
          <cell r="C59" t="str">
            <v>V.S.A. ENTERPRISES</v>
          </cell>
          <cell r="D59" t="str">
            <v>151</v>
          </cell>
          <cell r="E59" t="str">
            <v>06/06/2022</v>
          </cell>
          <cell r="F59">
            <v>36090</v>
          </cell>
          <cell r="G59" t="str">
            <v>Inputs</v>
          </cell>
          <cell r="H59">
            <v>8512</v>
          </cell>
        </row>
        <row r="60">
          <cell r="B60" t="str">
            <v>07AAACC6106G4Z0</v>
          </cell>
          <cell r="C60" t="str">
            <v>CANARA BANK</v>
          </cell>
          <cell r="D60" t="str">
            <v>0701062220183667</v>
          </cell>
          <cell r="E60" t="str">
            <v>30/06/2022</v>
          </cell>
          <cell r="F60">
            <v>833</v>
          </cell>
          <cell r="G60" t="str">
            <v>Input Services</v>
          </cell>
          <cell r="H60">
            <v>9971</v>
          </cell>
        </row>
        <row r="61">
          <cell r="B61" t="str">
            <v>09ARZPK3969N1ZG</v>
          </cell>
          <cell r="C61" t="str">
            <v>FIBER GLASS INDUSTRIES</v>
          </cell>
          <cell r="D61" t="str">
            <v>351</v>
          </cell>
          <cell r="E61" t="str">
            <v>24/06/2022</v>
          </cell>
          <cell r="F61">
            <v>3712</v>
          </cell>
          <cell r="G61" t="str">
            <v>Inputs</v>
          </cell>
          <cell r="H61">
            <v>8708</v>
          </cell>
        </row>
        <row r="62">
          <cell r="B62" t="str">
            <v>07AAJPK5229N1ZA</v>
          </cell>
          <cell r="C62" t="str">
            <v>GYAN SALES CORPORATIO</v>
          </cell>
          <cell r="D62" t="str">
            <v>118</v>
          </cell>
          <cell r="E62" t="str">
            <v>21/06/2022</v>
          </cell>
          <cell r="F62">
            <v>4970</v>
          </cell>
          <cell r="G62" t="str">
            <v>Inputs</v>
          </cell>
          <cell r="H62">
            <v>7009</v>
          </cell>
        </row>
        <row r="63">
          <cell r="B63" t="str">
            <v>07AABCF9828M1Z3</v>
          </cell>
          <cell r="C63" t="str">
            <v>Frontier Auto Impex Private Limited</v>
          </cell>
          <cell r="D63" t="str">
            <v>7622-23</v>
          </cell>
          <cell r="E63" t="str">
            <v>07/05/2022</v>
          </cell>
          <cell r="F63">
            <v>23040</v>
          </cell>
          <cell r="G63" t="str">
            <v>Inputs</v>
          </cell>
          <cell r="H63">
            <v>87089900</v>
          </cell>
        </row>
        <row r="64">
          <cell r="B64" t="str">
            <v>07ACEPJ7159D1ZO</v>
          </cell>
          <cell r="C64" t="str">
            <v>MUKESH AUTO TRADERS</v>
          </cell>
          <cell r="D64" t="str">
            <v>MK/0005/2022-23</v>
          </cell>
          <cell r="E64" t="str">
            <v>25/04/2022</v>
          </cell>
          <cell r="F64">
            <v>14592</v>
          </cell>
          <cell r="G64" t="str">
            <v>Inputs</v>
          </cell>
          <cell r="H64">
            <v>8708</v>
          </cell>
        </row>
        <row r="65">
          <cell r="B65" t="str">
            <v>07AFUPB5510R1ZY</v>
          </cell>
          <cell r="C65" t="str">
            <v>BANSAL INTERNATIONAL</v>
          </cell>
          <cell r="D65" t="str">
            <v>22-23/0244</v>
          </cell>
          <cell r="E65" t="str">
            <v>20/06/2022</v>
          </cell>
          <cell r="F65">
            <v>5120</v>
          </cell>
          <cell r="G65" t="str">
            <v>Inputs</v>
          </cell>
          <cell r="H65">
            <v>8708</v>
          </cell>
        </row>
        <row r="66">
          <cell r="B66" t="str">
            <v>07AFUPB5510R1ZY</v>
          </cell>
          <cell r="C66" t="str">
            <v>BANSAL INTERNATIONAL</v>
          </cell>
          <cell r="D66" t="str">
            <v>22-23/0249</v>
          </cell>
          <cell r="E66" t="str">
            <v>21/06/2022</v>
          </cell>
          <cell r="F66">
            <v>13440</v>
          </cell>
          <cell r="G66" t="str">
            <v>Inputs</v>
          </cell>
          <cell r="H66">
            <v>8708</v>
          </cell>
        </row>
        <row r="67">
          <cell r="B67" t="str">
            <v>07AFUPB5510R1ZY</v>
          </cell>
          <cell r="C67" t="str">
            <v>BANSAL INTERNATIONAL</v>
          </cell>
          <cell r="D67" t="str">
            <v>22-23/0254</v>
          </cell>
          <cell r="E67" t="str">
            <v>23/06/2022</v>
          </cell>
          <cell r="F67">
            <v>10624</v>
          </cell>
          <cell r="G67" t="str">
            <v>Inputs</v>
          </cell>
          <cell r="H67">
            <v>8708</v>
          </cell>
        </row>
        <row r="68">
          <cell r="B68" t="str">
            <v>08AAFCB8535K1ZB</v>
          </cell>
          <cell r="C68" t="str">
            <v>BLD INDUSTRIES PRIVATE LIMITED</v>
          </cell>
          <cell r="D68" t="str">
            <v>54</v>
          </cell>
          <cell r="E68" t="str">
            <v>14/06/2022</v>
          </cell>
          <cell r="F68">
            <v>30272</v>
          </cell>
          <cell r="G68" t="str">
            <v>Inputs</v>
          </cell>
          <cell r="H68">
            <v>87089900</v>
          </cell>
        </row>
        <row r="69">
          <cell r="B69" t="str">
            <v>07AAACC6106G4Z0</v>
          </cell>
          <cell r="C69" t="str">
            <v>CANARA BANK</v>
          </cell>
          <cell r="D69" t="str">
            <v>0701072220038489</v>
          </cell>
          <cell r="E69" t="str">
            <v>31/07/2022</v>
          </cell>
          <cell r="F69">
            <v>30</v>
          </cell>
          <cell r="G69" t="str">
            <v>Input Services</v>
          </cell>
          <cell r="H69">
            <v>9971</v>
          </cell>
        </row>
        <row r="70">
          <cell r="B70" t="str">
            <v>07AAHPB7665B1ZY</v>
          </cell>
          <cell r="C70" t="str">
            <v>Veetex Auto</v>
          </cell>
          <cell r="D70" t="str">
            <v>VA/22-23/214</v>
          </cell>
          <cell r="E70" t="str">
            <v>13/07/2022</v>
          </cell>
          <cell r="F70">
            <v>12954</v>
          </cell>
          <cell r="G70" t="str">
            <v>Inputs</v>
          </cell>
          <cell r="H70">
            <v>7307</v>
          </cell>
        </row>
        <row r="71">
          <cell r="B71" t="str">
            <v>07AAEPG4498A1ZX</v>
          </cell>
          <cell r="C71" t="str">
            <v>MITHAN LAL AGENCIES</v>
          </cell>
          <cell r="D71" t="str">
            <v>MLA/22-23/826</v>
          </cell>
          <cell r="E71" t="str">
            <v>28/07/2022</v>
          </cell>
          <cell r="F71">
            <v>25920</v>
          </cell>
          <cell r="G71" t="str">
            <v>Inputs</v>
          </cell>
          <cell r="H71">
            <v>85122010</v>
          </cell>
        </row>
        <row r="72">
          <cell r="B72" t="str">
            <v>07ALZPK2288G1ZH</v>
          </cell>
          <cell r="C72" t="str">
            <v>SHIV SHAKTI ENGG WORKS</v>
          </cell>
          <cell r="D72" t="str">
            <v>351</v>
          </cell>
          <cell r="E72" t="str">
            <v>04/07/2022</v>
          </cell>
          <cell r="F72">
            <v>9600</v>
          </cell>
          <cell r="G72" t="str">
            <v>Inputs</v>
          </cell>
          <cell r="H72">
            <v>8708</v>
          </cell>
        </row>
        <row r="73">
          <cell r="B73" t="str">
            <v>07ALZPK2288G1ZH</v>
          </cell>
          <cell r="C73" t="str">
            <v>SHIV SHAKTI ENGG WORKS</v>
          </cell>
          <cell r="D73" t="str">
            <v>358</v>
          </cell>
          <cell r="E73" t="str">
            <v>08/07/2022</v>
          </cell>
          <cell r="F73">
            <v>13280</v>
          </cell>
          <cell r="G73" t="str">
            <v>Inputs</v>
          </cell>
          <cell r="H73">
            <v>8708</v>
          </cell>
        </row>
        <row r="74">
          <cell r="B74" t="str">
            <v>07AACFT7607G1Z6</v>
          </cell>
          <cell r="C74" t="str">
            <v>THAKRAL MOTORS</v>
          </cell>
          <cell r="D74" t="str">
            <v>157</v>
          </cell>
          <cell r="E74" t="str">
            <v>26/07/2022</v>
          </cell>
          <cell r="F74">
            <v>27907</v>
          </cell>
          <cell r="G74" t="str">
            <v>Inputs</v>
          </cell>
          <cell r="H74">
            <v>4016</v>
          </cell>
        </row>
        <row r="75">
          <cell r="B75" t="str">
            <v>07AAAFD2435L1ZL</v>
          </cell>
          <cell r="C75" t="str">
            <v>DAL JIT NUT BOLT HOUSE</v>
          </cell>
          <cell r="D75" t="str">
            <v>T2426</v>
          </cell>
          <cell r="E75" t="str">
            <v>20/07/2022</v>
          </cell>
          <cell r="F75">
            <v>6844</v>
          </cell>
          <cell r="G75" t="str">
            <v>Inputs</v>
          </cell>
          <cell r="H75">
            <v>7318</v>
          </cell>
        </row>
        <row r="76">
          <cell r="B76" t="str">
            <v>07AEIPG0053P1ZF</v>
          </cell>
          <cell r="C76" t="str">
            <v>Amar Nath &amp; Co.</v>
          </cell>
          <cell r="D76" t="str">
            <v>2022-23/71</v>
          </cell>
          <cell r="E76" t="str">
            <v>14/07/2022</v>
          </cell>
          <cell r="F76">
            <v>44604</v>
          </cell>
          <cell r="G76" t="str">
            <v>Inputs</v>
          </cell>
          <cell r="H76">
            <v>8538</v>
          </cell>
        </row>
        <row r="77">
          <cell r="B77" t="str">
            <v>07BFVPB6062E1ZE</v>
          </cell>
          <cell r="C77" t="str">
            <v>SHI ENTERPRISES</v>
          </cell>
          <cell r="D77" t="str">
            <v>204</v>
          </cell>
          <cell r="E77" t="str">
            <v>22/07/2022</v>
          </cell>
          <cell r="F77">
            <v>77816</v>
          </cell>
          <cell r="G77" t="str">
            <v>Inputs</v>
          </cell>
          <cell r="H77">
            <v>8708</v>
          </cell>
        </row>
        <row r="78">
          <cell r="B78" t="str">
            <v>07BFVPB6062E1ZE</v>
          </cell>
          <cell r="C78" t="str">
            <v>SHI ENTERPRISES</v>
          </cell>
          <cell r="D78" t="str">
            <v>204</v>
          </cell>
          <cell r="E78" t="str">
            <v>22/07/2022</v>
          </cell>
          <cell r="F78">
            <v>77816</v>
          </cell>
          <cell r="G78" t="str">
            <v>Inputs</v>
          </cell>
          <cell r="H78">
            <v>8708</v>
          </cell>
        </row>
        <row r="79">
          <cell r="B79" t="str">
            <v>07AAACA1543R1ZJ</v>
          </cell>
          <cell r="C79" t="str">
            <v>CI CAR INTERNATIONAL PVT LTD</v>
          </cell>
          <cell r="D79" t="str">
            <v>AAM/22-23/15993</v>
          </cell>
          <cell r="E79" t="str">
            <v>15/07/2022</v>
          </cell>
          <cell r="F79">
            <v>37033</v>
          </cell>
          <cell r="G79" t="str">
            <v>Inputs</v>
          </cell>
          <cell r="H79">
            <v>8301</v>
          </cell>
        </row>
        <row r="80">
          <cell r="B80" t="str">
            <v>07AAACA1543R1ZJ</v>
          </cell>
          <cell r="C80" t="str">
            <v>CI CAR INTERNATIONAL PVT LTD</v>
          </cell>
          <cell r="D80" t="str">
            <v>AAM/22-23/15993</v>
          </cell>
          <cell r="E80" t="str">
            <v>15/07/2022</v>
          </cell>
          <cell r="F80">
            <v>37033</v>
          </cell>
          <cell r="G80" t="str">
            <v>Inputs</v>
          </cell>
          <cell r="H80">
            <v>8301</v>
          </cell>
        </row>
        <row r="81">
          <cell r="B81" t="str">
            <v>07AAACA1543R1ZJ</v>
          </cell>
          <cell r="C81" t="str">
            <v>CI CAR INTERNATIONAL PVT LTD</v>
          </cell>
          <cell r="D81" t="str">
            <v>AAM/22-23/16163</v>
          </cell>
          <cell r="E81" t="str">
            <v>16/07/2022</v>
          </cell>
          <cell r="F81">
            <v>846</v>
          </cell>
          <cell r="G81" t="str">
            <v>Inputs</v>
          </cell>
          <cell r="H81">
            <v>8301</v>
          </cell>
        </row>
        <row r="82">
          <cell r="B82" t="str">
            <v>07AAACA1543R1ZJ</v>
          </cell>
          <cell r="C82" t="str">
            <v>CI CAR INTERNATIONAL PVT LTD</v>
          </cell>
          <cell r="D82" t="str">
            <v>AAM/22-23/16564</v>
          </cell>
          <cell r="E82" t="str">
            <v>19/07/2022</v>
          </cell>
          <cell r="F82">
            <v>169</v>
          </cell>
          <cell r="G82" t="str">
            <v>Inputs</v>
          </cell>
          <cell r="H82">
            <v>8301</v>
          </cell>
        </row>
        <row r="83">
          <cell r="B83" t="str">
            <v>07AAHPD0940R1ZJ</v>
          </cell>
          <cell r="C83" t="str">
            <v>SAI RAM ENTERPRISES</v>
          </cell>
          <cell r="D83" t="str">
            <v>1798</v>
          </cell>
          <cell r="E83" t="str">
            <v>28/07/2022</v>
          </cell>
          <cell r="F83">
            <v>7458</v>
          </cell>
          <cell r="G83" t="str">
            <v>Inputs</v>
          </cell>
          <cell r="H83">
            <v>3917</v>
          </cell>
        </row>
        <row r="84">
          <cell r="B84" t="str">
            <v>09ARZPK3969N1ZG</v>
          </cell>
          <cell r="C84" t="str">
            <v>FIBER GLASS INDUSTRIES</v>
          </cell>
          <cell r="D84" t="str">
            <v>352</v>
          </cell>
          <cell r="E84" t="str">
            <v>09/07/2022</v>
          </cell>
          <cell r="F84">
            <v>18944</v>
          </cell>
          <cell r="G84" t="str">
            <v>Inputs</v>
          </cell>
          <cell r="H84">
            <v>8708</v>
          </cell>
        </row>
        <row r="85">
          <cell r="B85" t="str">
            <v>07ARIPJ7653D1ZQ</v>
          </cell>
          <cell r="C85" t="str">
            <v>Vishal Auto Enterprise</v>
          </cell>
          <cell r="D85" t="str">
            <v>098/2022-2023</v>
          </cell>
          <cell r="E85" t="str">
            <v>28/07/2022</v>
          </cell>
          <cell r="F85">
            <v>36314</v>
          </cell>
          <cell r="G85" t="str">
            <v>Inputs</v>
          </cell>
          <cell r="H85">
            <v>87089900</v>
          </cell>
        </row>
        <row r="86">
          <cell r="B86" t="str">
            <v>07ARIPJ7653D1ZQ</v>
          </cell>
          <cell r="C86" t="str">
            <v>Vishal Auto Enterprise</v>
          </cell>
          <cell r="D86" t="str">
            <v>099/2022-2023</v>
          </cell>
          <cell r="E86" t="str">
            <v>29/07/2022</v>
          </cell>
          <cell r="F86">
            <v>25396</v>
          </cell>
          <cell r="G86" t="str">
            <v>Inputs</v>
          </cell>
          <cell r="H86">
            <v>87089900</v>
          </cell>
        </row>
        <row r="87">
          <cell r="B87" t="str">
            <v>07ARIPJ7653D1ZQ</v>
          </cell>
          <cell r="C87" t="str">
            <v>Vishal Auto Enterprise</v>
          </cell>
          <cell r="D87" t="str">
            <v>099/2022-2023</v>
          </cell>
          <cell r="E87" t="str">
            <v>29/07/2022</v>
          </cell>
          <cell r="F87">
            <v>25396</v>
          </cell>
          <cell r="G87" t="str">
            <v>Inputs</v>
          </cell>
          <cell r="H87">
            <v>87089900</v>
          </cell>
        </row>
        <row r="88">
          <cell r="B88" t="str">
            <v>07AGKPK3192K1Z1</v>
          </cell>
          <cell r="C88" t="str">
            <v>B P AUTO INDUSTRIES INDIA</v>
          </cell>
          <cell r="D88" t="str">
            <v>T-121</v>
          </cell>
          <cell r="E88" t="str">
            <v>27/07/2022</v>
          </cell>
          <cell r="F88">
            <v>3330</v>
          </cell>
          <cell r="G88" t="str">
            <v>Inputs</v>
          </cell>
          <cell r="H88">
            <v>8484</v>
          </cell>
        </row>
        <row r="89">
          <cell r="B89" t="str">
            <v>07AAMPK0071F1ZY</v>
          </cell>
          <cell r="C89" t="str">
            <v>SMART MANUFACTURING CO.</v>
          </cell>
          <cell r="D89" t="str">
            <v>1391</v>
          </cell>
          <cell r="E89" t="str">
            <v>08/07/2022</v>
          </cell>
          <cell r="F89">
            <v>62283</v>
          </cell>
          <cell r="G89" t="str">
            <v>Inputs</v>
          </cell>
          <cell r="H89">
            <v>8708</v>
          </cell>
        </row>
        <row r="90">
          <cell r="B90" t="str">
            <v>07AFZPM1026Q1ZP</v>
          </cell>
          <cell r="C90" t="str">
            <v>SAGAR AUTO PARTS</v>
          </cell>
          <cell r="D90" t="str">
            <v>174</v>
          </cell>
          <cell r="E90" t="str">
            <v>15/07/2022</v>
          </cell>
          <cell r="F90">
            <v>48380</v>
          </cell>
          <cell r="G90" t="str">
            <v>Inputs</v>
          </cell>
          <cell r="H90">
            <v>4016</v>
          </cell>
        </row>
        <row r="91">
          <cell r="B91" t="str">
            <v>07AHFPK5315G1ZK</v>
          </cell>
          <cell r="C91" t="str">
            <v>VINOD AUTOMOBILES</v>
          </cell>
          <cell r="D91" t="str">
            <v>803</v>
          </cell>
          <cell r="E91" t="str">
            <v>23/07/2022</v>
          </cell>
          <cell r="F91">
            <v>53129.5</v>
          </cell>
          <cell r="G91" t="str">
            <v>Inputs</v>
          </cell>
          <cell r="H91">
            <v>4016</v>
          </cell>
        </row>
        <row r="92">
          <cell r="B92" t="str">
            <v>07AABCF9828M1Z3</v>
          </cell>
          <cell r="C92" t="str">
            <v>Frontier Auto Impex Private Limited</v>
          </cell>
          <cell r="D92" t="str">
            <v>20122-23</v>
          </cell>
          <cell r="E92" t="str">
            <v>06/07/2022</v>
          </cell>
          <cell r="F92">
            <v>11520</v>
          </cell>
          <cell r="G92" t="str">
            <v>Inputs</v>
          </cell>
          <cell r="H92">
            <v>87089900</v>
          </cell>
        </row>
        <row r="93">
          <cell r="B93" t="str">
            <v>07ACLPA1962A1Z5</v>
          </cell>
          <cell r="C93" t="str">
            <v>DEEPAK AUTO PRODUCTS</v>
          </cell>
          <cell r="D93" t="str">
            <v>-153</v>
          </cell>
          <cell r="E93" t="str">
            <v>13/08/2022</v>
          </cell>
          <cell r="F93">
            <v>25024</v>
          </cell>
          <cell r="G93" t="str">
            <v>Inputs</v>
          </cell>
          <cell r="H93">
            <v>8708</v>
          </cell>
        </row>
        <row r="94">
          <cell r="B94" t="str">
            <v>07AHFPK5315G1ZK</v>
          </cell>
          <cell r="C94" t="str">
            <v>VINOD AUTOMOBILES</v>
          </cell>
          <cell r="D94" t="str">
            <v>837</v>
          </cell>
          <cell r="E94" t="str">
            <v>25/08/2022</v>
          </cell>
          <cell r="F94">
            <v>2124</v>
          </cell>
          <cell r="G94" t="str">
            <v>Inputs</v>
          </cell>
          <cell r="H94">
            <v>4016</v>
          </cell>
        </row>
        <row r="95">
          <cell r="B95" t="str">
            <v>07AMJPK6397H1ZJ</v>
          </cell>
          <cell r="C95" t="str">
            <v>Y.K.ENTERPRISES</v>
          </cell>
          <cell r="D95" t="str">
            <v>596</v>
          </cell>
          <cell r="E95" t="str">
            <v>12/07/2022</v>
          </cell>
          <cell r="F95">
            <v>4838</v>
          </cell>
          <cell r="G95" t="str">
            <v>Inputs</v>
          </cell>
          <cell r="H95">
            <v>4016</v>
          </cell>
        </row>
        <row r="96">
          <cell r="B96" t="str">
            <v>07ARIPJ7653D1ZQ</v>
          </cell>
          <cell r="C96" t="str">
            <v>Vishal Auto Enterprise</v>
          </cell>
          <cell r="D96" t="str">
            <v>104/2022-2023</v>
          </cell>
          <cell r="E96" t="str">
            <v>01/08/2022</v>
          </cell>
          <cell r="F96">
            <v>2132</v>
          </cell>
          <cell r="G96" t="str">
            <v>Inputs</v>
          </cell>
          <cell r="H96">
            <v>87089900</v>
          </cell>
        </row>
        <row r="97">
          <cell r="B97" t="str">
            <v>07ARIPJ7653D1ZQ</v>
          </cell>
          <cell r="C97" t="str">
            <v>Vishal Auto Enterprise</v>
          </cell>
          <cell r="D97" t="str">
            <v>104/2022-2023</v>
          </cell>
          <cell r="E97" t="str">
            <v>01/08/2022</v>
          </cell>
          <cell r="F97">
            <v>2132</v>
          </cell>
          <cell r="G97" t="str">
            <v>Inputs</v>
          </cell>
          <cell r="H97">
            <v>87089900</v>
          </cell>
        </row>
        <row r="98">
          <cell r="B98" t="str">
            <v>07AGKPK3192K1Z1</v>
          </cell>
          <cell r="C98" t="str">
            <v>B P AUTO INDUSTRIES INDIA</v>
          </cell>
          <cell r="D98" t="str">
            <v>T-138</v>
          </cell>
          <cell r="E98" t="str">
            <v>06/08/2022</v>
          </cell>
          <cell r="F98">
            <v>12980</v>
          </cell>
          <cell r="G98" t="str">
            <v>Inputs</v>
          </cell>
          <cell r="H98">
            <v>8484</v>
          </cell>
        </row>
        <row r="99">
          <cell r="B99" t="str">
            <v>09ARZPK3969N1ZG</v>
          </cell>
          <cell r="C99" t="str">
            <v>FIBER GLASS INDUSTRIES</v>
          </cell>
          <cell r="D99" t="str">
            <v>353</v>
          </cell>
          <cell r="E99" t="str">
            <v>01/08/2022</v>
          </cell>
          <cell r="F99">
            <v>32794</v>
          </cell>
          <cell r="G99" t="str">
            <v>Inputs</v>
          </cell>
          <cell r="H99">
            <v>8708</v>
          </cell>
        </row>
        <row r="100">
          <cell r="B100" t="str">
            <v>07AAAFF7603C1ZY</v>
          </cell>
          <cell r="C100" t="str">
            <v>FARGO AUTO ELECTRICAL</v>
          </cell>
          <cell r="D100" t="str">
            <v>FAR/2022-23/249</v>
          </cell>
          <cell r="E100" t="str">
            <v>18/08/2022</v>
          </cell>
          <cell r="F100">
            <v>8280</v>
          </cell>
          <cell r="G100" t="str">
            <v>Inputs</v>
          </cell>
          <cell r="H100">
            <v>85113010</v>
          </cell>
        </row>
        <row r="101">
          <cell r="B101" t="str">
            <v>07AAMPK0071F1ZY</v>
          </cell>
          <cell r="C101" t="str">
            <v>SMART MANUFACTURING CO.</v>
          </cell>
          <cell r="D101" t="str">
            <v>1400</v>
          </cell>
          <cell r="E101" t="str">
            <v>03/08/2022</v>
          </cell>
          <cell r="F101">
            <v>73298</v>
          </cell>
          <cell r="G101" t="str">
            <v>Inputs</v>
          </cell>
          <cell r="H101">
            <v>8708</v>
          </cell>
        </row>
        <row r="102">
          <cell r="B102" t="str">
            <v>07AAMPK0071F1ZY</v>
          </cell>
          <cell r="C102" t="str">
            <v>SMART MANUFACTURING CO.</v>
          </cell>
          <cell r="D102" t="str">
            <v>1402</v>
          </cell>
          <cell r="E102" t="str">
            <v>05/08/2022</v>
          </cell>
          <cell r="F102">
            <v>89280</v>
          </cell>
          <cell r="G102" t="str">
            <v>Inputs</v>
          </cell>
          <cell r="H102">
            <v>8708</v>
          </cell>
        </row>
        <row r="103">
          <cell r="B103" t="str">
            <v>07AABCF9828M1Z3</v>
          </cell>
          <cell r="C103" t="str">
            <v>Frontier Auto Impex Private Limited</v>
          </cell>
          <cell r="D103" t="str">
            <v>247</v>
          </cell>
          <cell r="E103" t="str">
            <v>01/08/2022</v>
          </cell>
          <cell r="F103">
            <v>17920</v>
          </cell>
          <cell r="G103" t="str">
            <v>Inputs</v>
          </cell>
          <cell r="H103">
            <v>87089900</v>
          </cell>
        </row>
        <row r="104">
          <cell r="B104" t="str">
            <v>07EKFPS8367P1Z0</v>
          </cell>
          <cell r="C104" t="str">
            <v>DS ENTERPRISES</v>
          </cell>
          <cell r="D104" t="str">
            <v>00096</v>
          </cell>
          <cell r="E104" t="str">
            <v>07/05/2022</v>
          </cell>
          <cell r="F104">
            <v>46155</v>
          </cell>
          <cell r="G104" t="str">
            <v>Inputs</v>
          </cell>
          <cell r="H104">
            <v>7323</v>
          </cell>
        </row>
        <row r="105">
          <cell r="B105" t="str">
            <v>07EKFPS8367P1Z0</v>
          </cell>
          <cell r="C105" t="str">
            <v>DS ENTERPRISES</v>
          </cell>
          <cell r="D105" t="str">
            <v>00098</v>
          </cell>
          <cell r="E105" t="str">
            <v>19/05/2022</v>
          </cell>
          <cell r="F105">
            <v>40276</v>
          </cell>
          <cell r="G105" t="str">
            <v>Inputs</v>
          </cell>
          <cell r="H105">
            <v>7323</v>
          </cell>
        </row>
        <row r="106">
          <cell r="B106" t="str">
            <v>07EKFPS8367P1Z0</v>
          </cell>
          <cell r="C106" t="str">
            <v>DS ENTERPRISES</v>
          </cell>
          <cell r="D106" t="str">
            <v>00098</v>
          </cell>
          <cell r="E106" t="str">
            <v>19/05/2022</v>
          </cell>
          <cell r="F106">
            <v>40276</v>
          </cell>
          <cell r="G106" t="str">
            <v>Inputs</v>
          </cell>
          <cell r="H106">
            <v>7323</v>
          </cell>
        </row>
        <row r="107">
          <cell r="B107" t="str">
            <v>07EKFPS8367P1Z0</v>
          </cell>
          <cell r="C107" t="str">
            <v>DS ENTERPRISES</v>
          </cell>
          <cell r="D107" t="str">
            <v>00099</v>
          </cell>
          <cell r="E107" t="str">
            <v>28/05/2022</v>
          </cell>
          <cell r="F107">
            <v>20650</v>
          </cell>
          <cell r="G107" t="str">
            <v>Inputs</v>
          </cell>
          <cell r="H107">
            <v>7323</v>
          </cell>
        </row>
        <row r="108">
          <cell r="B108" t="str">
            <v>07EKFPS8367P1Z0</v>
          </cell>
          <cell r="C108" t="str">
            <v>DS ENTERPRISES</v>
          </cell>
          <cell r="D108" t="str">
            <v>00096-A</v>
          </cell>
          <cell r="E108" t="str">
            <v>07/05/2022</v>
          </cell>
          <cell r="F108">
            <v>10880</v>
          </cell>
          <cell r="G108" t="str">
            <v>Inputs</v>
          </cell>
          <cell r="H108">
            <v>7323</v>
          </cell>
        </row>
        <row r="109">
          <cell r="B109" t="str">
            <v>07EKFPS8367P1Z0</v>
          </cell>
          <cell r="C109" t="str">
            <v>DS ENTERPRISES</v>
          </cell>
          <cell r="D109" t="str">
            <v>00096-B</v>
          </cell>
          <cell r="E109" t="str">
            <v>07/05/2022</v>
          </cell>
          <cell r="F109">
            <v>25006.400000000001</v>
          </cell>
          <cell r="G109" t="str">
            <v>Inputs</v>
          </cell>
          <cell r="H109">
            <v>7323</v>
          </cell>
        </row>
        <row r="110">
          <cell r="B110" t="str">
            <v>07EKFPS8367P1Z0</v>
          </cell>
          <cell r="C110" t="str">
            <v>DS ENTERPRISES</v>
          </cell>
          <cell r="D110" t="str">
            <v>00096-B</v>
          </cell>
          <cell r="E110" t="str">
            <v>07/05/2022</v>
          </cell>
          <cell r="F110">
            <v>25006.400000000001</v>
          </cell>
          <cell r="G110" t="str">
            <v>Inputs</v>
          </cell>
          <cell r="H110">
            <v>7323</v>
          </cell>
        </row>
        <row r="111">
          <cell r="B111" t="str">
            <v>07AAACC6106G4Z0</v>
          </cell>
          <cell r="C111" t="str">
            <v>CANARA BANK</v>
          </cell>
          <cell r="D111" t="str">
            <v>0701082220037470</v>
          </cell>
          <cell r="E111" t="str">
            <v>31/08/2022</v>
          </cell>
          <cell r="F111">
            <v>53.99</v>
          </cell>
          <cell r="G111" t="str">
            <v>Input Services</v>
          </cell>
          <cell r="H111">
            <v>9971</v>
          </cell>
        </row>
        <row r="112">
          <cell r="B112" t="str">
            <v>07AEBFS2307D1ZJ</v>
          </cell>
          <cell r="C112" t="str">
            <v>S.K.AUTOMOTIVE INDUSTRIES</v>
          </cell>
          <cell r="D112" t="str">
            <v>GST-0760</v>
          </cell>
          <cell r="E112" t="str">
            <v>04/08/2022</v>
          </cell>
          <cell r="F112">
            <v>45967</v>
          </cell>
          <cell r="G112" t="str">
            <v>Inputs</v>
          </cell>
          <cell r="H112">
            <v>8708</v>
          </cell>
        </row>
        <row r="113">
          <cell r="B113" t="str">
            <v>07AFKPG4833L1Z7</v>
          </cell>
          <cell r="C113" t="str">
            <v>FAIRDEAL MARUTI PARTS</v>
          </cell>
          <cell r="D113" t="str">
            <v>FD/22-23/231</v>
          </cell>
          <cell r="E113" t="str">
            <v>01/08/2022</v>
          </cell>
          <cell r="F113">
            <v>3571</v>
          </cell>
          <cell r="G113" t="str">
            <v>Inputs</v>
          </cell>
          <cell r="H113">
            <v>87089900</v>
          </cell>
        </row>
        <row r="114">
          <cell r="B114" t="str">
            <v>07BATPS9085F1ZU</v>
          </cell>
          <cell r="C114" t="str">
            <v>SSS FILTERATIONS</v>
          </cell>
          <cell r="D114" t="str">
            <v>SSSF/2022-23/129</v>
          </cell>
          <cell r="E114" t="str">
            <v>27/08/2022</v>
          </cell>
          <cell r="F114">
            <v>129989</v>
          </cell>
          <cell r="G114" t="str">
            <v>Inputs</v>
          </cell>
          <cell r="H114">
            <v>84219900</v>
          </cell>
        </row>
        <row r="115">
          <cell r="B115" t="str">
            <v>07BATPS9085F1ZU</v>
          </cell>
          <cell r="C115" t="str">
            <v>SSS FILTERATIONS</v>
          </cell>
          <cell r="D115" t="str">
            <v>SSSF/2022-23/132</v>
          </cell>
          <cell r="E115" t="str">
            <v>30/08/2022</v>
          </cell>
          <cell r="F115">
            <v>242738</v>
          </cell>
          <cell r="G115" t="str">
            <v>Inputs</v>
          </cell>
          <cell r="H115">
            <v>84219900</v>
          </cell>
        </row>
        <row r="116">
          <cell r="B116" t="str">
            <v>07BATPS9085F1ZU</v>
          </cell>
          <cell r="C116" t="str">
            <v>SSS FILTERATIONS</v>
          </cell>
          <cell r="D116" t="str">
            <v>SSSF/2022-23/133</v>
          </cell>
          <cell r="E116" t="str">
            <v>30/08/2022</v>
          </cell>
          <cell r="F116">
            <v>101763</v>
          </cell>
          <cell r="G116" t="str">
            <v>Inputs</v>
          </cell>
          <cell r="H116">
            <v>84219900</v>
          </cell>
        </row>
        <row r="117">
          <cell r="B117" t="str">
            <v>07AAJPK5229N1ZA</v>
          </cell>
          <cell r="C117" t="str">
            <v>GYAN SALES CORPORATIO</v>
          </cell>
          <cell r="D117" t="str">
            <v>195</v>
          </cell>
          <cell r="E117" t="str">
            <v>01/08/2022</v>
          </cell>
          <cell r="F117">
            <v>8284</v>
          </cell>
          <cell r="G117" t="str">
            <v>Inputs</v>
          </cell>
          <cell r="H117">
            <v>7009</v>
          </cell>
        </row>
        <row r="118">
          <cell r="B118" t="str">
            <v>07BFVPB6062E1ZE</v>
          </cell>
          <cell r="C118" t="str">
            <v>SHI ENTERPRISES</v>
          </cell>
          <cell r="D118" t="str">
            <v>221</v>
          </cell>
          <cell r="E118" t="str">
            <v>01/08/2022</v>
          </cell>
          <cell r="F118">
            <v>11981</v>
          </cell>
          <cell r="G118" t="str">
            <v>Inputs</v>
          </cell>
          <cell r="H118">
            <v>8708</v>
          </cell>
        </row>
        <row r="119">
          <cell r="B119" t="str">
            <v>07AIVPG0825E1ZC</v>
          </cell>
          <cell r="C119" t="str">
            <v>D.P. GUPTA &amp; COMPANY</v>
          </cell>
          <cell r="D119" t="str">
            <v>274</v>
          </cell>
          <cell r="E119" t="str">
            <v>20/08/2022</v>
          </cell>
          <cell r="F119">
            <v>85698</v>
          </cell>
          <cell r="G119" t="str">
            <v>Inputs</v>
          </cell>
          <cell r="H119">
            <v>85124000</v>
          </cell>
        </row>
        <row r="120">
          <cell r="B120" t="str">
            <v>07ACEPJ7159D1ZO</v>
          </cell>
          <cell r="C120" t="str">
            <v>MUKESH AUTO TRADERS</v>
          </cell>
          <cell r="D120" t="str">
            <v>MK/0043/2022-23</v>
          </cell>
          <cell r="E120" t="str">
            <v>12/08/2022</v>
          </cell>
          <cell r="F120">
            <v>2880</v>
          </cell>
          <cell r="G120" t="str">
            <v>Inputs</v>
          </cell>
          <cell r="H120">
            <v>8708</v>
          </cell>
        </row>
        <row r="121">
          <cell r="B121" t="str">
            <v>07AAJPK5229N1ZA</v>
          </cell>
          <cell r="C121" t="str">
            <v>GYAN SALES CORPORATIO</v>
          </cell>
          <cell r="D121" t="str">
            <v>273</v>
          </cell>
          <cell r="E121" t="str">
            <v>10/09/2022</v>
          </cell>
          <cell r="F121">
            <v>22940</v>
          </cell>
          <cell r="G121" t="str">
            <v>Inputs</v>
          </cell>
          <cell r="H121">
            <v>7009</v>
          </cell>
        </row>
        <row r="122">
          <cell r="B122" t="str">
            <v>07AAJPK5229N1ZA</v>
          </cell>
          <cell r="C122" t="str">
            <v>GYAN SALES CORPORATIO</v>
          </cell>
          <cell r="D122" t="str">
            <v>279</v>
          </cell>
          <cell r="E122" t="str">
            <v>13/09/2022</v>
          </cell>
          <cell r="F122">
            <v>136019</v>
          </cell>
          <cell r="G122" t="str">
            <v>Inputs</v>
          </cell>
          <cell r="H122">
            <v>7009</v>
          </cell>
        </row>
        <row r="123">
          <cell r="B123" t="str">
            <v>09ARZPK3969N1ZG</v>
          </cell>
          <cell r="C123" t="str">
            <v>FIBER GLASS INDUSTRIES</v>
          </cell>
          <cell r="D123" t="str">
            <v>354</v>
          </cell>
          <cell r="E123" t="str">
            <v>12/09/2022</v>
          </cell>
          <cell r="F123">
            <v>35840</v>
          </cell>
          <cell r="G123" t="str">
            <v>Inputs</v>
          </cell>
          <cell r="H123">
            <v>8708</v>
          </cell>
        </row>
        <row r="124">
          <cell r="B124" t="str">
            <v>09ARZPK3969N1ZG</v>
          </cell>
          <cell r="C124" t="str">
            <v>FIBER GLASS INDUSTRIES</v>
          </cell>
          <cell r="D124" t="str">
            <v>355</v>
          </cell>
          <cell r="E124" t="str">
            <v>14/09/2022</v>
          </cell>
          <cell r="F124">
            <v>40550</v>
          </cell>
          <cell r="G124" t="str">
            <v>Inputs</v>
          </cell>
          <cell r="H124">
            <v>8708</v>
          </cell>
        </row>
        <row r="125">
          <cell r="B125" t="str">
            <v>07GEQPP7191B1Z0</v>
          </cell>
          <cell r="C125" t="str">
            <v>SARASWATI AUTO PARTS</v>
          </cell>
          <cell r="D125" t="str">
            <v>GST-8</v>
          </cell>
          <cell r="E125" t="str">
            <v>14/09/2022</v>
          </cell>
          <cell r="F125">
            <v>37337.599999999999</v>
          </cell>
          <cell r="G125" t="str">
            <v>Inputs</v>
          </cell>
          <cell r="H125">
            <v>87089900</v>
          </cell>
        </row>
        <row r="126">
          <cell r="B126" t="str">
            <v>09EIYPK3328D1ZV</v>
          </cell>
          <cell r="C126" t="str">
            <v>M/S  S G ENTERPRISES</v>
          </cell>
          <cell r="D126" t="str">
            <v>64</v>
          </cell>
          <cell r="E126" t="str">
            <v>06/08/2022</v>
          </cell>
          <cell r="F126">
            <v>133613.76000000001</v>
          </cell>
          <cell r="G126" t="str">
            <v>Inputs</v>
          </cell>
          <cell r="H126">
            <v>8708</v>
          </cell>
        </row>
        <row r="127">
          <cell r="B127" t="str">
            <v>07ABGPL0778D1ZR</v>
          </cell>
          <cell r="C127" t="str">
            <v>LUTHRA MOTOR STORES</v>
          </cell>
          <cell r="D127" t="str">
            <v>512</v>
          </cell>
          <cell r="E127" t="str">
            <v>02/09/2022</v>
          </cell>
          <cell r="F127">
            <v>107616</v>
          </cell>
          <cell r="G127" t="str">
            <v>Inputs</v>
          </cell>
          <cell r="H127">
            <v>84219900</v>
          </cell>
        </row>
        <row r="128">
          <cell r="B128" t="str">
            <v>07AMQPG0751J1ZX</v>
          </cell>
          <cell r="C128" t="str">
            <v>PARVATI PLASTIC</v>
          </cell>
          <cell r="D128" t="str">
            <v>858/2022-23</v>
          </cell>
          <cell r="E128" t="str">
            <v>09/08/2022</v>
          </cell>
          <cell r="F128">
            <v>33830</v>
          </cell>
          <cell r="G128" t="str">
            <v>Inputs</v>
          </cell>
          <cell r="H128">
            <v>87089900</v>
          </cell>
        </row>
        <row r="129">
          <cell r="B129" t="str">
            <v>07AMQPG0751J1ZX</v>
          </cell>
          <cell r="C129" t="str">
            <v>PARVATI PLASTIC</v>
          </cell>
          <cell r="D129" t="str">
            <v>859/2022-23</v>
          </cell>
          <cell r="E129" t="str">
            <v>10/08/2022</v>
          </cell>
          <cell r="F129">
            <v>63539</v>
          </cell>
          <cell r="G129" t="str">
            <v>Inputs</v>
          </cell>
          <cell r="H129">
            <v>87089900</v>
          </cell>
        </row>
        <row r="130">
          <cell r="B130" t="str">
            <v>07AMQPG0751J1ZX</v>
          </cell>
          <cell r="C130" t="str">
            <v>PARVATI PLASTIC</v>
          </cell>
          <cell r="D130" t="str">
            <v>860/2022-23</v>
          </cell>
          <cell r="E130" t="str">
            <v>10/08/2022</v>
          </cell>
          <cell r="F130">
            <v>65280</v>
          </cell>
          <cell r="G130" t="str">
            <v>Inputs</v>
          </cell>
          <cell r="H130">
            <v>87089900</v>
          </cell>
        </row>
        <row r="131">
          <cell r="B131" t="str">
            <v>07AQDPS3902J1ZR</v>
          </cell>
          <cell r="C131" t="str">
            <v>SHRI VINAYAK RUBBER INDUSTRIES</v>
          </cell>
          <cell r="D131" t="str">
            <v>219/2022-23</v>
          </cell>
          <cell r="E131" t="str">
            <v>13/09/2022</v>
          </cell>
          <cell r="F131">
            <v>10325</v>
          </cell>
          <cell r="G131" t="str">
            <v>Inputs</v>
          </cell>
          <cell r="H131">
            <v>40094200</v>
          </cell>
        </row>
        <row r="132">
          <cell r="B132" t="str">
            <v>07AAACC6106G4Z0</v>
          </cell>
          <cell r="C132" t="str">
            <v>CANARA BANK</v>
          </cell>
          <cell r="D132" t="str">
            <v>0701092220183403</v>
          </cell>
          <cell r="E132" t="str">
            <v>30/09/2022</v>
          </cell>
          <cell r="F132">
            <v>1222</v>
          </cell>
          <cell r="G132" t="str">
            <v>Input Services</v>
          </cell>
          <cell r="H132">
            <v>9971</v>
          </cell>
        </row>
        <row r="133">
          <cell r="B133" t="str">
            <v>07AKZPS5401N1ZB</v>
          </cell>
          <cell r="C133" t="str">
            <v>HARKIRAT AGENCIES</v>
          </cell>
          <cell r="D133" t="str">
            <v>2723</v>
          </cell>
          <cell r="E133" t="str">
            <v>22/07/2022</v>
          </cell>
          <cell r="F133">
            <v>19175</v>
          </cell>
          <cell r="G133" t="str">
            <v>Inputs</v>
          </cell>
          <cell r="H133">
            <v>7318</v>
          </cell>
        </row>
        <row r="134">
          <cell r="B134" t="str">
            <v>07AITPR2064G1ZW</v>
          </cell>
          <cell r="C134" t="str">
            <v>VENUS AUTO MOBILE</v>
          </cell>
          <cell r="D134" t="str">
            <v>185</v>
          </cell>
          <cell r="E134" t="str">
            <v>12/09/2022</v>
          </cell>
          <cell r="F134">
            <v>5722</v>
          </cell>
          <cell r="G134" t="str">
            <v>Inputs</v>
          </cell>
          <cell r="H134">
            <v>8708</v>
          </cell>
        </row>
        <row r="135">
          <cell r="B135" t="str">
            <v>07AAJPK5229N1ZA</v>
          </cell>
          <cell r="C135" t="str">
            <v>GYAN SALES CORPORATIO</v>
          </cell>
          <cell r="D135" t="str">
            <v>319</v>
          </cell>
          <cell r="E135" t="str">
            <v>01/10/2022</v>
          </cell>
          <cell r="F135">
            <v>22940</v>
          </cell>
          <cell r="G135" t="str">
            <v>Inputs</v>
          </cell>
          <cell r="H135">
            <v>7009</v>
          </cell>
        </row>
        <row r="136">
          <cell r="B136" t="str">
            <v>07EKFPS8367P1Z0</v>
          </cell>
          <cell r="C136" t="str">
            <v>DS ENTERPRISES</v>
          </cell>
          <cell r="D136" t="str">
            <v>00111</v>
          </cell>
          <cell r="E136" t="str">
            <v>16/09/2022</v>
          </cell>
          <cell r="F136">
            <v>11505</v>
          </cell>
          <cell r="G136" t="str">
            <v>Inputs</v>
          </cell>
          <cell r="H136">
            <v>7323</v>
          </cell>
        </row>
        <row r="137">
          <cell r="B137" t="str">
            <v>24ACTPC9398J1ZU</v>
          </cell>
          <cell r="C137" t="str">
            <v>STEEL TECH AUTO INDUSTRIES</v>
          </cell>
          <cell r="D137" t="str">
            <v>117</v>
          </cell>
          <cell r="E137" t="str">
            <v>30/10/2022</v>
          </cell>
          <cell r="F137">
            <v>132480</v>
          </cell>
          <cell r="G137" t="str">
            <v>Inputs</v>
          </cell>
          <cell r="H137">
            <v>8708</v>
          </cell>
        </row>
        <row r="138">
          <cell r="B138" t="str">
            <v>07AAACC6106G4Z0</v>
          </cell>
          <cell r="C138" t="str">
            <v>CANARA BANK</v>
          </cell>
          <cell r="D138" t="str">
            <v>0701102200036052</v>
          </cell>
          <cell r="E138" t="str">
            <v>31/10/2022</v>
          </cell>
          <cell r="F138">
            <v>12</v>
          </cell>
          <cell r="G138" t="str">
            <v>Input Services</v>
          </cell>
          <cell r="H138">
            <v>9971</v>
          </cell>
        </row>
        <row r="139">
          <cell r="B139" t="str">
            <v>07AAOFC5544K1Z2</v>
          </cell>
          <cell r="C139" t="str">
            <v>CG &amp; COMPANY</v>
          </cell>
          <cell r="D139" t="str">
            <v>46</v>
          </cell>
          <cell r="E139" t="str">
            <v>14/08/2022</v>
          </cell>
          <cell r="F139">
            <v>14160</v>
          </cell>
          <cell r="G139" t="str">
            <v>Input Services</v>
          </cell>
          <cell r="H139">
            <v>9982</v>
          </cell>
        </row>
        <row r="140">
          <cell r="B140" t="str">
            <v>07AAOFC5544K1Z2</v>
          </cell>
          <cell r="C140" t="str">
            <v>CG &amp; COMPANY</v>
          </cell>
          <cell r="D140" t="str">
            <v>53</v>
          </cell>
          <cell r="E140" t="str">
            <v>08/09/2022</v>
          </cell>
          <cell r="F140">
            <v>8850</v>
          </cell>
          <cell r="G140" t="str">
            <v>Input Services</v>
          </cell>
          <cell r="H140">
            <v>9982</v>
          </cell>
        </row>
        <row r="141">
          <cell r="B141" t="str">
            <v>07AAOFC5544K1Z2</v>
          </cell>
          <cell r="C141" t="str">
            <v>CG &amp; COMPANY</v>
          </cell>
          <cell r="D141" t="str">
            <v>71</v>
          </cell>
          <cell r="E141" t="str">
            <v>06/10/2022</v>
          </cell>
          <cell r="F141">
            <v>14160</v>
          </cell>
          <cell r="G141" t="str">
            <v>Input Services</v>
          </cell>
          <cell r="H141">
            <v>9982</v>
          </cell>
        </row>
        <row r="142">
          <cell r="B142" t="str">
            <v>07AAACA1543R1ZJ</v>
          </cell>
          <cell r="C142" t="str">
            <v>CI CAR INTERNATIONAL PVT LTD</v>
          </cell>
          <cell r="D142" t="str">
            <v>AAM/22-23/29391</v>
          </cell>
          <cell r="E142" t="str">
            <v>03/10/2022</v>
          </cell>
          <cell r="F142">
            <v>7582</v>
          </cell>
          <cell r="G142" t="str">
            <v>Inputs</v>
          </cell>
          <cell r="H142">
            <v>8301</v>
          </cell>
        </row>
        <row r="143">
          <cell r="B143" t="str">
            <v>07AAACA1543R1ZJ</v>
          </cell>
          <cell r="C143" t="str">
            <v>CI CAR INTERNATIONAL PVT LTD</v>
          </cell>
          <cell r="D143" t="str">
            <v>AAM/22-23/29391</v>
          </cell>
          <cell r="E143" t="str">
            <v>03/10/2022</v>
          </cell>
          <cell r="F143">
            <v>7582</v>
          </cell>
          <cell r="G143" t="str">
            <v>Inputs</v>
          </cell>
          <cell r="H143">
            <v>8301</v>
          </cell>
        </row>
        <row r="144">
          <cell r="B144" t="str">
            <v>07AEJPJ2998F1Z6</v>
          </cell>
          <cell r="C144" t="str">
            <v>AUTO SPARE ACCESSORIES</v>
          </cell>
          <cell r="D144" t="str">
            <v>196</v>
          </cell>
          <cell r="E144" t="str">
            <v>07/07/2022</v>
          </cell>
          <cell r="F144">
            <v>24960</v>
          </cell>
          <cell r="G144" t="str">
            <v>Inputs</v>
          </cell>
          <cell r="H144">
            <v>87089900</v>
          </cell>
        </row>
        <row r="145">
          <cell r="B145" t="str">
            <v>07AEJPJ2998F1Z6</v>
          </cell>
          <cell r="C145" t="str">
            <v>AUTO SPARE ACCESSORIES</v>
          </cell>
          <cell r="D145" t="str">
            <v>229</v>
          </cell>
          <cell r="E145" t="str">
            <v>05/08/2022</v>
          </cell>
          <cell r="F145">
            <v>48640</v>
          </cell>
          <cell r="G145" t="str">
            <v>Inputs</v>
          </cell>
          <cell r="H145">
            <v>87089900</v>
          </cell>
        </row>
        <row r="146">
          <cell r="B146" t="str">
            <v>07ARIPJ7653D1ZQ</v>
          </cell>
          <cell r="C146" t="str">
            <v>Vishal Auto Enterprise</v>
          </cell>
          <cell r="D146" t="str">
            <v>179/2022-2023</v>
          </cell>
          <cell r="E146" t="str">
            <v>11/11/2022</v>
          </cell>
          <cell r="F146">
            <v>81437</v>
          </cell>
          <cell r="G146" t="str">
            <v>Inputs</v>
          </cell>
          <cell r="H146">
            <v>87089900</v>
          </cell>
        </row>
        <row r="147">
          <cell r="B147" t="str">
            <v>07ARIPJ7653D1ZQ</v>
          </cell>
          <cell r="C147" t="str">
            <v>Vishal Auto Enterprise</v>
          </cell>
          <cell r="D147" t="str">
            <v>179/2022-2023</v>
          </cell>
          <cell r="E147" t="str">
            <v>11/11/2022</v>
          </cell>
          <cell r="F147">
            <v>81437</v>
          </cell>
          <cell r="G147" t="str">
            <v>Inputs</v>
          </cell>
          <cell r="H147">
            <v>87089900</v>
          </cell>
        </row>
        <row r="148">
          <cell r="B148" t="str">
            <v>06AFIPC9999M1ZK</v>
          </cell>
          <cell r="C148" t="str">
            <v>RELIANCE SPARES  INTERNATIONAL</v>
          </cell>
          <cell r="D148" t="str">
            <v>RSI/22-23/646</v>
          </cell>
          <cell r="E148" t="str">
            <v>21/11/2022</v>
          </cell>
          <cell r="F148">
            <v>1360</v>
          </cell>
          <cell r="G148" t="str">
            <v>Inputs</v>
          </cell>
          <cell r="H148">
            <v>8708</v>
          </cell>
        </row>
        <row r="149">
          <cell r="B149" t="str">
            <v>07AHFPK5315G1ZK</v>
          </cell>
          <cell r="C149" t="str">
            <v>VINOD AUTOMOBILES</v>
          </cell>
          <cell r="D149" t="str">
            <v>910</v>
          </cell>
          <cell r="E149" t="str">
            <v>04/11/2022</v>
          </cell>
          <cell r="F149">
            <v>3304</v>
          </cell>
          <cell r="G149" t="str">
            <v>Inputs</v>
          </cell>
          <cell r="H149">
            <v>4016</v>
          </cell>
        </row>
        <row r="150">
          <cell r="B150" t="str">
            <v>07AHFPK5315G1ZK</v>
          </cell>
          <cell r="C150" t="str">
            <v>VINOD AUTOMOBILES</v>
          </cell>
          <cell r="D150" t="str">
            <v>925</v>
          </cell>
          <cell r="E150" t="str">
            <v>24/11/2022</v>
          </cell>
          <cell r="F150">
            <v>14868</v>
          </cell>
          <cell r="G150" t="str">
            <v>Inputs</v>
          </cell>
          <cell r="H150">
            <v>4016</v>
          </cell>
        </row>
        <row r="151">
          <cell r="B151" t="str">
            <v>07AHFPK5315G1ZK</v>
          </cell>
          <cell r="C151" t="str">
            <v>VINOD AUTOMOBILES</v>
          </cell>
          <cell r="D151" t="str">
            <v>929</v>
          </cell>
          <cell r="E151" t="str">
            <v>25/11/2022</v>
          </cell>
          <cell r="F151">
            <v>37760</v>
          </cell>
          <cell r="G151" t="str">
            <v>Inputs</v>
          </cell>
          <cell r="H151">
            <v>4016</v>
          </cell>
        </row>
        <row r="152">
          <cell r="B152" t="str">
            <v>07AAAFH3253J1ZJ</v>
          </cell>
          <cell r="C152" t="str">
            <v>HANUMAN AUTO SPARES</v>
          </cell>
          <cell r="D152" t="str">
            <v>2450</v>
          </cell>
          <cell r="E152" t="str">
            <v>09/11/2022</v>
          </cell>
          <cell r="F152">
            <v>1260</v>
          </cell>
          <cell r="G152" t="str">
            <v>Inputs</v>
          </cell>
          <cell r="H152">
            <v>8536</v>
          </cell>
        </row>
        <row r="153">
          <cell r="B153" t="str">
            <v>07ACYPJ7494B1Z2</v>
          </cell>
          <cell r="C153" t="str">
            <v>SAMBHAV NUT BOLT HOUSE</v>
          </cell>
          <cell r="D153" t="str">
            <v>SNB/22-23/0503</v>
          </cell>
          <cell r="E153" t="str">
            <v>09/11/2022</v>
          </cell>
          <cell r="F153">
            <v>7507</v>
          </cell>
          <cell r="G153" t="str">
            <v>Inputs</v>
          </cell>
          <cell r="H153">
            <v>73181500</v>
          </cell>
        </row>
        <row r="154">
          <cell r="B154" t="str">
            <v>07ATGPS1780A2ZS</v>
          </cell>
          <cell r="C154" t="str">
            <v>SUPER INDIA TRADERS</v>
          </cell>
          <cell r="D154" t="str">
            <v>549/22-23</v>
          </cell>
          <cell r="E154" t="str">
            <v>09/11/2022</v>
          </cell>
          <cell r="F154">
            <v>11474</v>
          </cell>
          <cell r="G154" t="str">
            <v>Inputs</v>
          </cell>
          <cell r="H154">
            <v>8708</v>
          </cell>
        </row>
        <row r="155">
          <cell r="B155" t="str">
            <v>07AMQPG0751J1ZX</v>
          </cell>
          <cell r="C155" t="str">
            <v>PARVATI PLASTIC</v>
          </cell>
          <cell r="D155" t="str">
            <v>873/2022-23</v>
          </cell>
          <cell r="E155" t="str">
            <v>10/10/2022</v>
          </cell>
          <cell r="F155">
            <v>27878</v>
          </cell>
          <cell r="G155" t="str">
            <v>Inputs</v>
          </cell>
          <cell r="H155">
            <v>87089900</v>
          </cell>
        </row>
        <row r="156">
          <cell r="B156" t="str">
            <v>07GEQPP7191B1Z0</v>
          </cell>
          <cell r="C156" t="str">
            <v>SARASWATI AUTO PARTS</v>
          </cell>
          <cell r="D156" t="str">
            <v>GST-9</v>
          </cell>
          <cell r="E156" t="str">
            <v>06/10/2022</v>
          </cell>
          <cell r="F156">
            <v>71987.199999999997</v>
          </cell>
          <cell r="G156" t="str">
            <v>Inputs</v>
          </cell>
          <cell r="H156">
            <v>87089900</v>
          </cell>
        </row>
        <row r="157">
          <cell r="B157" t="str">
            <v>07AAJPK5229N1ZA</v>
          </cell>
          <cell r="C157" t="str">
            <v>GYAN SALES CORPORATIO</v>
          </cell>
          <cell r="D157" t="str">
            <v>381</v>
          </cell>
          <cell r="E157" t="str">
            <v>09/11/2022</v>
          </cell>
          <cell r="F157">
            <v>79532</v>
          </cell>
          <cell r="G157" t="str">
            <v>Inputs</v>
          </cell>
          <cell r="H157">
            <v>7009</v>
          </cell>
        </row>
        <row r="158">
          <cell r="B158" t="str">
            <v>07AAJPK5229N1ZA</v>
          </cell>
          <cell r="C158" t="str">
            <v>GYAN SALES CORPORATIO</v>
          </cell>
          <cell r="D158" t="str">
            <v>404</v>
          </cell>
          <cell r="E158" t="str">
            <v>16/11/2022</v>
          </cell>
          <cell r="F158">
            <v>9204</v>
          </cell>
          <cell r="G158" t="str">
            <v>Inputs</v>
          </cell>
          <cell r="H158">
            <v>7009</v>
          </cell>
        </row>
        <row r="159">
          <cell r="B159" t="str">
            <v>07AAJPK5229N1ZA</v>
          </cell>
          <cell r="C159" t="str">
            <v>GYAN SALES CORPORATIO</v>
          </cell>
          <cell r="D159" t="str">
            <v>423</v>
          </cell>
          <cell r="E159" t="str">
            <v>22/11/2022</v>
          </cell>
          <cell r="F159">
            <v>767</v>
          </cell>
          <cell r="G159" t="str">
            <v>Inputs</v>
          </cell>
          <cell r="H159">
            <v>7009</v>
          </cell>
        </row>
        <row r="160">
          <cell r="B160" t="str">
            <v>07AAACA1543R1ZJ</v>
          </cell>
          <cell r="C160" t="str">
            <v>CI CAR INTERNATIONAL PVT LTD</v>
          </cell>
          <cell r="D160" t="str">
            <v>AAM/22-23/35229</v>
          </cell>
          <cell r="E160" t="str">
            <v>10/11/2022</v>
          </cell>
          <cell r="F160">
            <v>10488</v>
          </cell>
          <cell r="G160" t="str">
            <v>Inputs</v>
          </cell>
          <cell r="H160">
            <v>8301</v>
          </cell>
        </row>
        <row r="161">
          <cell r="B161" t="str">
            <v>07AAACA1543R1ZJ</v>
          </cell>
          <cell r="C161" t="str">
            <v>CI CAR INTERNATIONAL PVT LTD</v>
          </cell>
          <cell r="D161" t="str">
            <v>AAM/22-23/35229</v>
          </cell>
          <cell r="E161" t="str">
            <v>10/11/2022</v>
          </cell>
          <cell r="F161">
            <v>10488</v>
          </cell>
          <cell r="G161" t="str">
            <v>Inputs</v>
          </cell>
          <cell r="H161">
            <v>8301</v>
          </cell>
        </row>
        <row r="162">
          <cell r="B162" t="str">
            <v>07AAACA1543R1ZJ</v>
          </cell>
          <cell r="C162" t="str">
            <v>CI CAR INTERNATIONAL PVT LTD</v>
          </cell>
          <cell r="D162" t="str">
            <v>AAM/22-23/35981</v>
          </cell>
          <cell r="E162" t="str">
            <v>14/11/2022</v>
          </cell>
          <cell r="F162">
            <v>1937</v>
          </cell>
          <cell r="G162" t="str">
            <v>Inputs</v>
          </cell>
          <cell r="H162">
            <v>8301</v>
          </cell>
        </row>
        <row r="163">
          <cell r="B163" t="str">
            <v>07AEQPA1813B1Z4</v>
          </cell>
          <cell r="C163" t="str">
            <v>TEKNO AUTO PARTS</v>
          </cell>
          <cell r="D163" t="str">
            <v>2341</v>
          </cell>
          <cell r="E163" t="str">
            <v>11/11/2022</v>
          </cell>
          <cell r="F163">
            <v>32500</v>
          </cell>
          <cell r="G163" t="str">
            <v>Inputs</v>
          </cell>
          <cell r="H163">
            <v>8512</v>
          </cell>
        </row>
        <row r="164">
          <cell r="B164" t="str">
            <v>09EIYPK3328D1ZV</v>
          </cell>
          <cell r="C164" t="str">
            <v>M/S  S G ENTERPRISES</v>
          </cell>
          <cell r="D164" t="str">
            <v>147</v>
          </cell>
          <cell r="E164" t="str">
            <v>30/11/2022</v>
          </cell>
          <cell r="F164">
            <v>172056.98</v>
          </cell>
          <cell r="G164" t="str">
            <v>Inputs</v>
          </cell>
          <cell r="H164">
            <v>8708</v>
          </cell>
        </row>
        <row r="165">
          <cell r="B165" t="str">
            <v>07AACFT7607G1Z6</v>
          </cell>
          <cell r="C165" t="str">
            <v>THAKRAL MOTORS</v>
          </cell>
          <cell r="D165" t="str">
            <v>329</v>
          </cell>
          <cell r="E165" t="str">
            <v>10/11/2022</v>
          </cell>
          <cell r="F165">
            <v>6278</v>
          </cell>
          <cell r="G165" t="str">
            <v>Inputs</v>
          </cell>
          <cell r="H165">
            <v>4016</v>
          </cell>
        </row>
        <row r="166">
          <cell r="B166" t="str">
            <v>07ARIPJ7653D1ZQ</v>
          </cell>
          <cell r="C166" t="str">
            <v>Vishal Auto Enterprise</v>
          </cell>
          <cell r="D166" t="str">
            <v>001/2022-2023</v>
          </cell>
          <cell r="E166" t="str">
            <v>12/11/2022</v>
          </cell>
          <cell r="F166">
            <v>-1232</v>
          </cell>
          <cell r="G166" t="str">
            <v>Inputs</v>
          </cell>
          <cell r="H166">
            <v>87089900</v>
          </cell>
        </row>
        <row r="167">
          <cell r="B167" t="str">
            <v>07AAMPK0071F1ZY</v>
          </cell>
          <cell r="C167" t="str">
            <v>SMART MANUFACTURING CO.</v>
          </cell>
          <cell r="D167" t="str">
            <v>1502</v>
          </cell>
          <cell r="E167" t="str">
            <v>14/12/2022</v>
          </cell>
          <cell r="F167">
            <v>47683</v>
          </cell>
          <cell r="G167" t="str">
            <v>Inputs</v>
          </cell>
          <cell r="H167">
            <v>8708</v>
          </cell>
        </row>
        <row r="168">
          <cell r="B168" t="str">
            <v>07AAGPK5605B1Z6</v>
          </cell>
          <cell r="C168" t="str">
            <v>KHERA AUTO AGENCY</v>
          </cell>
          <cell r="D168" t="str">
            <v>1894</v>
          </cell>
          <cell r="E168" t="str">
            <v>06/12/2022</v>
          </cell>
          <cell r="F168">
            <v>2396</v>
          </cell>
          <cell r="G168" t="str">
            <v>Inputs</v>
          </cell>
          <cell r="H168">
            <v>7318</v>
          </cell>
        </row>
        <row r="169">
          <cell r="B169" t="str">
            <v>08AAFCB8535K1ZB</v>
          </cell>
          <cell r="C169" t="str">
            <v>BLD INDUSTRIES PRIVATE LIMITED</v>
          </cell>
          <cell r="D169" t="str">
            <v>168</v>
          </cell>
          <cell r="E169" t="str">
            <v>15/12/2022</v>
          </cell>
          <cell r="F169">
            <v>14592</v>
          </cell>
          <cell r="G169" t="str">
            <v>Inputs</v>
          </cell>
          <cell r="H169">
            <v>87089900</v>
          </cell>
        </row>
        <row r="170">
          <cell r="B170" t="str">
            <v>08AAFCB8535K1ZB</v>
          </cell>
          <cell r="C170" t="str">
            <v>BLD INDUSTRIES PRIVATE LIMITED</v>
          </cell>
          <cell r="D170" t="str">
            <v>178</v>
          </cell>
          <cell r="E170" t="str">
            <v>30/12/2022</v>
          </cell>
          <cell r="F170">
            <v>10675</v>
          </cell>
          <cell r="G170" t="str">
            <v>Inputs</v>
          </cell>
          <cell r="H170">
            <v>87089900</v>
          </cell>
        </row>
        <row r="171">
          <cell r="B171" t="str">
            <v>07AAOFC5544K1Z2</v>
          </cell>
          <cell r="C171" t="str">
            <v>CG &amp; COMPANY</v>
          </cell>
          <cell r="D171" t="str">
            <v>88</v>
          </cell>
          <cell r="E171" t="str">
            <v>24/11/2022</v>
          </cell>
          <cell r="F171">
            <v>7080</v>
          </cell>
          <cell r="G171" t="str">
            <v>Input Services</v>
          </cell>
          <cell r="H171">
            <v>9982</v>
          </cell>
        </row>
        <row r="172">
          <cell r="B172" t="str">
            <v>07AAACC6106G4Z0</v>
          </cell>
          <cell r="C172" t="str">
            <v>CANARA BANK</v>
          </cell>
          <cell r="D172" t="str">
            <v>0701122220140285</v>
          </cell>
          <cell r="E172" t="str">
            <v>31/12/2022</v>
          </cell>
          <cell r="F172">
            <v>26</v>
          </cell>
          <cell r="G172" t="str">
            <v>Input Services</v>
          </cell>
          <cell r="H172">
            <v>9971</v>
          </cell>
        </row>
        <row r="173">
          <cell r="B173" t="str">
            <v>07ALPPG8604E1Z3</v>
          </cell>
          <cell r="C173" t="str">
            <v>GUPTA AUTO INDUSTRIES</v>
          </cell>
          <cell r="D173" t="str">
            <v>310</v>
          </cell>
          <cell r="E173" t="str">
            <v>10/12/2022</v>
          </cell>
          <cell r="F173">
            <v>11295</v>
          </cell>
          <cell r="G173" t="str">
            <v>Inputs</v>
          </cell>
          <cell r="H173">
            <v>8708</v>
          </cell>
        </row>
        <row r="174">
          <cell r="B174" t="str">
            <v>06AEPFS6427N1Z9</v>
          </cell>
          <cell r="C174" t="str">
            <v>SAFE RIDE INNOVATION</v>
          </cell>
          <cell r="D174" t="str">
            <v>SRI/INV/0016</v>
          </cell>
          <cell r="E174" t="str">
            <v>02/12/2022</v>
          </cell>
          <cell r="F174">
            <v>10040.200000000001</v>
          </cell>
          <cell r="G174" t="str">
            <v>Inputs</v>
          </cell>
          <cell r="H174">
            <v>87089900</v>
          </cell>
        </row>
        <row r="175">
          <cell r="B175" t="str">
            <v>06AEPFS6427N1Z9</v>
          </cell>
          <cell r="C175" t="str">
            <v>SAFE RIDE INNOVATION</v>
          </cell>
          <cell r="D175" t="str">
            <v>SRI/INV/0017</v>
          </cell>
          <cell r="E175" t="str">
            <v>07/12/2022</v>
          </cell>
          <cell r="F175">
            <v>11264</v>
          </cell>
          <cell r="G175" t="str">
            <v>Inputs</v>
          </cell>
          <cell r="H175">
            <v>87089900</v>
          </cell>
        </row>
        <row r="176">
          <cell r="B176" t="str">
            <v>06AEPFS6427N1Z9</v>
          </cell>
          <cell r="C176" t="str">
            <v>SAFE RIDE INNOVATION</v>
          </cell>
          <cell r="D176" t="str">
            <v>SRI/INV/0018</v>
          </cell>
          <cell r="E176" t="str">
            <v>27/12/2022</v>
          </cell>
          <cell r="F176">
            <v>21408</v>
          </cell>
          <cell r="G176" t="str">
            <v>Inputs</v>
          </cell>
          <cell r="H176">
            <v>87089900</v>
          </cell>
        </row>
        <row r="177">
          <cell r="B177" t="str">
            <v>07BMIPK6806R1ZC</v>
          </cell>
          <cell r="C177" t="str">
            <v>NISHTHA SOFTWARES</v>
          </cell>
          <cell r="D177" t="str">
            <v>NS/2022-23/094</v>
          </cell>
          <cell r="E177" t="str">
            <v>02/11/2022</v>
          </cell>
          <cell r="F177">
            <v>6122</v>
          </cell>
          <cell r="G177" t="str">
            <v>Input Services</v>
          </cell>
          <cell r="H177">
            <v>9983</v>
          </cell>
        </row>
        <row r="178">
          <cell r="B178" t="str">
            <v>07AAKPB9673N1Z2</v>
          </cell>
          <cell r="C178" t="str">
            <v>BAJAJ AUTO SALES</v>
          </cell>
          <cell r="D178" t="str">
            <v>928</v>
          </cell>
          <cell r="E178" t="str">
            <v>10/11/2022</v>
          </cell>
          <cell r="F178">
            <v>425</v>
          </cell>
          <cell r="G178" t="str">
            <v>Inputs</v>
          </cell>
          <cell r="H178">
            <v>39269099</v>
          </cell>
        </row>
        <row r="179">
          <cell r="B179" t="str">
            <v>07AEMPJ8626F1ZA</v>
          </cell>
          <cell r="C179" t="str">
            <v>ARHAM AUTO</v>
          </cell>
          <cell r="D179" t="str">
            <v>2076</v>
          </cell>
          <cell r="E179" t="str">
            <v>05/12/2022</v>
          </cell>
          <cell r="F179">
            <v>6144</v>
          </cell>
          <cell r="G179" t="str">
            <v>Inputs</v>
          </cell>
          <cell r="H179">
            <v>87089900</v>
          </cell>
        </row>
        <row r="180">
          <cell r="B180" t="str">
            <v>07AEBFS2307D1ZJ</v>
          </cell>
          <cell r="C180" t="str">
            <v>S.K.AUTOMOTIVE INDUSTRIES</v>
          </cell>
          <cell r="D180" t="str">
            <v>GST-1680</v>
          </cell>
          <cell r="E180" t="str">
            <v>23/12/2022</v>
          </cell>
          <cell r="F180">
            <v>8717</v>
          </cell>
          <cell r="G180" t="str">
            <v>Inputs</v>
          </cell>
          <cell r="H180">
            <v>8708</v>
          </cell>
        </row>
        <row r="181">
          <cell r="B181" t="str">
            <v>07AHFPK5315G1ZK</v>
          </cell>
          <cell r="C181" t="str">
            <v>VINOD AUTOMOBILES</v>
          </cell>
          <cell r="D181" t="str">
            <v>945</v>
          </cell>
          <cell r="E181" t="str">
            <v>08/12/2022</v>
          </cell>
          <cell r="F181">
            <v>40757</v>
          </cell>
          <cell r="G181" t="str">
            <v>Inputs</v>
          </cell>
          <cell r="H181">
            <v>4016</v>
          </cell>
        </row>
        <row r="182">
          <cell r="B182" t="str">
            <v>07AMQPG0751J1ZX</v>
          </cell>
          <cell r="C182" t="str">
            <v>PARVATI PLASTIC</v>
          </cell>
          <cell r="D182" t="str">
            <v>882/2022-23</v>
          </cell>
          <cell r="E182" t="str">
            <v>07/12/2022</v>
          </cell>
          <cell r="F182">
            <v>58880</v>
          </cell>
          <cell r="G182" t="str">
            <v>Inputs</v>
          </cell>
          <cell r="H182">
            <v>87089900</v>
          </cell>
        </row>
        <row r="183">
          <cell r="B183" t="str">
            <v>07AMQPG0751J1ZX</v>
          </cell>
          <cell r="C183" t="str">
            <v>PARVATI PLASTIC</v>
          </cell>
          <cell r="D183" t="str">
            <v>883/2022-23</v>
          </cell>
          <cell r="E183" t="str">
            <v>09/12/2022</v>
          </cell>
          <cell r="F183">
            <v>79142</v>
          </cell>
          <cell r="G183" t="str">
            <v>Inputs</v>
          </cell>
          <cell r="H183">
            <v>87089900</v>
          </cell>
        </row>
        <row r="184">
          <cell r="B184" t="str">
            <v>07ADDPA2555J1ZT</v>
          </cell>
          <cell r="C184" t="str">
            <v>JAGDAMBA AUTOMOBILES</v>
          </cell>
          <cell r="D184" t="str">
            <v>828</v>
          </cell>
          <cell r="E184" t="str">
            <v>06/12/2022</v>
          </cell>
          <cell r="F184">
            <v>21744</v>
          </cell>
          <cell r="G184" t="str">
            <v>Inputs</v>
          </cell>
          <cell r="H184">
            <v>83021010</v>
          </cell>
        </row>
        <row r="185">
          <cell r="B185" t="str">
            <v>07ADDPA2555J1ZT</v>
          </cell>
          <cell r="C185" t="str">
            <v>JAGDAMBA AUTOMOBILES</v>
          </cell>
          <cell r="D185" t="str">
            <v>828</v>
          </cell>
          <cell r="E185" t="str">
            <v>06/12/2022</v>
          </cell>
          <cell r="F185">
            <v>21744</v>
          </cell>
          <cell r="G185" t="str">
            <v>Inputs</v>
          </cell>
          <cell r="H185">
            <v>83021010</v>
          </cell>
        </row>
        <row r="186">
          <cell r="B186" t="str">
            <v>07GEQPP7191B1Z0</v>
          </cell>
          <cell r="C186" t="str">
            <v>SARASWATI AUTO PARTS</v>
          </cell>
          <cell r="D186" t="str">
            <v>GST-10</v>
          </cell>
          <cell r="E186" t="str">
            <v>11/11/2022</v>
          </cell>
          <cell r="F186">
            <v>8064</v>
          </cell>
          <cell r="G186" t="str">
            <v>Inputs</v>
          </cell>
          <cell r="H186">
            <v>87089900</v>
          </cell>
        </row>
        <row r="187">
          <cell r="B187" t="str">
            <v>07GEQPP7191B1Z0</v>
          </cell>
          <cell r="C187" t="str">
            <v>SARASWATI AUTO PARTS</v>
          </cell>
          <cell r="D187" t="str">
            <v>GST-11</v>
          </cell>
          <cell r="E187" t="str">
            <v>17/11/2022</v>
          </cell>
          <cell r="F187">
            <v>125504</v>
          </cell>
          <cell r="G187" t="str">
            <v>Inputs</v>
          </cell>
          <cell r="H187">
            <v>87089900</v>
          </cell>
        </row>
        <row r="188">
          <cell r="B188" t="str">
            <v>07AICPB6705F1ZR</v>
          </cell>
          <cell r="C188" t="str">
            <v>BHALLA AUTO TRDERS</v>
          </cell>
          <cell r="D188" t="str">
            <v>202</v>
          </cell>
          <cell r="E188" t="str">
            <v>06/12/2022</v>
          </cell>
          <cell r="F188">
            <v>4350</v>
          </cell>
          <cell r="G188" t="str">
            <v>Inputs</v>
          </cell>
          <cell r="H188">
            <v>87089900</v>
          </cell>
        </row>
        <row r="189">
          <cell r="B189" t="str">
            <v>07AIBPC9541R1ZU</v>
          </cell>
          <cell r="C189" t="str">
            <v>V.S.A. ENTERPRISES</v>
          </cell>
          <cell r="D189" t="str">
            <v>642</v>
          </cell>
          <cell r="E189" t="str">
            <v>06/01/2023</v>
          </cell>
          <cell r="F189">
            <v>25488</v>
          </cell>
          <cell r="G189" t="str">
            <v>Inputs</v>
          </cell>
          <cell r="H189">
            <v>8512</v>
          </cell>
        </row>
        <row r="190">
          <cell r="B190" t="str">
            <v>07AAOFC5544K1Z2</v>
          </cell>
          <cell r="C190" t="str">
            <v>CG &amp; COMPANY</v>
          </cell>
          <cell r="D190" t="str">
            <v>116</v>
          </cell>
          <cell r="E190" t="str">
            <v>31/01/2023</v>
          </cell>
          <cell r="F190">
            <v>1770</v>
          </cell>
          <cell r="G190" t="str">
            <v>Input Services</v>
          </cell>
          <cell r="H190">
            <v>9982</v>
          </cell>
        </row>
        <row r="191">
          <cell r="B191" t="str">
            <v>06AEPFS6427N1Z9</v>
          </cell>
          <cell r="C191" t="str">
            <v>SAFE RIDE INNOVATION</v>
          </cell>
          <cell r="D191" t="str">
            <v>SRI/INV/0021</v>
          </cell>
          <cell r="E191" t="str">
            <v>20/01/2023</v>
          </cell>
          <cell r="F191">
            <v>20160</v>
          </cell>
          <cell r="G191" t="str">
            <v>Inputs</v>
          </cell>
          <cell r="H191">
            <v>87089900</v>
          </cell>
        </row>
        <row r="192">
          <cell r="B192" t="str">
            <v>07AAACC6106G4Z0</v>
          </cell>
          <cell r="C192" t="str">
            <v>CANARA BANK</v>
          </cell>
          <cell r="D192" t="str">
            <v>0701012300043203</v>
          </cell>
          <cell r="E192" t="str">
            <v>31/01/2023</v>
          </cell>
          <cell r="F192">
            <v>22190</v>
          </cell>
          <cell r="G192" t="str">
            <v>Input Services</v>
          </cell>
          <cell r="H192">
            <v>9971</v>
          </cell>
        </row>
        <row r="193">
          <cell r="B193" t="str">
            <v>07AAJPK5229N1ZA</v>
          </cell>
          <cell r="C193" t="str">
            <v>GYAN SALES CORPORATIO</v>
          </cell>
          <cell r="D193" t="str">
            <v>550</v>
          </cell>
          <cell r="E193" t="str">
            <v>23/01/2023</v>
          </cell>
          <cell r="F193">
            <v>57631</v>
          </cell>
          <cell r="G193" t="str">
            <v>Inputs</v>
          </cell>
          <cell r="H193">
            <v>7009</v>
          </cell>
        </row>
        <row r="194">
          <cell r="B194" t="str">
            <v>07ARIPJ7653D1ZQ</v>
          </cell>
          <cell r="C194" t="str">
            <v>Vishal Auto Enterprise</v>
          </cell>
          <cell r="D194" t="str">
            <v>244/2022-2023</v>
          </cell>
          <cell r="E194" t="str">
            <v>30/01/2023</v>
          </cell>
          <cell r="F194">
            <v>9598</v>
          </cell>
          <cell r="G194" t="str">
            <v>Inputs</v>
          </cell>
          <cell r="H194">
            <v>87089900</v>
          </cell>
        </row>
        <row r="195">
          <cell r="B195" t="str">
            <v>07GEQPP7191B1Z0</v>
          </cell>
          <cell r="C195" t="str">
            <v>SARASWATI AUTO PARTS</v>
          </cell>
          <cell r="D195" t="str">
            <v>GST-12</v>
          </cell>
          <cell r="E195" t="str">
            <v>17/12/2022</v>
          </cell>
          <cell r="F195">
            <v>8512</v>
          </cell>
          <cell r="G195" t="str">
            <v>Inputs</v>
          </cell>
          <cell r="H195">
            <v>87089900</v>
          </cell>
        </row>
        <row r="196">
          <cell r="B196" t="str">
            <v>07AAACC6106G4Z0</v>
          </cell>
          <cell r="C196" t="str">
            <v>CANARA BANK</v>
          </cell>
          <cell r="D196" t="str">
            <v>0701022330043156</v>
          </cell>
          <cell r="E196" t="str">
            <v>28/02/2023</v>
          </cell>
          <cell r="F196">
            <v>10413.5</v>
          </cell>
          <cell r="G196" t="str">
            <v>Input Services</v>
          </cell>
          <cell r="H196">
            <v>9971</v>
          </cell>
        </row>
        <row r="197">
          <cell r="B197" t="str">
            <v>07AHFPK5315G1ZK</v>
          </cell>
          <cell r="C197" t="str">
            <v>VINOD AUTOMOBILES</v>
          </cell>
          <cell r="D197" t="str">
            <v>018</v>
          </cell>
          <cell r="E197" t="str">
            <v>17/02/2023</v>
          </cell>
          <cell r="F197">
            <v>25240</v>
          </cell>
          <cell r="G197" t="str">
            <v>Inputs</v>
          </cell>
          <cell r="H197">
            <v>4016</v>
          </cell>
        </row>
        <row r="198">
          <cell r="B198" t="str">
            <v>07AQDPS3902J1ZR</v>
          </cell>
          <cell r="C198" t="str">
            <v>SHRI VINAYAK RUBBER INDUSTRIES</v>
          </cell>
          <cell r="D198" t="str">
            <v>450/2022-23</v>
          </cell>
          <cell r="E198" t="str">
            <v>25/02/2023</v>
          </cell>
          <cell r="F198">
            <v>7552</v>
          </cell>
          <cell r="G198" t="str">
            <v>Inputs</v>
          </cell>
          <cell r="H198">
            <v>40094200</v>
          </cell>
        </row>
        <row r="199">
          <cell r="B199" t="str">
            <v>07AITPR2064G1ZW</v>
          </cell>
          <cell r="C199" t="str">
            <v>VENUS AUTO MOBILE</v>
          </cell>
          <cell r="D199" t="str">
            <v>378</v>
          </cell>
          <cell r="E199" t="str">
            <v>01/02/2023</v>
          </cell>
          <cell r="F199">
            <v>37888</v>
          </cell>
          <cell r="G199" t="str">
            <v>Inputs</v>
          </cell>
          <cell r="H199">
            <v>8708</v>
          </cell>
        </row>
        <row r="200">
          <cell r="B200" t="str">
            <v>07AEBFS2307D1ZJ</v>
          </cell>
          <cell r="C200" t="str">
            <v>S.K.AUTOMOTIVE INDUSTRIES</v>
          </cell>
          <cell r="D200" t="str">
            <v>GST-2103-2022-23</v>
          </cell>
          <cell r="E200" t="str">
            <v>21/02/2023</v>
          </cell>
          <cell r="F200">
            <v>8757</v>
          </cell>
          <cell r="G200" t="str">
            <v>Inputs</v>
          </cell>
          <cell r="H200">
            <v>8708</v>
          </cell>
        </row>
        <row r="201">
          <cell r="B201" t="str">
            <v>07AEBFS2307D1ZJ</v>
          </cell>
          <cell r="C201" t="str">
            <v>S.K.AUTOMOTIVE INDUSTRIES</v>
          </cell>
          <cell r="D201" t="str">
            <v>GST-2133-2022-23</v>
          </cell>
          <cell r="E201" t="str">
            <v>24/02/2023</v>
          </cell>
          <cell r="F201">
            <v>67726</v>
          </cell>
          <cell r="G201" t="str">
            <v>Inputs</v>
          </cell>
          <cell r="H201">
            <v>8708</v>
          </cell>
        </row>
        <row r="202">
          <cell r="B202" t="str">
            <v>07ACFPG6068H1ZK</v>
          </cell>
          <cell r="C202" t="str">
            <v>SANGAT MOTORS (REGD)</v>
          </cell>
          <cell r="D202" t="str">
            <v>800</v>
          </cell>
          <cell r="E202" t="str">
            <v>01/02/2023</v>
          </cell>
          <cell r="F202">
            <v>8968</v>
          </cell>
          <cell r="G202" t="str">
            <v>Inputs</v>
          </cell>
          <cell r="H202">
            <v>40169990</v>
          </cell>
        </row>
        <row r="203">
          <cell r="B203" t="str">
            <v>07AFZPM1026Q1ZP</v>
          </cell>
          <cell r="C203" t="str">
            <v>SAGAR AUTO PARTS</v>
          </cell>
          <cell r="D203" t="str">
            <v>184</v>
          </cell>
          <cell r="E203" t="str">
            <v>25/02/2023</v>
          </cell>
          <cell r="F203">
            <v>2648</v>
          </cell>
          <cell r="G203" t="str">
            <v>Inputs</v>
          </cell>
          <cell r="H203">
            <v>4016</v>
          </cell>
        </row>
        <row r="204">
          <cell r="B204" t="str">
            <v>07AKKPJ8264F1ZX</v>
          </cell>
          <cell r="C204" t="str">
            <v>Nishant plastic industries</v>
          </cell>
          <cell r="D204" t="str">
            <v>DD-TI-100</v>
          </cell>
          <cell r="E204" t="str">
            <v>03/02/2023</v>
          </cell>
          <cell r="F204">
            <v>14160</v>
          </cell>
          <cell r="G204" t="str">
            <v>Inputs</v>
          </cell>
          <cell r="H204">
            <v>7009</v>
          </cell>
        </row>
        <row r="205">
          <cell r="B205" t="str">
            <v>08AAFCB8535K1ZB</v>
          </cell>
          <cell r="C205" t="str">
            <v>BLD INDUSTRIES PRIVATE LIMITED</v>
          </cell>
          <cell r="D205" t="str">
            <v>209</v>
          </cell>
          <cell r="E205" t="str">
            <v>04/02/2023</v>
          </cell>
          <cell r="F205">
            <v>13210</v>
          </cell>
          <cell r="G205" t="str">
            <v>Inputs</v>
          </cell>
          <cell r="H205">
            <v>87089900</v>
          </cell>
        </row>
        <row r="206">
          <cell r="B206" t="str">
            <v>09ARZPK3969N1ZG</v>
          </cell>
          <cell r="C206" t="str">
            <v>FIBER GLASS INDUSTRIES</v>
          </cell>
          <cell r="D206" t="str">
            <v>364</v>
          </cell>
          <cell r="E206" t="str">
            <v>24/02/2023</v>
          </cell>
          <cell r="F206">
            <v>49920</v>
          </cell>
          <cell r="G206" t="str">
            <v>Inputs</v>
          </cell>
          <cell r="H206">
            <v>8708</v>
          </cell>
        </row>
        <row r="207">
          <cell r="B207" t="str">
            <v>09ARZPK3969N1ZG</v>
          </cell>
          <cell r="C207" t="str">
            <v>FIBER GLASS INDUSTRIES</v>
          </cell>
          <cell r="D207" t="str">
            <v>365</v>
          </cell>
          <cell r="E207" t="str">
            <v>27/02/2023</v>
          </cell>
          <cell r="F207">
            <v>49920</v>
          </cell>
          <cell r="G207" t="str">
            <v>Inputs</v>
          </cell>
          <cell r="H207">
            <v>8708</v>
          </cell>
        </row>
        <row r="208">
          <cell r="B208" t="str">
            <v>07AAACA1543R1ZJ</v>
          </cell>
          <cell r="C208" t="str">
            <v>CI CAR INTERNATIONAL PVT LTD</v>
          </cell>
          <cell r="D208" t="str">
            <v>AAM/22-23/54405</v>
          </cell>
          <cell r="E208" t="str">
            <v>21/02/2023</v>
          </cell>
          <cell r="F208">
            <v>1937</v>
          </cell>
          <cell r="G208" t="str">
            <v>Inputs</v>
          </cell>
          <cell r="H208">
            <v>8301</v>
          </cell>
        </row>
        <row r="209">
          <cell r="B209" t="str">
            <v>09EIYPK3328D1ZV</v>
          </cell>
          <cell r="C209" t="str">
            <v>M/S  S G ENTERPRISES</v>
          </cell>
          <cell r="D209" t="str">
            <v>202</v>
          </cell>
          <cell r="E209" t="str">
            <v>24/02/2023</v>
          </cell>
          <cell r="F209">
            <v>110507</v>
          </cell>
          <cell r="G209" t="str">
            <v>Inputs</v>
          </cell>
          <cell r="H209">
            <v>8708</v>
          </cell>
        </row>
        <row r="210">
          <cell r="B210" t="str">
            <v>07ACJPC5805G1ZV</v>
          </cell>
          <cell r="C210" t="str">
            <v>AZAD AUTO INDUSTRIES</v>
          </cell>
          <cell r="D210" t="str">
            <v>32</v>
          </cell>
          <cell r="E210" t="str">
            <v>12/01/2023</v>
          </cell>
          <cell r="F210">
            <v>10560</v>
          </cell>
          <cell r="G210" t="str">
            <v>Inputs</v>
          </cell>
          <cell r="H210">
            <v>8708</v>
          </cell>
        </row>
        <row r="211">
          <cell r="B211" t="str">
            <v>07ACJPC5805G1ZV</v>
          </cell>
          <cell r="C211" t="str">
            <v>AZAD AUTO INDUSTRIES</v>
          </cell>
          <cell r="D211" t="str">
            <v>33</v>
          </cell>
          <cell r="E211" t="str">
            <v>03/02/2023</v>
          </cell>
          <cell r="F211">
            <v>11264</v>
          </cell>
          <cell r="G211" t="str">
            <v>Inputs</v>
          </cell>
          <cell r="H211">
            <v>8708</v>
          </cell>
        </row>
        <row r="212">
          <cell r="B212" t="str">
            <v>09ARZPK3969N1ZG</v>
          </cell>
          <cell r="C212" t="str">
            <v>FIBER GLASS INDUSTRIES</v>
          </cell>
          <cell r="D212" t="str">
            <v>366</v>
          </cell>
          <cell r="E212" t="str">
            <v>01/03/2023</v>
          </cell>
          <cell r="F212">
            <v>49920</v>
          </cell>
          <cell r="G212" t="str">
            <v>Inputs</v>
          </cell>
          <cell r="H212">
            <v>8708</v>
          </cell>
        </row>
        <row r="213">
          <cell r="B213" t="str">
            <v>09ARZPK3969N1ZG</v>
          </cell>
          <cell r="C213" t="str">
            <v>FIBER GLASS INDUSTRIES</v>
          </cell>
          <cell r="D213" t="str">
            <v>367</v>
          </cell>
          <cell r="E213" t="str">
            <v>02/03/2023</v>
          </cell>
          <cell r="F213">
            <v>49920</v>
          </cell>
          <cell r="G213" t="str">
            <v>Inputs</v>
          </cell>
          <cell r="H213">
            <v>8708</v>
          </cell>
        </row>
        <row r="214">
          <cell r="B214" t="str">
            <v>26AAACG5710A1ZB</v>
          </cell>
          <cell r="C214" t="str">
            <v>GOLDSEAL - SAARGUMMI INDIA PVT LTD</v>
          </cell>
          <cell r="D214" t="str">
            <v>22319026</v>
          </cell>
          <cell r="E214" t="str">
            <v>14/03/2023</v>
          </cell>
          <cell r="F214">
            <v>121450</v>
          </cell>
          <cell r="G214" t="str">
            <v>Inputs</v>
          </cell>
          <cell r="H214">
            <v>4016</v>
          </cell>
        </row>
        <row r="215">
          <cell r="B215" t="str">
            <v>26AAACG5710A1ZB</v>
          </cell>
          <cell r="C215" t="str">
            <v>GOLDSEAL - SAARGUMMI INDIA PVT LTD</v>
          </cell>
          <cell r="D215" t="str">
            <v>22319667</v>
          </cell>
          <cell r="E215" t="str">
            <v>20/03/2023</v>
          </cell>
          <cell r="F215">
            <v>35060</v>
          </cell>
          <cell r="G215" t="str">
            <v>Inputs</v>
          </cell>
          <cell r="H215">
            <v>4016</v>
          </cell>
        </row>
        <row r="216">
          <cell r="B216" t="str">
            <v>08AAFCB8535K1ZB</v>
          </cell>
          <cell r="C216" t="str">
            <v>BLD INDUSTRIES PRIVATE LIMITED</v>
          </cell>
          <cell r="D216" t="str">
            <v>231</v>
          </cell>
          <cell r="E216" t="str">
            <v>04/03/2023</v>
          </cell>
          <cell r="F216">
            <v>17971</v>
          </cell>
          <cell r="G216" t="str">
            <v>Inputs</v>
          </cell>
          <cell r="H216">
            <v>87089900</v>
          </cell>
        </row>
        <row r="217">
          <cell r="B217" t="str">
            <v>07AAEPK8607R1Z3</v>
          </cell>
          <cell r="C217" t="str">
            <v>LOVELY AUTO PARTS</v>
          </cell>
          <cell r="D217" t="str">
            <v>1469</v>
          </cell>
          <cell r="E217" t="str">
            <v>15/03/2023</v>
          </cell>
          <cell r="F217">
            <v>22892</v>
          </cell>
          <cell r="G217" t="str">
            <v>Inputs</v>
          </cell>
          <cell r="H217">
            <v>3917</v>
          </cell>
        </row>
        <row r="218">
          <cell r="B218" t="str">
            <v>07AAACJ4124B2Z7</v>
          </cell>
          <cell r="C218" t="str">
            <v>JAIPUR GOLDEN TRANSPORT CO PVT LTD</v>
          </cell>
          <cell r="D218" t="str">
            <v>GDDKNG140216</v>
          </cell>
          <cell r="E218" t="str">
            <v>27/03/2023</v>
          </cell>
          <cell r="F218">
            <v>638.38</v>
          </cell>
          <cell r="G218" t="str">
            <v>Input Services</v>
          </cell>
          <cell r="H218">
            <v>9967</v>
          </cell>
        </row>
        <row r="219">
          <cell r="B219" t="str">
            <v>07AAACJ4124B2Z7</v>
          </cell>
          <cell r="C219" t="str">
            <v>JAIPUR GOLDEN TRANSPORT CO PVT LTD</v>
          </cell>
          <cell r="D219" t="str">
            <v>GDDKNG140217</v>
          </cell>
          <cell r="E219" t="str">
            <v>27/03/2023</v>
          </cell>
          <cell r="F219">
            <v>302.08</v>
          </cell>
          <cell r="G219" t="str">
            <v>Input Services</v>
          </cell>
          <cell r="H219">
            <v>9967</v>
          </cell>
        </row>
        <row r="220">
          <cell r="B220" t="str">
            <v>06AGZPH0286N1ZO</v>
          </cell>
          <cell r="C220" t="str">
            <v>RAHUL RUBBER FLOCKING WORKS</v>
          </cell>
          <cell r="D220" t="str">
            <v>266</v>
          </cell>
          <cell r="E220" t="str">
            <v>06/03/2023</v>
          </cell>
          <cell r="F220">
            <v>12980</v>
          </cell>
          <cell r="G220" t="str">
            <v>Inputs</v>
          </cell>
          <cell r="H220">
            <v>4016</v>
          </cell>
        </row>
        <row r="221">
          <cell r="B221" t="str">
            <v>07AAOFC5544K1Z2</v>
          </cell>
          <cell r="C221" t="str">
            <v>CG &amp; COMPANY</v>
          </cell>
          <cell r="D221" t="str">
            <v>136</v>
          </cell>
          <cell r="E221" t="str">
            <v>20/03/2023</v>
          </cell>
          <cell r="F221">
            <v>28320</v>
          </cell>
          <cell r="G221" t="str">
            <v>Input Services</v>
          </cell>
          <cell r="H221">
            <v>9982</v>
          </cell>
        </row>
        <row r="222">
          <cell r="B222" t="str">
            <v>07AAOFC5544K1Z2</v>
          </cell>
          <cell r="C222" t="str">
            <v>CG &amp; COMPANY</v>
          </cell>
          <cell r="D222" t="str">
            <v>137</v>
          </cell>
          <cell r="E222" t="str">
            <v>20/03/2023</v>
          </cell>
          <cell r="F222">
            <v>26550</v>
          </cell>
          <cell r="G222" t="str">
            <v>Input Services</v>
          </cell>
          <cell r="H222">
            <v>9982</v>
          </cell>
        </row>
        <row r="223">
          <cell r="B223" t="str">
            <v>07GEQPP7191B1Z0</v>
          </cell>
          <cell r="C223" t="str">
            <v>SARASWATI AUTO PARTS</v>
          </cell>
          <cell r="D223" t="str">
            <v>GST-16</v>
          </cell>
          <cell r="E223" t="str">
            <v>01/02/2023</v>
          </cell>
          <cell r="F223">
            <v>36721.199999999997</v>
          </cell>
          <cell r="G223" t="str">
            <v>Inputs</v>
          </cell>
          <cell r="H223">
            <v>87089900</v>
          </cell>
        </row>
        <row r="224">
          <cell r="B224" t="str">
            <v>07GEQPP7191B1Z0</v>
          </cell>
          <cell r="C224" t="str">
            <v>SARASWATI AUTO PARTS</v>
          </cell>
          <cell r="D224" t="str">
            <v>GST-16</v>
          </cell>
          <cell r="E224" t="str">
            <v>01/02/2023</v>
          </cell>
          <cell r="F224">
            <v>36721.199999999997</v>
          </cell>
          <cell r="G224" t="str">
            <v>Inputs</v>
          </cell>
          <cell r="H224">
            <v>87089900</v>
          </cell>
        </row>
        <row r="225">
          <cell r="B225" t="str">
            <v>07AHFPK5315G1ZK</v>
          </cell>
          <cell r="C225" t="str">
            <v>VINOD AUTOMOBILES</v>
          </cell>
          <cell r="D225" t="str">
            <v>035</v>
          </cell>
          <cell r="E225" t="str">
            <v>11/03/2023</v>
          </cell>
          <cell r="F225">
            <v>53100</v>
          </cell>
          <cell r="G225" t="str">
            <v>Inputs</v>
          </cell>
          <cell r="H225">
            <v>4016</v>
          </cell>
        </row>
        <row r="226">
          <cell r="B226" t="str">
            <v>07AHFPK5315G1ZK</v>
          </cell>
          <cell r="C226" t="str">
            <v>VINOD AUTOMOBILES</v>
          </cell>
          <cell r="D226" t="str">
            <v>044</v>
          </cell>
          <cell r="E226" t="str">
            <v>23/03/2023</v>
          </cell>
          <cell r="F226">
            <v>63307</v>
          </cell>
          <cell r="G226" t="str">
            <v>Inputs</v>
          </cell>
          <cell r="H226">
            <v>4016</v>
          </cell>
        </row>
        <row r="227">
          <cell r="B227" t="str">
            <v>07AHFPK5315G1ZK</v>
          </cell>
          <cell r="C227" t="str">
            <v>VINOD AUTOMOBILES</v>
          </cell>
          <cell r="D227" t="str">
            <v>045</v>
          </cell>
          <cell r="E227" t="str">
            <v>25/03/2023</v>
          </cell>
          <cell r="F227">
            <v>47766</v>
          </cell>
          <cell r="G227" t="str">
            <v>Inputs</v>
          </cell>
          <cell r="H227">
            <v>4016</v>
          </cell>
        </row>
        <row r="228">
          <cell r="B228" t="str">
            <v>07AGKPK3192K1Z1</v>
          </cell>
          <cell r="C228" t="str">
            <v>B P AUTO INDUSTRIES INDIA</v>
          </cell>
          <cell r="D228" t="str">
            <v>T-369</v>
          </cell>
          <cell r="E228" t="str">
            <v>13/03/2023</v>
          </cell>
          <cell r="F228">
            <v>5575.5</v>
          </cell>
          <cell r="G228" t="str">
            <v>Inputs</v>
          </cell>
          <cell r="H228">
            <v>8484</v>
          </cell>
        </row>
        <row r="229">
          <cell r="B229" t="str">
            <v>26AAACJ4124B3Z6</v>
          </cell>
          <cell r="C229" t="str">
            <v>JAIPUR GOLDEN TRANSPORT CO.(P) LTD.</v>
          </cell>
          <cell r="D229" t="str">
            <v>136298952</v>
          </cell>
          <cell r="E229" t="str">
            <v>15/03/2023</v>
          </cell>
          <cell r="F229">
            <v>3787.35</v>
          </cell>
          <cell r="G229" t="str">
            <v>Input Services</v>
          </cell>
          <cell r="H229">
            <v>9967</v>
          </cell>
        </row>
        <row r="230">
          <cell r="B230" t="str">
            <v>26AAACJ4124B3Z6</v>
          </cell>
          <cell r="C230" t="str">
            <v>JAIPUR GOLDEN TRANSPORT CO.(P) LTD.</v>
          </cell>
          <cell r="D230" t="str">
            <v>136299015</v>
          </cell>
          <cell r="E230" t="str">
            <v>20/03/2023</v>
          </cell>
          <cell r="F230">
            <v>1795.5</v>
          </cell>
          <cell r="G230" t="str">
            <v>Input Services</v>
          </cell>
          <cell r="H230">
            <v>9967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4289"/>
  <sheetViews>
    <sheetView tabSelected="1" workbookViewId="0">
      <selection activeCell="C11" sqref="C11"/>
    </sheetView>
  </sheetViews>
  <sheetFormatPr defaultRowHeight="14.4"/>
  <cols>
    <col min="1" max="1" width="5" style="12" bestFit="1" customWidth="1"/>
    <col min="2" max="2" width="19.33203125" style="12" bestFit="1" customWidth="1"/>
    <col min="3" max="3" width="66" style="47" bestFit="1" customWidth="1"/>
    <col min="4" max="4" width="16.44140625" style="47" bestFit="1" customWidth="1"/>
    <col min="5" max="5" width="10.77734375" style="47" bestFit="1" customWidth="1"/>
    <col min="6" max="6" width="11.21875" style="12" bestFit="1" customWidth="1"/>
    <col min="7" max="7" width="31.5546875" style="47" customWidth="1"/>
    <col min="8" max="8" width="9" style="12" bestFit="1" customWidth="1"/>
    <col min="9" max="9" width="11.6640625" style="12" bestFit="1" customWidth="1"/>
    <col min="10" max="10" width="10" style="12" bestFit="1" customWidth="1"/>
    <col min="11" max="11" width="14.5546875" style="12" bestFit="1" customWidth="1"/>
    <col min="12" max="12" width="6" style="12" bestFit="1" customWidth="1"/>
    <col min="13" max="13" width="7.5546875" style="12" bestFit="1" customWidth="1"/>
    <col min="14" max="14" width="19.77734375" style="12" bestFit="1" customWidth="1"/>
    <col min="15" max="16384" width="8.88671875" style="12"/>
  </cols>
  <sheetData>
    <row r="1" spans="1:14" s="11" customFormat="1" ht="78.75" customHeight="1">
      <c r="A1" s="9" t="s">
        <v>0</v>
      </c>
      <c r="B1" s="9" t="s">
        <v>1</v>
      </c>
      <c r="C1" s="41" t="s">
        <v>2</v>
      </c>
      <c r="D1" s="41" t="s">
        <v>3</v>
      </c>
      <c r="E1" s="41" t="s">
        <v>4</v>
      </c>
      <c r="F1" s="9" t="s">
        <v>5</v>
      </c>
      <c r="G1" s="41" t="s">
        <v>6</v>
      </c>
      <c r="H1" s="9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9" t="s">
        <v>13</v>
      </c>
    </row>
    <row r="2" spans="1:14">
      <c r="A2" s="12">
        <v>1</v>
      </c>
      <c r="B2" s="1" t="s">
        <v>14</v>
      </c>
      <c r="C2" s="42" t="s">
        <v>15</v>
      </c>
      <c r="D2" s="42" t="s">
        <v>16</v>
      </c>
      <c r="E2" s="42" t="s">
        <v>17</v>
      </c>
      <c r="F2" s="4">
        <v>589708</v>
      </c>
      <c r="G2" s="47" t="s">
        <v>18</v>
      </c>
      <c r="H2" s="12">
        <v>996713</v>
      </c>
      <c r="I2" s="4">
        <v>0</v>
      </c>
      <c r="J2" s="4">
        <v>0</v>
      </c>
      <c r="K2" s="4">
        <v>42808</v>
      </c>
      <c r="L2" s="4">
        <v>0</v>
      </c>
      <c r="M2" s="12" t="s">
        <v>19</v>
      </c>
      <c r="N2" s="13">
        <f>SUM(I2:L2)</f>
        <v>42808</v>
      </c>
    </row>
    <row r="3" spans="1:14">
      <c r="A3" s="12">
        <v>2</v>
      </c>
      <c r="B3" s="1" t="s">
        <v>20</v>
      </c>
      <c r="C3" s="42" t="s">
        <v>21</v>
      </c>
      <c r="D3" s="42" t="s">
        <v>22</v>
      </c>
      <c r="E3" s="42" t="s">
        <v>23</v>
      </c>
      <c r="F3" s="4">
        <v>36096</v>
      </c>
      <c r="G3" s="47" t="s">
        <v>24</v>
      </c>
      <c r="H3" s="12">
        <v>40114090</v>
      </c>
      <c r="I3" s="4">
        <v>0</v>
      </c>
      <c r="J3" s="4">
        <v>0</v>
      </c>
      <c r="K3" s="4">
        <v>7896</v>
      </c>
      <c r="L3" s="4">
        <v>0</v>
      </c>
      <c r="M3" s="12" t="s">
        <v>19</v>
      </c>
      <c r="N3" s="13">
        <f t="shared" ref="N3:N15" si="0">SUM(I3:L3)</f>
        <v>7896</v>
      </c>
    </row>
    <row r="4" spans="1:14">
      <c r="A4" s="12">
        <v>3</v>
      </c>
      <c r="B4" s="1" t="s">
        <v>25</v>
      </c>
      <c r="C4" s="42" t="s">
        <v>26</v>
      </c>
      <c r="D4" s="42" t="s">
        <v>27</v>
      </c>
      <c r="E4" s="42" t="s">
        <v>28</v>
      </c>
      <c r="F4" s="4">
        <v>42480</v>
      </c>
      <c r="G4" s="47" t="s">
        <v>24</v>
      </c>
      <c r="H4" s="12">
        <v>65061010</v>
      </c>
      <c r="I4" s="4">
        <v>0</v>
      </c>
      <c r="J4" s="4">
        <v>0</v>
      </c>
      <c r="K4" s="4">
        <v>6480</v>
      </c>
      <c r="L4" s="4">
        <v>0</v>
      </c>
      <c r="M4" s="12" t="s">
        <v>19</v>
      </c>
      <c r="N4" s="13">
        <f t="shared" si="0"/>
        <v>6480</v>
      </c>
    </row>
    <row r="5" spans="1:14">
      <c r="A5" s="12">
        <v>4</v>
      </c>
      <c r="B5" s="1" t="s">
        <v>25</v>
      </c>
      <c r="C5" s="42" t="s">
        <v>26</v>
      </c>
      <c r="D5" s="42" t="s">
        <v>29</v>
      </c>
      <c r="E5" s="42" t="s">
        <v>30</v>
      </c>
      <c r="F5" s="4">
        <v>42480</v>
      </c>
      <c r="G5" s="47" t="s">
        <v>24</v>
      </c>
      <c r="H5" s="12">
        <v>65061010</v>
      </c>
      <c r="I5" s="4">
        <v>0</v>
      </c>
      <c r="J5" s="4">
        <v>0</v>
      </c>
      <c r="K5" s="4">
        <v>6480</v>
      </c>
      <c r="L5" s="4">
        <v>0</v>
      </c>
      <c r="M5" s="12" t="s">
        <v>19</v>
      </c>
      <c r="N5" s="13">
        <f t="shared" si="0"/>
        <v>6480</v>
      </c>
    </row>
    <row r="6" spans="1:14" s="14" customFormat="1">
      <c r="A6" s="12">
        <v>5</v>
      </c>
      <c r="B6" s="3" t="s">
        <v>31</v>
      </c>
      <c r="C6" s="43" t="s">
        <v>32</v>
      </c>
      <c r="D6" s="43" t="s">
        <v>33</v>
      </c>
      <c r="E6" s="43" t="s">
        <v>34</v>
      </c>
      <c r="F6" s="6">
        <v>290675</v>
      </c>
      <c r="G6" s="47" t="s">
        <v>24</v>
      </c>
      <c r="H6" s="14">
        <v>401140</v>
      </c>
      <c r="I6" s="6">
        <v>31792.58</v>
      </c>
      <c r="J6" s="6">
        <v>31792.58</v>
      </c>
      <c r="K6" s="6">
        <v>0</v>
      </c>
      <c r="L6" s="4">
        <v>0</v>
      </c>
      <c r="M6" s="14" t="s">
        <v>19</v>
      </c>
      <c r="N6" s="15">
        <f t="shared" si="0"/>
        <v>63585.16</v>
      </c>
    </row>
    <row r="7" spans="1:14">
      <c r="A7" s="12">
        <v>6</v>
      </c>
      <c r="B7" s="1" t="s">
        <v>35</v>
      </c>
      <c r="C7" s="42" t="s">
        <v>36</v>
      </c>
      <c r="D7" s="42" t="s">
        <v>37</v>
      </c>
      <c r="E7" s="42" t="s">
        <v>38</v>
      </c>
      <c r="F7" s="4">
        <v>476534</v>
      </c>
      <c r="G7" s="47" t="s">
        <v>24</v>
      </c>
      <c r="H7" s="14">
        <v>87081090</v>
      </c>
      <c r="I7" s="4">
        <v>0</v>
      </c>
      <c r="J7" s="4">
        <v>0</v>
      </c>
      <c r="K7" s="4">
        <v>99334.09</v>
      </c>
      <c r="L7" s="4">
        <v>0</v>
      </c>
      <c r="M7" s="12" t="s">
        <v>19</v>
      </c>
      <c r="N7" s="13">
        <f t="shared" si="0"/>
        <v>99334.09</v>
      </c>
    </row>
    <row r="8" spans="1:14">
      <c r="A8" s="12">
        <v>7</v>
      </c>
      <c r="B8" s="1" t="s">
        <v>35</v>
      </c>
      <c r="C8" s="42" t="s">
        <v>36</v>
      </c>
      <c r="D8" s="42" t="s">
        <v>39</v>
      </c>
      <c r="E8" s="42" t="s">
        <v>40</v>
      </c>
      <c r="F8" s="4">
        <v>915716</v>
      </c>
      <c r="G8" s="47" t="s">
        <v>24</v>
      </c>
      <c r="H8" s="14">
        <v>87081090</v>
      </c>
      <c r="I8" s="4">
        <v>0</v>
      </c>
      <c r="J8" s="4">
        <v>0</v>
      </c>
      <c r="K8" s="4">
        <v>198925.63</v>
      </c>
      <c r="L8" s="4">
        <v>0</v>
      </c>
      <c r="M8" s="12" t="s">
        <v>19</v>
      </c>
      <c r="N8" s="13">
        <f t="shared" si="0"/>
        <v>198925.63</v>
      </c>
    </row>
    <row r="9" spans="1:14">
      <c r="A9" s="12">
        <v>8</v>
      </c>
      <c r="B9" s="1" t="s">
        <v>35</v>
      </c>
      <c r="C9" s="42" t="s">
        <v>36</v>
      </c>
      <c r="D9" s="42" t="s">
        <v>41</v>
      </c>
      <c r="E9" s="42" t="s">
        <v>42</v>
      </c>
      <c r="F9" s="4">
        <v>506207</v>
      </c>
      <c r="G9" s="47" t="s">
        <v>24</v>
      </c>
      <c r="H9" s="14">
        <v>87081090</v>
      </c>
      <c r="I9" s="4">
        <v>0</v>
      </c>
      <c r="J9" s="4">
        <v>0</v>
      </c>
      <c r="K9" s="4">
        <v>101540.22</v>
      </c>
      <c r="L9" s="4">
        <v>0</v>
      </c>
      <c r="M9" s="12" t="s">
        <v>19</v>
      </c>
      <c r="N9" s="13">
        <f t="shared" si="0"/>
        <v>101540.22</v>
      </c>
    </row>
    <row r="10" spans="1:14">
      <c r="A10" s="12">
        <v>9</v>
      </c>
      <c r="B10" s="1" t="s">
        <v>35</v>
      </c>
      <c r="C10" s="42" t="s">
        <v>36</v>
      </c>
      <c r="D10" s="42" t="s">
        <v>43</v>
      </c>
      <c r="E10" s="42" t="s">
        <v>44</v>
      </c>
      <c r="F10" s="4">
        <v>204731</v>
      </c>
      <c r="G10" s="47" t="s">
        <v>24</v>
      </c>
      <c r="H10" s="14">
        <v>87081090</v>
      </c>
      <c r="I10" s="4">
        <v>0</v>
      </c>
      <c r="J10" s="4">
        <v>0</v>
      </c>
      <c r="K10" s="4">
        <v>37743.97</v>
      </c>
      <c r="L10" s="4">
        <v>0</v>
      </c>
      <c r="M10" s="12" t="s">
        <v>19</v>
      </c>
      <c r="N10" s="13">
        <f t="shared" si="0"/>
        <v>37743.97</v>
      </c>
    </row>
    <row r="11" spans="1:14">
      <c r="A11" s="12">
        <v>10</v>
      </c>
      <c r="B11" s="1" t="s">
        <v>35</v>
      </c>
      <c r="C11" s="42" t="s">
        <v>36</v>
      </c>
      <c r="D11" s="42" t="s">
        <v>45</v>
      </c>
      <c r="E11" s="42" t="s">
        <v>46</v>
      </c>
      <c r="F11" s="4">
        <v>970258</v>
      </c>
      <c r="G11" s="47" t="s">
        <v>24</v>
      </c>
      <c r="H11" s="14">
        <v>87081090</v>
      </c>
      <c r="I11" s="4">
        <v>0</v>
      </c>
      <c r="J11" s="4">
        <v>0</v>
      </c>
      <c r="K11" s="4">
        <v>178589.03</v>
      </c>
      <c r="L11" s="4">
        <v>0</v>
      </c>
      <c r="M11" s="12" t="s">
        <v>19</v>
      </c>
      <c r="N11" s="13">
        <f t="shared" si="0"/>
        <v>178589.03</v>
      </c>
    </row>
    <row r="12" spans="1:14" s="14" customFormat="1">
      <c r="A12" s="12">
        <v>11</v>
      </c>
      <c r="B12" s="3" t="s">
        <v>47</v>
      </c>
      <c r="C12" s="43" t="s">
        <v>48</v>
      </c>
      <c r="D12" s="43" t="s">
        <v>49</v>
      </c>
      <c r="E12" s="43" t="s">
        <v>44</v>
      </c>
      <c r="F12" s="6">
        <v>259500</v>
      </c>
      <c r="G12" s="45" t="s">
        <v>24</v>
      </c>
      <c r="H12" s="14">
        <v>40114020</v>
      </c>
      <c r="I12" s="6">
        <v>28382.76</v>
      </c>
      <c r="J12" s="6">
        <v>28382.76</v>
      </c>
      <c r="K12" s="6">
        <v>0</v>
      </c>
      <c r="L12" s="4">
        <v>0</v>
      </c>
      <c r="M12" s="14" t="s">
        <v>19</v>
      </c>
      <c r="N12" s="15">
        <f t="shared" si="0"/>
        <v>56765.52</v>
      </c>
    </row>
    <row r="13" spans="1:14">
      <c r="A13" s="12">
        <v>12</v>
      </c>
      <c r="B13" s="1" t="s">
        <v>20</v>
      </c>
      <c r="C13" s="42" t="s">
        <v>21</v>
      </c>
      <c r="D13" s="42" t="s">
        <v>50</v>
      </c>
      <c r="E13" s="42" t="s">
        <v>51</v>
      </c>
      <c r="F13" s="4">
        <v>990304</v>
      </c>
      <c r="G13" s="47" t="s">
        <v>24</v>
      </c>
      <c r="H13" s="12">
        <v>40114090</v>
      </c>
      <c r="I13" s="4">
        <v>0</v>
      </c>
      <c r="J13" s="4">
        <v>0</v>
      </c>
      <c r="K13" s="4">
        <v>210504</v>
      </c>
      <c r="L13" s="4">
        <v>0</v>
      </c>
      <c r="M13" s="12" t="s">
        <v>19</v>
      </c>
      <c r="N13" s="13">
        <f t="shared" si="0"/>
        <v>210504</v>
      </c>
    </row>
    <row r="14" spans="1:14">
      <c r="A14" s="12">
        <v>13</v>
      </c>
      <c r="B14" s="1" t="s">
        <v>52</v>
      </c>
      <c r="C14" s="42" t="s">
        <v>53</v>
      </c>
      <c r="D14" s="42" t="s">
        <v>54</v>
      </c>
      <c r="E14" s="42" t="s">
        <v>51</v>
      </c>
      <c r="F14" s="4">
        <v>893328</v>
      </c>
      <c r="G14" s="47" t="s">
        <v>24</v>
      </c>
      <c r="H14" s="12">
        <v>87089900</v>
      </c>
      <c r="I14" s="4">
        <v>94051.5</v>
      </c>
      <c r="J14" s="4">
        <v>94051.5</v>
      </c>
      <c r="K14" s="4">
        <v>0</v>
      </c>
      <c r="L14" s="4">
        <v>0</v>
      </c>
      <c r="M14" s="12" t="s">
        <v>19</v>
      </c>
      <c r="N14" s="13">
        <f t="shared" si="0"/>
        <v>188103</v>
      </c>
    </row>
    <row r="15" spans="1:14">
      <c r="A15" s="12">
        <v>14</v>
      </c>
      <c r="B15" s="1" t="s">
        <v>55</v>
      </c>
      <c r="C15" s="42" t="s">
        <v>56</v>
      </c>
      <c r="D15" s="42" t="s">
        <v>57</v>
      </c>
      <c r="E15" s="42" t="s">
        <v>51</v>
      </c>
      <c r="F15" s="4">
        <v>948094</v>
      </c>
      <c r="G15" s="47" t="s">
        <v>24</v>
      </c>
      <c r="H15" s="14">
        <v>8708</v>
      </c>
      <c r="I15" s="4">
        <v>0</v>
      </c>
      <c r="J15" s="4">
        <v>0</v>
      </c>
      <c r="K15" s="4">
        <v>184973.6</v>
      </c>
      <c r="L15" s="4">
        <v>0</v>
      </c>
      <c r="M15" s="12" t="s">
        <v>19</v>
      </c>
      <c r="N15" s="13">
        <f t="shared" si="0"/>
        <v>184973.6</v>
      </c>
    </row>
    <row r="16" spans="1:14" s="14" customFormat="1">
      <c r="A16" s="12">
        <v>15</v>
      </c>
      <c r="B16" s="1" t="s">
        <v>35</v>
      </c>
      <c r="C16" s="42" t="s">
        <v>36</v>
      </c>
      <c r="D16" s="42" t="s">
        <v>58</v>
      </c>
      <c r="E16" s="42" t="s">
        <v>59</v>
      </c>
      <c r="F16" s="4">
        <v>448426</v>
      </c>
      <c r="G16" s="45" t="s">
        <v>60</v>
      </c>
      <c r="H16" s="14">
        <v>87081090</v>
      </c>
      <c r="I16" s="4">
        <v>0</v>
      </c>
      <c r="J16" s="4">
        <v>0</v>
      </c>
      <c r="K16" s="4">
        <v>91689.3</v>
      </c>
      <c r="L16" s="4">
        <v>0</v>
      </c>
      <c r="M16" s="14" t="s">
        <v>19</v>
      </c>
      <c r="N16" s="15">
        <f>SUM(I16:L16)</f>
        <v>91689.3</v>
      </c>
    </row>
    <row r="17" spans="1:14" s="14" customFormat="1">
      <c r="A17" s="12">
        <v>16</v>
      </c>
      <c r="B17" s="1" t="s">
        <v>35</v>
      </c>
      <c r="C17" s="42" t="s">
        <v>36</v>
      </c>
      <c r="D17" s="42" t="s">
        <v>61</v>
      </c>
      <c r="E17" s="42" t="s">
        <v>59</v>
      </c>
      <c r="F17" s="4">
        <v>6592444</v>
      </c>
      <c r="G17" s="45" t="s">
        <v>60</v>
      </c>
      <c r="H17" s="14">
        <v>87081090</v>
      </c>
      <c r="I17" s="4">
        <v>0</v>
      </c>
      <c r="J17" s="4">
        <v>0</v>
      </c>
      <c r="K17" s="4">
        <v>1283638.01</v>
      </c>
      <c r="L17" s="4">
        <v>0</v>
      </c>
      <c r="M17" s="14" t="s">
        <v>19</v>
      </c>
      <c r="N17" s="15">
        <f t="shared" ref="N17:N36" si="1">SUM(I17:L17)</f>
        <v>1283638.01</v>
      </c>
    </row>
    <row r="18" spans="1:14" s="14" customFormat="1">
      <c r="A18" s="12">
        <v>17</v>
      </c>
      <c r="B18" s="1" t="s">
        <v>14</v>
      </c>
      <c r="C18" s="42" t="s">
        <v>15</v>
      </c>
      <c r="D18" s="42" t="s">
        <v>62</v>
      </c>
      <c r="E18" s="42" t="s">
        <v>63</v>
      </c>
      <c r="F18" s="4">
        <v>555979.88</v>
      </c>
      <c r="G18" s="45" t="s">
        <v>64</v>
      </c>
      <c r="H18" s="14">
        <v>996713</v>
      </c>
      <c r="I18" s="4">
        <v>0</v>
      </c>
      <c r="J18" s="4">
        <v>0</v>
      </c>
      <c r="K18" s="4">
        <v>44613.88</v>
      </c>
      <c r="L18" s="4">
        <v>0</v>
      </c>
      <c r="M18" s="14" t="s">
        <v>19</v>
      </c>
      <c r="N18" s="15">
        <f t="shared" si="1"/>
        <v>44613.88</v>
      </c>
    </row>
    <row r="19" spans="1:14" s="14" customFormat="1">
      <c r="A19" s="12">
        <v>18</v>
      </c>
      <c r="B19" s="1" t="s">
        <v>35</v>
      </c>
      <c r="C19" s="42" t="s">
        <v>36</v>
      </c>
      <c r="D19" s="42" t="s">
        <v>65</v>
      </c>
      <c r="E19" s="42" t="s">
        <v>66</v>
      </c>
      <c r="F19" s="4">
        <v>-6592444</v>
      </c>
      <c r="G19" s="45" t="s">
        <v>60</v>
      </c>
      <c r="H19" s="14">
        <v>87081090</v>
      </c>
      <c r="I19" s="4">
        <v>0</v>
      </c>
      <c r="J19" s="4">
        <v>0</v>
      </c>
      <c r="K19" s="12">
        <v>-1283638</v>
      </c>
      <c r="L19" s="4">
        <v>0</v>
      </c>
      <c r="M19" s="14" t="s">
        <v>19</v>
      </c>
      <c r="N19" s="15">
        <f t="shared" si="1"/>
        <v>-1283638</v>
      </c>
    </row>
    <row r="20" spans="1:14" s="14" customFormat="1">
      <c r="A20" s="12">
        <v>19</v>
      </c>
      <c r="B20" s="1" t="s">
        <v>35</v>
      </c>
      <c r="C20" s="42" t="s">
        <v>36</v>
      </c>
      <c r="D20" s="42" t="s">
        <v>67</v>
      </c>
      <c r="E20" s="42" t="s">
        <v>66</v>
      </c>
      <c r="F20" s="4">
        <v>-448426</v>
      </c>
      <c r="G20" s="45" t="s">
        <v>60</v>
      </c>
      <c r="H20" s="14">
        <v>87081090</v>
      </c>
      <c r="I20" s="4">
        <v>0</v>
      </c>
      <c r="J20" s="4">
        <v>0</v>
      </c>
      <c r="K20" s="12">
        <v>-91689.3</v>
      </c>
      <c r="L20" s="4">
        <v>0</v>
      </c>
      <c r="M20" s="14" t="s">
        <v>19</v>
      </c>
      <c r="N20" s="15">
        <f t="shared" si="1"/>
        <v>-91689.3</v>
      </c>
    </row>
    <row r="21" spans="1:14" s="14" customFormat="1">
      <c r="A21" s="12">
        <v>20</v>
      </c>
      <c r="B21" s="1" t="s">
        <v>68</v>
      </c>
      <c r="C21" s="42" t="s">
        <v>69</v>
      </c>
      <c r="D21" s="42" t="s">
        <v>70</v>
      </c>
      <c r="E21" s="42" t="s">
        <v>71</v>
      </c>
      <c r="F21" s="4">
        <v>32000</v>
      </c>
      <c r="G21" s="45" t="s">
        <v>60</v>
      </c>
      <c r="H21" s="14">
        <v>87089900</v>
      </c>
      <c r="I21" s="4">
        <v>0</v>
      </c>
      <c r="J21" s="4">
        <v>0</v>
      </c>
      <c r="K21" s="4">
        <v>7000</v>
      </c>
      <c r="L21" s="4">
        <v>0</v>
      </c>
      <c r="M21" s="14" t="s">
        <v>19</v>
      </c>
      <c r="N21" s="15">
        <f t="shared" si="1"/>
        <v>7000</v>
      </c>
    </row>
    <row r="22" spans="1:14" s="14" customFormat="1">
      <c r="A22" s="12">
        <v>21</v>
      </c>
      <c r="B22" s="1" t="s">
        <v>35</v>
      </c>
      <c r="C22" s="42" t="s">
        <v>36</v>
      </c>
      <c r="D22" s="42" t="s">
        <v>72</v>
      </c>
      <c r="E22" s="42" t="s">
        <v>73</v>
      </c>
      <c r="F22" s="4">
        <v>181469</v>
      </c>
      <c r="G22" s="45" t="s">
        <v>60</v>
      </c>
      <c r="H22" s="14">
        <v>87081090</v>
      </c>
      <c r="I22" s="4">
        <v>0</v>
      </c>
      <c r="J22" s="4">
        <v>0</v>
      </c>
      <c r="K22" s="4">
        <v>31922.91</v>
      </c>
      <c r="L22" s="4">
        <v>0</v>
      </c>
      <c r="M22" s="14" t="s">
        <v>19</v>
      </c>
      <c r="N22" s="15">
        <f t="shared" si="1"/>
        <v>31922.91</v>
      </c>
    </row>
    <row r="23" spans="1:14" s="14" customFormat="1">
      <c r="A23" s="12">
        <v>22</v>
      </c>
      <c r="B23" s="1" t="s">
        <v>35</v>
      </c>
      <c r="C23" s="42" t="s">
        <v>36</v>
      </c>
      <c r="D23" s="42" t="s">
        <v>74</v>
      </c>
      <c r="E23" s="42" t="s">
        <v>75</v>
      </c>
      <c r="F23" s="4">
        <v>22798</v>
      </c>
      <c r="G23" s="45" t="s">
        <v>60</v>
      </c>
      <c r="H23" s="14">
        <v>87081090</v>
      </c>
      <c r="I23" s="4">
        <v>0</v>
      </c>
      <c r="J23" s="4">
        <v>0</v>
      </c>
      <c r="K23" s="4">
        <v>3477.65</v>
      </c>
      <c r="L23" s="4">
        <v>0</v>
      </c>
      <c r="M23" s="14" t="s">
        <v>19</v>
      </c>
      <c r="N23" s="15">
        <f t="shared" si="1"/>
        <v>3477.65</v>
      </c>
    </row>
    <row r="24" spans="1:14" s="14" customFormat="1">
      <c r="A24" s="12">
        <v>23</v>
      </c>
      <c r="B24" s="1" t="s">
        <v>35</v>
      </c>
      <c r="C24" s="42" t="s">
        <v>36</v>
      </c>
      <c r="D24" s="42" t="s">
        <v>76</v>
      </c>
      <c r="E24" s="42" t="s">
        <v>77</v>
      </c>
      <c r="F24" s="4">
        <v>468131</v>
      </c>
      <c r="G24" s="45" t="s">
        <v>60</v>
      </c>
      <c r="H24" s="14">
        <v>87081090</v>
      </c>
      <c r="I24" s="4">
        <v>0</v>
      </c>
      <c r="J24" s="4">
        <v>0</v>
      </c>
      <c r="K24" s="4">
        <v>81306.06</v>
      </c>
      <c r="L24" s="4">
        <v>0</v>
      </c>
      <c r="M24" s="14" t="s">
        <v>19</v>
      </c>
      <c r="N24" s="15">
        <f t="shared" si="1"/>
        <v>81306.06</v>
      </c>
    </row>
    <row r="25" spans="1:14" s="14" customFormat="1">
      <c r="A25" s="12">
        <v>24</v>
      </c>
      <c r="B25" s="1" t="s">
        <v>35</v>
      </c>
      <c r="C25" s="42" t="s">
        <v>36</v>
      </c>
      <c r="D25" s="42" t="s">
        <v>78</v>
      </c>
      <c r="E25" s="42" t="s">
        <v>79</v>
      </c>
      <c r="F25" s="4">
        <v>196369</v>
      </c>
      <c r="G25" s="45" t="s">
        <v>60</v>
      </c>
      <c r="H25" s="14">
        <v>87081090</v>
      </c>
      <c r="I25" s="4">
        <v>0</v>
      </c>
      <c r="J25" s="4">
        <v>0</v>
      </c>
      <c r="K25" s="4">
        <v>42955.74</v>
      </c>
      <c r="L25" s="4">
        <v>0</v>
      </c>
      <c r="M25" s="14" t="s">
        <v>19</v>
      </c>
      <c r="N25" s="15">
        <f t="shared" si="1"/>
        <v>42955.74</v>
      </c>
    </row>
    <row r="26" spans="1:14" s="14" customFormat="1">
      <c r="A26" s="12">
        <v>25</v>
      </c>
      <c r="B26" s="1" t="s">
        <v>80</v>
      </c>
      <c r="C26" s="42" t="s">
        <v>81</v>
      </c>
      <c r="D26" s="42" t="s">
        <v>82</v>
      </c>
      <c r="E26" s="42" t="s">
        <v>71</v>
      </c>
      <c r="F26" s="4">
        <v>192000</v>
      </c>
      <c r="G26" s="45" t="s">
        <v>60</v>
      </c>
      <c r="H26" s="14">
        <v>87089900</v>
      </c>
      <c r="I26" s="4">
        <v>0</v>
      </c>
      <c r="J26" s="4">
        <v>0</v>
      </c>
      <c r="K26" s="4">
        <v>42000</v>
      </c>
      <c r="L26" s="4">
        <v>0</v>
      </c>
      <c r="M26" s="14" t="s">
        <v>19</v>
      </c>
      <c r="N26" s="15">
        <f t="shared" si="1"/>
        <v>42000</v>
      </c>
    </row>
    <row r="27" spans="1:14" s="14" customFormat="1">
      <c r="A27" s="12">
        <v>26</v>
      </c>
      <c r="B27" s="1" t="s">
        <v>47</v>
      </c>
      <c r="C27" s="42" t="s">
        <v>48</v>
      </c>
      <c r="D27" s="42" t="s">
        <v>83</v>
      </c>
      <c r="E27" s="42" t="s">
        <v>84</v>
      </c>
      <c r="F27" s="4">
        <v>1257847</v>
      </c>
      <c r="G27" s="45" t="s">
        <v>60</v>
      </c>
      <c r="H27" s="14">
        <v>40114020</v>
      </c>
      <c r="I27" s="4">
        <v>137577.04</v>
      </c>
      <c r="J27" s="4">
        <v>137577.04</v>
      </c>
      <c r="K27" s="4">
        <v>0</v>
      </c>
      <c r="L27" s="4">
        <v>0</v>
      </c>
      <c r="M27" s="14" t="s">
        <v>19</v>
      </c>
      <c r="N27" s="15">
        <f t="shared" si="1"/>
        <v>275154.08</v>
      </c>
    </row>
    <row r="28" spans="1:14" s="14" customFormat="1">
      <c r="A28" s="12">
        <v>27</v>
      </c>
      <c r="B28" s="1" t="s">
        <v>85</v>
      </c>
      <c r="C28" s="42" t="s">
        <v>86</v>
      </c>
      <c r="D28" s="42" t="s">
        <v>87</v>
      </c>
      <c r="E28" s="42" t="s">
        <v>88</v>
      </c>
      <c r="F28" s="4">
        <v>106200</v>
      </c>
      <c r="G28" s="45" t="s">
        <v>60</v>
      </c>
      <c r="H28" s="14">
        <v>65061090</v>
      </c>
      <c r="I28" s="4">
        <v>0</v>
      </c>
      <c r="J28" s="4">
        <v>0</v>
      </c>
      <c r="K28" s="4">
        <v>16200</v>
      </c>
      <c r="L28" s="4">
        <v>0</v>
      </c>
      <c r="M28" s="14" t="s">
        <v>19</v>
      </c>
      <c r="N28" s="15">
        <f t="shared" si="1"/>
        <v>16200</v>
      </c>
    </row>
    <row r="29" spans="1:14" s="14" customFormat="1">
      <c r="A29" s="12">
        <v>28</v>
      </c>
      <c r="B29" s="1" t="s">
        <v>52</v>
      </c>
      <c r="C29" s="42" t="s">
        <v>53</v>
      </c>
      <c r="D29" s="42" t="s">
        <v>89</v>
      </c>
      <c r="E29" s="42" t="s">
        <v>84</v>
      </c>
      <c r="F29" s="4">
        <v>89836</v>
      </c>
      <c r="G29" s="45" t="s">
        <v>60</v>
      </c>
      <c r="H29" s="14">
        <v>87089900</v>
      </c>
      <c r="I29" s="4">
        <v>8568</v>
      </c>
      <c r="J29" s="4">
        <v>8568</v>
      </c>
      <c r="K29" s="4">
        <v>0</v>
      </c>
      <c r="L29" s="4">
        <v>0</v>
      </c>
      <c r="M29" s="14" t="s">
        <v>19</v>
      </c>
      <c r="N29" s="15">
        <f t="shared" si="1"/>
        <v>17136</v>
      </c>
    </row>
    <row r="30" spans="1:14" s="14" customFormat="1">
      <c r="A30" s="12">
        <v>29</v>
      </c>
      <c r="B30" s="1" t="s">
        <v>90</v>
      </c>
      <c r="C30" s="42" t="s">
        <v>91</v>
      </c>
      <c r="D30" s="42" t="s">
        <v>92</v>
      </c>
      <c r="E30" s="42" t="s">
        <v>93</v>
      </c>
      <c r="F30" s="4">
        <v>145680</v>
      </c>
      <c r="G30" s="45" t="s">
        <v>60</v>
      </c>
      <c r="H30" s="14">
        <v>40139020</v>
      </c>
      <c r="I30" s="4">
        <v>11111.18</v>
      </c>
      <c r="J30" s="4">
        <v>11111.18</v>
      </c>
      <c r="K30" s="4">
        <v>0</v>
      </c>
      <c r="L30" s="4">
        <v>0</v>
      </c>
      <c r="M30" s="14" t="s">
        <v>19</v>
      </c>
      <c r="N30" s="15">
        <f t="shared" si="1"/>
        <v>22222.36</v>
      </c>
    </row>
    <row r="31" spans="1:14" s="14" customFormat="1">
      <c r="A31" s="12">
        <v>30</v>
      </c>
      <c r="B31" s="1" t="s">
        <v>90</v>
      </c>
      <c r="C31" s="42" t="s">
        <v>91</v>
      </c>
      <c r="D31" s="42" t="s">
        <v>94</v>
      </c>
      <c r="E31" s="42" t="s">
        <v>95</v>
      </c>
      <c r="F31" s="4">
        <v>97120</v>
      </c>
      <c r="G31" s="45" t="s">
        <v>60</v>
      </c>
      <c r="H31" s="14">
        <v>40139020</v>
      </c>
      <c r="I31" s="4">
        <v>7407.45</v>
      </c>
      <c r="J31" s="4">
        <v>7407.45</v>
      </c>
      <c r="K31" s="4">
        <v>0</v>
      </c>
      <c r="L31" s="4">
        <v>0</v>
      </c>
      <c r="M31" s="14" t="s">
        <v>19</v>
      </c>
      <c r="N31" s="15">
        <f t="shared" si="1"/>
        <v>14814.9</v>
      </c>
    </row>
    <row r="32" spans="1:14" s="14" customFormat="1">
      <c r="A32" s="12">
        <v>31</v>
      </c>
      <c r="B32" s="1" t="s">
        <v>90</v>
      </c>
      <c r="C32" s="42" t="s">
        <v>91</v>
      </c>
      <c r="D32" s="42" t="s">
        <v>96</v>
      </c>
      <c r="E32" s="42" t="s">
        <v>95</v>
      </c>
      <c r="F32" s="4">
        <v>97120</v>
      </c>
      <c r="G32" s="45" t="s">
        <v>60</v>
      </c>
      <c r="H32" s="14">
        <v>40139020</v>
      </c>
      <c r="I32" s="4">
        <v>7407.45</v>
      </c>
      <c r="J32" s="4">
        <v>7407.45</v>
      </c>
      <c r="K32" s="4">
        <v>0</v>
      </c>
      <c r="L32" s="4">
        <v>0</v>
      </c>
      <c r="M32" s="14" t="s">
        <v>19</v>
      </c>
      <c r="N32" s="15">
        <f t="shared" si="1"/>
        <v>14814.9</v>
      </c>
    </row>
    <row r="33" spans="1:16383" s="14" customFormat="1">
      <c r="A33" s="12">
        <v>32</v>
      </c>
      <c r="B33" s="1" t="s">
        <v>55</v>
      </c>
      <c r="C33" s="42" t="s">
        <v>56</v>
      </c>
      <c r="D33" s="42" t="s">
        <v>97</v>
      </c>
      <c r="E33" s="42" t="s">
        <v>84</v>
      </c>
      <c r="F33" s="4">
        <v>1130782</v>
      </c>
      <c r="G33" s="45" t="s">
        <v>60</v>
      </c>
      <c r="H33" s="14">
        <v>87089900</v>
      </c>
      <c r="I33" s="4">
        <v>0</v>
      </c>
      <c r="J33" s="4">
        <v>0</v>
      </c>
      <c r="K33" s="4">
        <v>225828.12</v>
      </c>
      <c r="L33" s="4">
        <v>0</v>
      </c>
      <c r="M33" s="14" t="s">
        <v>19</v>
      </c>
      <c r="N33" s="15">
        <f t="shared" si="1"/>
        <v>225828.12</v>
      </c>
    </row>
    <row r="34" spans="1:16383" s="14" customFormat="1">
      <c r="A34" s="12">
        <v>33</v>
      </c>
      <c r="B34" s="1" t="s">
        <v>98</v>
      </c>
      <c r="C34" s="42" t="s">
        <v>99</v>
      </c>
      <c r="D34" s="42" t="s">
        <v>100</v>
      </c>
      <c r="E34" s="42" t="s">
        <v>101</v>
      </c>
      <c r="F34" s="4">
        <v>14920</v>
      </c>
      <c r="G34" s="45" t="s">
        <v>102</v>
      </c>
      <c r="H34" s="16" t="s">
        <v>103</v>
      </c>
      <c r="I34" s="4">
        <v>0</v>
      </c>
      <c r="J34" s="4">
        <v>0</v>
      </c>
      <c r="K34" s="4">
        <v>746</v>
      </c>
      <c r="L34" s="4">
        <v>0</v>
      </c>
      <c r="M34" s="14" t="s">
        <v>19</v>
      </c>
      <c r="N34" s="15">
        <f t="shared" si="1"/>
        <v>746</v>
      </c>
    </row>
    <row r="35" spans="1:16383">
      <c r="A35" s="12">
        <v>34</v>
      </c>
      <c r="B35" s="1" t="s">
        <v>98</v>
      </c>
      <c r="C35" s="42" t="s">
        <v>99</v>
      </c>
      <c r="D35" s="42" t="s">
        <v>104</v>
      </c>
      <c r="E35" s="42" t="s">
        <v>101</v>
      </c>
      <c r="F35" s="4">
        <v>6180</v>
      </c>
      <c r="G35" s="45" t="s">
        <v>102</v>
      </c>
      <c r="H35" s="16" t="s">
        <v>103</v>
      </c>
      <c r="I35" s="4">
        <v>0</v>
      </c>
      <c r="J35" s="4">
        <v>0</v>
      </c>
      <c r="K35" s="4">
        <v>309</v>
      </c>
      <c r="L35" s="4">
        <v>0</v>
      </c>
      <c r="M35" s="14" t="s">
        <v>19</v>
      </c>
      <c r="N35" s="15">
        <f t="shared" si="1"/>
        <v>309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  <c r="JA35" s="14"/>
      <c r="JB35" s="14"/>
      <c r="JC35" s="14"/>
      <c r="JD35" s="14"/>
      <c r="JE35" s="14"/>
      <c r="JF35" s="14"/>
      <c r="JG35" s="14"/>
      <c r="JH35" s="14"/>
      <c r="JI35" s="14"/>
      <c r="JJ35" s="14"/>
      <c r="JK35" s="14"/>
      <c r="JL35" s="14"/>
      <c r="JM35" s="14"/>
      <c r="JN35" s="14"/>
      <c r="JO35" s="14"/>
      <c r="JP35" s="14"/>
      <c r="JQ35" s="14"/>
      <c r="JR35" s="14"/>
      <c r="JS35" s="14"/>
      <c r="JT35" s="14"/>
      <c r="JU35" s="14"/>
      <c r="JV35" s="14"/>
      <c r="JW35" s="14"/>
      <c r="JX35" s="14"/>
      <c r="JY35" s="14"/>
      <c r="JZ35" s="14"/>
      <c r="KA35" s="14"/>
      <c r="KB35" s="14"/>
      <c r="KC35" s="14"/>
      <c r="KD35" s="14"/>
      <c r="KE35" s="14"/>
      <c r="KF35" s="14"/>
      <c r="KG35" s="14"/>
      <c r="KH35" s="14"/>
      <c r="KI35" s="14"/>
      <c r="KJ35" s="14"/>
      <c r="KK35" s="14"/>
      <c r="KL35" s="14"/>
      <c r="KM35" s="14"/>
      <c r="KN35" s="14"/>
      <c r="KO35" s="14"/>
      <c r="KP35" s="14"/>
      <c r="KQ35" s="14"/>
      <c r="KR35" s="14"/>
      <c r="KS35" s="14"/>
      <c r="KT35" s="14"/>
      <c r="KU35" s="14"/>
      <c r="KV35" s="14"/>
      <c r="KW35" s="14"/>
      <c r="KX35" s="14"/>
      <c r="KY35" s="14"/>
      <c r="KZ35" s="14"/>
      <c r="LA35" s="14"/>
      <c r="LB35" s="14"/>
      <c r="LC35" s="14"/>
      <c r="LD35" s="14"/>
      <c r="LE35" s="14"/>
      <c r="LF35" s="14"/>
      <c r="LG35" s="14"/>
      <c r="LH35" s="14"/>
      <c r="LI35" s="14"/>
      <c r="LJ35" s="14"/>
      <c r="LK35" s="14"/>
      <c r="LL35" s="14"/>
      <c r="LM35" s="14"/>
      <c r="LN35" s="14"/>
      <c r="LO35" s="14"/>
      <c r="LP35" s="14"/>
      <c r="LQ35" s="14"/>
      <c r="LR35" s="14"/>
      <c r="LS35" s="14"/>
      <c r="LT35" s="14"/>
      <c r="LU35" s="14"/>
      <c r="LV35" s="14"/>
      <c r="LW35" s="14"/>
      <c r="LX35" s="14"/>
      <c r="LY35" s="14"/>
      <c r="LZ35" s="14"/>
      <c r="MA35" s="14"/>
      <c r="MB35" s="14"/>
      <c r="MC35" s="14"/>
      <c r="MD35" s="14"/>
      <c r="ME35" s="14"/>
      <c r="MF35" s="14"/>
      <c r="MG35" s="14"/>
      <c r="MH35" s="14"/>
      <c r="MI35" s="14"/>
      <c r="MJ35" s="14"/>
      <c r="MK35" s="14"/>
      <c r="ML35" s="14"/>
      <c r="MM35" s="14"/>
      <c r="MN35" s="14"/>
      <c r="MO35" s="14"/>
      <c r="MP35" s="14"/>
      <c r="MQ35" s="14"/>
      <c r="MR35" s="14"/>
      <c r="MS35" s="14"/>
      <c r="MT35" s="14"/>
      <c r="MU35" s="14"/>
      <c r="MV35" s="14"/>
      <c r="MW35" s="14"/>
      <c r="MX35" s="14"/>
      <c r="MY35" s="14"/>
      <c r="MZ35" s="14"/>
      <c r="NA35" s="14"/>
      <c r="NB35" s="14"/>
      <c r="NC35" s="14"/>
      <c r="ND35" s="14"/>
      <c r="NE35" s="14"/>
      <c r="NF35" s="14"/>
      <c r="NG35" s="14"/>
      <c r="NH35" s="14"/>
      <c r="NI35" s="14"/>
      <c r="NJ35" s="14"/>
      <c r="NK35" s="14"/>
      <c r="NL35" s="14"/>
      <c r="NM35" s="14"/>
      <c r="NN35" s="14"/>
      <c r="NO35" s="14"/>
      <c r="NP35" s="14"/>
      <c r="NQ35" s="14"/>
      <c r="NR35" s="14"/>
      <c r="NS35" s="14"/>
      <c r="NT35" s="14"/>
      <c r="NU35" s="14"/>
      <c r="NV35" s="14"/>
      <c r="NW35" s="14"/>
      <c r="NX35" s="14"/>
      <c r="NY35" s="14"/>
      <c r="NZ35" s="14"/>
      <c r="OA35" s="14"/>
      <c r="OB35" s="14"/>
      <c r="OC35" s="14"/>
      <c r="OD35" s="14"/>
      <c r="OE35" s="14"/>
      <c r="OF35" s="14"/>
      <c r="OG35" s="14"/>
      <c r="OH35" s="14"/>
      <c r="OI35" s="14"/>
      <c r="OJ35" s="14"/>
      <c r="OK35" s="14"/>
      <c r="OL35" s="14"/>
      <c r="OM35" s="14"/>
      <c r="ON35" s="14"/>
      <c r="OO35" s="14"/>
      <c r="OP35" s="14"/>
      <c r="OQ35" s="14"/>
      <c r="OR35" s="14"/>
      <c r="OS35" s="14"/>
      <c r="OT35" s="14"/>
      <c r="OU35" s="14"/>
      <c r="OV35" s="14"/>
      <c r="OW35" s="14"/>
      <c r="OX35" s="14"/>
      <c r="OY35" s="14"/>
      <c r="OZ35" s="14"/>
      <c r="PA35" s="14"/>
      <c r="PB35" s="14"/>
      <c r="PC35" s="14"/>
      <c r="PD35" s="14"/>
      <c r="PE35" s="14"/>
      <c r="PF35" s="14"/>
      <c r="PG35" s="14"/>
      <c r="PH35" s="14"/>
      <c r="PI35" s="14"/>
      <c r="PJ35" s="14"/>
      <c r="PK35" s="14"/>
      <c r="PL35" s="14"/>
      <c r="PM35" s="14"/>
      <c r="PN35" s="14"/>
      <c r="PO35" s="14"/>
      <c r="PP35" s="14"/>
      <c r="PQ35" s="14"/>
      <c r="PR35" s="14"/>
      <c r="PS35" s="14"/>
      <c r="PT35" s="14"/>
      <c r="PU35" s="14"/>
      <c r="PV35" s="14"/>
      <c r="PW35" s="14"/>
      <c r="PX35" s="14"/>
      <c r="PY35" s="14"/>
      <c r="PZ35" s="14"/>
      <c r="QA35" s="14"/>
      <c r="QB35" s="14"/>
      <c r="QC35" s="14"/>
      <c r="QD35" s="14"/>
      <c r="QE35" s="14"/>
      <c r="QF35" s="14"/>
      <c r="QG35" s="14"/>
      <c r="QH35" s="14"/>
      <c r="QI35" s="14"/>
      <c r="QJ35" s="14"/>
      <c r="QK35" s="14"/>
      <c r="QL35" s="14"/>
      <c r="QM35" s="14"/>
      <c r="QN35" s="14"/>
      <c r="QO35" s="14"/>
      <c r="QP35" s="14"/>
      <c r="QQ35" s="14"/>
      <c r="QR35" s="14"/>
      <c r="QS35" s="14"/>
      <c r="QT35" s="14"/>
      <c r="QU35" s="14"/>
      <c r="QV35" s="14"/>
      <c r="QW35" s="14"/>
      <c r="QX35" s="14"/>
      <c r="QY35" s="14"/>
      <c r="QZ35" s="14"/>
      <c r="RA35" s="14"/>
      <c r="RB35" s="14"/>
      <c r="RC35" s="14"/>
      <c r="RD35" s="14"/>
      <c r="RE35" s="14"/>
      <c r="RF35" s="14"/>
      <c r="RG35" s="14"/>
      <c r="RH35" s="14"/>
      <c r="RI35" s="14"/>
      <c r="RJ35" s="14"/>
      <c r="RK35" s="14"/>
      <c r="RL35" s="14"/>
      <c r="RM35" s="14"/>
      <c r="RN35" s="14"/>
      <c r="RO35" s="14"/>
      <c r="RP35" s="14"/>
      <c r="RQ35" s="14"/>
      <c r="RR35" s="14"/>
      <c r="RS35" s="14"/>
      <c r="RT35" s="14"/>
      <c r="RU35" s="14"/>
      <c r="RV35" s="14"/>
      <c r="RW35" s="14"/>
      <c r="RX35" s="14"/>
      <c r="RY35" s="14"/>
      <c r="RZ35" s="14"/>
      <c r="SA35" s="14"/>
      <c r="SB35" s="14"/>
      <c r="SC35" s="14"/>
      <c r="SD35" s="14"/>
      <c r="SE35" s="14"/>
      <c r="SF35" s="14"/>
      <c r="SG35" s="14"/>
      <c r="SH35" s="14"/>
      <c r="SI35" s="14"/>
      <c r="SJ35" s="14"/>
      <c r="SK35" s="14"/>
      <c r="SL35" s="14"/>
      <c r="SM35" s="14"/>
      <c r="SN35" s="14"/>
      <c r="SO35" s="14"/>
      <c r="SP35" s="14"/>
      <c r="SQ35" s="14"/>
      <c r="SR35" s="14"/>
      <c r="SS35" s="14"/>
      <c r="ST35" s="14"/>
      <c r="SU35" s="14"/>
      <c r="SV35" s="14"/>
      <c r="SW35" s="14"/>
      <c r="SX35" s="14"/>
      <c r="SY35" s="14"/>
      <c r="SZ35" s="14"/>
      <c r="TA35" s="14"/>
      <c r="TB35" s="14"/>
      <c r="TC35" s="14"/>
      <c r="TD35" s="14"/>
      <c r="TE35" s="14"/>
      <c r="TF35" s="14"/>
      <c r="TG35" s="14"/>
      <c r="TH35" s="14"/>
      <c r="TI35" s="14"/>
      <c r="TJ35" s="14"/>
      <c r="TK35" s="14"/>
      <c r="TL35" s="14"/>
      <c r="TM35" s="14"/>
      <c r="TN35" s="14"/>
      <c r="TO35" s="14"/>
      <c r="TP35" s="14"/>
      <c r="TQ35" s="14"/>
      <c r="TR35" s="14"/>
      <c r="TS35" s="14"/>
      <c r="TT35" s="14"/>
      <c r="TU35" s="14"/>
      <c r="TV35" s="14"/>
      <c r="TW35" s="14"/>
      <c r="TX35" s="14"/>
      <c r="TY35" s="14"/>
      <c r="TZ35" s="14"/>
      <c r="UA35" s="14"/>
      <c r="UB35" s="14"/>
      <c r="UC35" s="14"/>
      <c r="UD35" s="14"/>
      <c r="UE35" s="14"/>
      <c r="UF35" s="14"/>
      <c r="UG35" s="14"/>
      <c r="UH35" s="14"/>
      <c r="UI35" s="14"/>
      <c r="UJ35" s="14"/>
      <c r="UK35" s="14"/>
      <c r="UL35" s="14"/>
      <c r="UM35" s="14"/>
      <c r="UN35" s="14"/>
      <c r="UO35" s="14"/>
      <c r="UP35" s="14"/>
      <c r="UQ35" s="14"/>
      <c r="UR35" s="14"/>
      <c r="US35" s="14"/>
      <c r="UT35" s="14"/>
      <c r="UU35" s="14"/>
      <c r="UV35" s="14"/>
      <c r="UW35" s="14"/>
      <c r="UX35" s="14"/>
      <c r="UY35" s="14"/>
      <c r="UZ35" s="14"/>
      <c r="VA35" s="14"/>
      <c r="VB35" s="14"/>
      <c r="VC35" s="14"/>
      <c r="VD35" s="14"/>
      <c r="VE35" s="14"/>
      <c r="VF35" s="14"/>
      <c r="VG35" s="14"/>
      <c r="VH35" s="14"/>
      <c r="VI35" s="14"/>
      <c r="VJ35" s="14"/>
      <c r="VK35" s="14"/>
      <c r="VL35" s="14"/>
      <c r="VM35" s="14"/>
      <c r="VN35" s="14"/>
      <c r="VO35" s="14"/>
      <c r="VP35" s="14"/>
      <c r="VQ35" s="14"/>
      <c r="VR35" s="14"/>
      <c r="VS35" s="14"/>
      <c r="VT35" s="14"/>
      <c r="VU35" s="14"/>
      <c r="VV35" s="14"/>
      <c r="VW35" s="14"/>
      <c r="VX35" s="14"/>
      <c r="VY35" s="14"/>
      <c r="VZ35" s="14"/>
      <c r="WA35" s="14"/>
      <c r="WB35" s="14"/>
      <c r="WC35" s="14"/>
      <c r="WD35" s="14"/>
      <c r="WE35" s="14"/>
      <c r="WF35" s="14"/>
      <c r="WG35" s="14"/>
      <c r="WH35" s="14"/>
      <c r="WI35" s="14"/>
      <c r="WJ35" s="14"/>
      <c r="WK35" s="14"/>
      <c r="WL35" s="14"/>
      <c r="WM35" s="14"/>
      <c r="WN35" s="14"/>
      <c r="WO35" s="14"/>
      <c r="WP35" s="14"/>
      <c r="WQ35" s="14"/>
      <c r="WR35" s="14"/>
      <c r="WS35" s="14"/>
      <c r="WT35" s="14"/>
      <c r="WU35" s="14"/>
      <c r="WV35" s="14"/>
      <c r="WW35" s="14"/>
      <c r="WX35" s="14"/>
      <c r="WY35" s="14"/>
      <c r="WZ35" s="14"/>
      <c r="XA35" s="14"/>
      <c r="XB35" s="14"/>
      <c r="XC35" s="14"/>
      <c r="XD35" s="14"/>
      <c r="XE35" s="14"/>
      <c r="XF35" s="14"/>
      <c r="XG35" s="14"/>
      <c r="XH35" s="14"/>
      <c r="XI35" s="14"/>
      <c r="XJ35" s="14"/>
      <c r="XK35" s="14"/>
      <c r="XL35" s="14"/>
      <c r="XM35" s="14"/>
      <c r="XN35" s="14"/>
      <c r="XO35" s="14"/>
      <c r="XP35" s="14"/>
      <c r="XQ35" s="14"/>
      <c r="XR35" s="14"/>
      <c r="XS35" s="14"/>
      <c r="XT35" s="14"/>
      <c r="XU35" s="14"/>
      <c r="XV35" s="14"/>
      <c r="XW35" s="14"/>
      <c r="XX35" s="14"/>
      <c r="XY35" s="14"/>
      <c r="XZ35" s="14"/>
      <c r="YA35" s="14"/>
      <c r="YB35" s="14"/>
      <c r="YC35" s="14"/>
      <c r="YD35" s="14"/>
      <c r="YE35" s="14"/>
      <c r="YF35" s="14"/>
      <c r="YG35" s="14"/>
      <c r="YH35" s="14"/>
      <c r="YI35" s="14"/>
      <c r="YJ35" s="14"/>
      <c r="YK35" s="14"/>
      <c r="YL35" s="14"/>
      <c r="YM35" s="14"/>
      <c r="YN35" s="14"/>
      <c r="YO35" s="14"/>
      <c r="YP35" s="14"/>
      <c r="YQ35" s="14"/>
      <c r="YR35" s="14"/>
      <c r="YS35" s="14"/>
      <c r="YT35" s="14"/>
      <c r="YU35" s="14"/>
      <c r="YV35" s="14"/>
      <c r="YW35" s="14"/>
      <c r="YX35" s="14"/>
      <c r="YY35" s="14"/>
      <c r="YZ35" s="14"/>
      <c r="ZA35" s="14"/>
      <c r="ZB35" s="14"/>
      <c r="ZC35" s="14"/>
      <c r="ZD35" s="14"/>
      <c r="ZE35" s="14"/>
      <c r="ZF35" s="14"/>
      <c r="ZG35" s="14"/>
      <c r="ZH35" s="14"/>
      <c r="ZI35" s="14"/>
      <c r="ZJ35" s="14"/>
      <c r="ZK35" s="14"/>
      <c r="ZL35" s="14"/>
      <c r="ZM35" s="14"/>
      <c r="ZN35" s="14"/>
      <c r="ZO35" s="14"/>
      <c r="ZP35" s="14"/>
      <c r="ZQ35" s="14"/>
      <c r="ZR35" s="14"/>
      <c r="ZS35" s="14"/>
      <c r="ZT35" s="14"/>
      <c r="ZU35" s="14"/>
      <c r="ZV35" s="14"/>
      <c r="ZW35" s="14"/>
      <c r="ZX35" s="14"/>
      <c r="ZY35" s="14"/>
      <c r="ZZ35" s="14"/>
      <c r="AAA35" s="14"/>
      <c r="AAB35" s="14"/>
      <c r="AAC35" s="14"/>
      <c r="AAD35" s="14"/>
      <c r="AAE35" s="14"/>
      <c r="AAF35" s="14"/>
      <c r="AAG35" s="14"/>
      <c r="AAH35" s="14"/>
      <c r="AAI35" s="14"/>
      <c r="AAJ35" s="14"/>
      <c r="AAK35" s="14"/>
      <c r="AAL35" s="14"/>
      <c r="AAM35" s="14"/>
      <c r="AAN35" s="14"/>
      <c r="AAO35" s="14"/>
      <c r="AAP35" s="14"/>
      <c r="AAQ35" s="14"/>
      <c r="AAR35" s="14"/>
      <c r="AAS35" s="14"/>
      <c r="AAT35" s="14"/>
      <c r="AAU35" s="14"/>
      <c r="AAV35" s="14"/>
      <c r="AAW35" s="14"/>
      <c r="AAX35" s="14"/>
      <c r="AAY35" s="14"/>
      <c r="AAZ35" s="14"/>
      <c r="ABA35" s="14"/>
      <c r="ABB35" s="14"/>
      <c r="ABC35" s="14"/>
      <c r="ABD35" s="14"/>
      <c r="ABE35" s="14"/>
      <c r="ABF35" s="14"/>
      <c r="ABG35" s="14"/>
      <c r="ABH35" s="14"/>
      <c r="ABI35" s="14"/>
      <c r="ABJ35" s="14"/>
      <c r="ABK35" s="14"/>
      <c r="ABL35" s="14"/>
      <c r="ABM35" s="14"/>
      <c r="ABN35" s="14"/>
      <c r="ABO35" s="14"/>
      <c r="ABP35" s="14"/>
      <c r="ABQ35" s="14"/>
      <c r="ABR35" s="14"/>
      <c r="ABS35" s="14"/>
      <c r="ABT35" s="14"/>
      <c r="ABU35" s="14"/>
      <c r="ABV35" s="14"/>
      <c r="ABW35" s="14"/>
      <c r="ABX35" s="14"/>
      <c r="ABY35" s="14"/>
      <c r="ABZ35" s="14"/>
      <c r="ACA35" s="14"/>
      <c r="ACB35" s="14"/>
      <c r="ACC35" s="14"/>
      <c r="ACD35" s="14"/>
      <c r="ACE35" s="14"/>
      <c r="ACF35" s="14"/>
      <c r="ACG35" s="14"/>
      <c r="ACH35" s="14"/>
      <c r="ACI35" s="14"/>
      <c r="ACJ35" s="14"/>
      <c r="ACK35" s="14"/>
      <c r="ACL35" s="14"/>
      <c r="ACM35" s="14"/>
      <c r="ACN35" s="14"/>
      <c r="ACO35" s="14"/>
      <c r="ACP35" s="14"/>
      <c r="ACQ35" s="14"/>
      <c r="ACR35" s="14"/>
      <c r="ACS35" s="14"/>
      <c r="ACT35" s="14"/>
      <c r="ACU35" s="14"/>
      <c r="ACV35" s="14"/>
      <c r="ACW35" s="14"/>
      <c r="ACX35" s="14"/>
      <c r="ACY35" s="14"/>
      <c r="ACZ35" s="14"/>
      <c r="ADA35" s="14"/>
      <c r="ADB35" s="14"/>
      <c r="ADC35" s="14"/>
      <c r="ADD35" s="14"/>
      <c r="ADE35" s="14"/>
      <c r="ADF35" s="14"/>
      <c r="ADG35" s="14"/>
      <c r="ADH35" s="14"/>
      <c r="ADI35" s="14"/>
      <c r="ADJ35" s="14"/>
      <c r="ADK35" s="14"/>
      <c r="ADL35" s="14"/>
      <c r="ADM35" s="14"/>
      <c r="ADN35" s="14"/>
      <c r="ADO35" s="14"/>
      <c r="ADP35" s="14"/>
      <c r="ADQ35" s="14"/>
      <c r="ADR35" s="14"/>
      <c r="ADS35" s="14"/>
      <c r="ADT35" s="14"/>
      <c r="ADU35" s="14"/>
      <c r="ADV35" s="14"/>
      <c r="ADW35" s="14"/>
      <c r="ADX35" s="14"/>
      <c r="ADY35" s="14"/>
      <c r="ADZ35" s="14"/>
      <c r="AEA35" s="14"/>
      <c r="AEB35" s="14"/>
      <c r="AEC35" s="14"/>
      <c r="AED35" s="14"/>
      <c r="AEE35" s="14"/>
      <c r="AEF35" s="14"/>
      <c r="AEG35" s="14"/>
      <c r="AEH35" s="14"/>
      <c r="AEI35" s="14"/>
      <c r="AEJ35" s="14"/>
      <c r="AEK35" s="14"/>
      <c r="AEL35" s="14"/>
      <c r="AEM35" s="14"/>
      <c r="AEN35" s="14"/>
      <c r="AEO35" s="14"/>
      <c r="AEP35" s="14"/>
      <c r="AEQ35" s="14"/>
      <c r="AER35" s="14"/>
      <c r="AES35" s="14"/>
      <c r="AET35" s="14"/>
      <c r="AEU35" s="14"/>
      <c r="AEV35" s="14"/>
      <c r="AEW35" s="14"/>
      <c r="AEX35" s="14"/>
      <c r="AEY35" s="14"/>
      <c r="AEZ35" s="14"/>
      <c r="AFA35" s="14"/>
      <c r="AFB35" s="14"/>
      <c r="AFC35" s="14"/>
      <c r="AFD35" s="14"/>
      <c r="AFE35" s="14"/>
      <c r="AFF35" s="14"/>
      <c r="AFG35" s="14"/>
      <c r="AFH35" s="14"/>
      <c r="AFI35" s="14"/>
      <c r="AFJ35" s="14"/>
      <c r="AFK35" s="14"/>
      <c r="AFL35" s="14"/>
      <c r="AFM35" s="14"/>
      <c r="AFN35" s="14"/>
      <c r="AFO35" s="14"/>
      <c r="AFP35" s="14"/>
      <c r="AFQ35" s="14"/>
      <c r="AFR35" s="14"/>
      <c r="AFS35" s="14"/>
      <c r="AFT35" s="14"/>
      <c r="AFU35" s="14"/>
      <c r="AFV35" s="14"/>
      <c r="AFW35" s="14"/>
      <c r="AFX35" s="14"/>
      <c r="AFY35" s="14"/>
      <c r="AFZ35" s="14"/>
      <c r="AGA35" s="14"/>
      <c r="AGB35" s="14"/>
      <c r="AGC35" s="14"/>
      <c r="AGD35" s="14"/>
      <c r="AGE35" s="14"/>
      <c r="AGF35" s="14"/>
      <c r="AGG35" s="14"/>
      <c r="AGH35" s="14"/>
      <c r="AGI35" s="14"/>
      <c r="AGJ35" s="14"/>
      <c r="AGK35" s="14"/>
      <c r="AGL35" s="14"/>
      <c r="AGM35" s="14"/>
      <c r="AGN35" s="14"/>
      <c r="AGO35" s="14"/>
      <c r="AGP35" s="14"/>
      <c r="AGQ35" s="14"/>
      <c r="AGR35" s="14"/>
      <c r="AGS35" s="14"/>
      <c r="AGT35" s="14"/>
      <c r="AGU35" s="14"/>
      <c r="AGV35" s="14"/>
      <c r="AGW35" s="14"/>
      <c r="AGX35" s="14"/>
      <c r="AGY35" s="14"/>
      <c r="AGZ35" s="14"/>
      <c r="AHA35" s="14"/>
      <c r="AHB35" s="14"/>
      <c r="AHC35" s="14"/>
      <c r="AHD35" s="14"/>
      <c r="AHE35" s="14"/>
      <c r="AHF35" s="14"/>
      <c r="AHG35" s="14"/>
      <c r="AHH35" s="14"/>
      <c r="AHI35" s="14"/>
      <c r="AHJ35" s="14"/>
      <c r="AHK35" s="14"/>
      <c r="AHL35" s="14"/>
      <c r="AHM35" s="14"/>
      <c r="AHN35" s="14"/>
      <c r="AHO35" s="14"/>
      <c r="AHP35" s="14"/>
      <c r="AHQ35" s="14"/>
      <c r="AHR35" s="14"/>
      <c r="AHS35" s="14"/>
      <c r="AHT35" s="14"/>
      <c r="AHU35" s="14"/>
      <c r="AHV35" s="14"/>
      <c r="AHW35" s="14"/>
      <c r="AHX35" s="14"/>
      <c r="AHY35" s="14"/>
      <c r="AHZ35" s="14"/>
      <c r="AIA35" s="14"/>
      <c r="AIB35" s="14"/>
      <c r="AIC35" s="14"/>
      <c r="AID35" s="14"/>
      <c r="AIE35" s="14"/>
      <c r="AIF35" s="14"/>
      <c r="AIG35" s="14"/>
      <c r="AIH35" s="14"/>
      <c r="AII35" s="14"/>
      <c r="AIJ35" s="14"/>
      <c r="AIK35" s="14"/>
      <c r="AIL35" s="14"/>
      <c r="AIM35" s="14"/>
      <c r="AIN35" s="14"/>
      <c r="AIO35" s="14"/>
      <c r="AIP35" s="14"/>
      <c r="AIQ35" s="14"/>
      <c r="AIR35" s="14"/>
      <c r="AIS35" s="14"/>
      <c r="AIT35" s="14"/>
      <c r="AIU35" s="14"/>
      <c r="AIV35" s="14"/>
      <c r="AIW35" s="14"/>
      <c r="AIX35" s="14"/>
      <c r="AIY35" s="14"/>
      <c r="AIZ35" s="14"/>
      <c r="AJA35" s="14"/>
      <c r="AJB35" s="14"/>
      <c r="AJC35" s="14"/>
      <c r="AJD35" s="14"/>
      <c r="AJE35" s="14"/>
      <c r="AJF35" s="14"/>
      <c r="AJG35" s="14"/>
      <c r="AJH35" s="14"/>
      <c r="AJI35" s="14"/>
      <c r="AJJ35" s="14"/>
      <c r="AJK35" s="14"/>
      <c r="AJL35" s="14"/>
      <c r="AJM35" s="14"/>
      <c r="AJN35" s="14"/>
      <c r="AJO35" s="14"/>
      <c r="AJP35" s="14"/>
      <c r="AJQ35" s="14"/>
      <c r="AJR35" s="14"/>
      <c r="AJS35" s="14"/>
      <c r="AJT35" s="14"/>
      <c r="AJU35" s="14"/>
      <c r="AJV35" s="14"/>
      <c r="AJW35" s="14"/>
      <c r="AJX35" s="14"/>
      <c r="AJY35" s="14"/>
      <c r="AJZ35" s="14"/>
      <c r="AKA35" s="14"/>
      <c r="AKB35" s="14"/>
      <c r="AKC35" s="14"/>
      <c r="AKD35" s="14"/>
      <c r="AKE35" s="14"/>
      <c r="AKF35" s="14"/>
      <c r="AKG35" s="14"/>
      <c r="AKH35" s="14"/>
      <c r="AKI35" s="14"/>
      <c r="AKJ35" s="14"/>
      <c r="AKK35" s="14"/>
      <c r="AKL35" s="14"/>
      <c r="AKM35" s="14"/>
      <c r="AKN35" s="14"/>
      <c r="AKO35" s="14"/>
      <c r="AKP35" s="14"/>
      <c r="AKQ35" s="14"/>
      <c r="AKR35" s="14"/>
      <c r="AKS35" s="14"/>
      <c r="AKT35" s="14"/>
      <c r="AKU35" s="14"/>
      <c r="AKV35" s="14"/>
      <c r="AKW35" s="14"/>
      <c r="AKX35" s="14"/>
      <c r="AKY35" s="14"/>
      <c r="AKZ35" s="14"/>
      <c r="ALA35" s="14"/>
      <c r="ALB35" s="14"/>
      <c r="ALC35" s="14"/>
      <c r="ALD35" s="14"/>
      <c r="ALE35" s="14"/>
      <c r="ALF35" s="14"/>
      <c r="ALG35" s="14"/>
      <c r="ALH35" s="14"/>
      <c r="ALI35" s="14"/>
      <c r="ALJ35" s="14"/>
      <c r="ALK35" s="14"/>
      <c r="ALL35" s="14"/>
      <c r="ALM35" s="14"/>
      <c r="ALN35" s="14"/>
      <c r="ALO35" s="14"/>
      <c r="ALP35" s="14"/>
      <c r="ALQ35" s="14"/>
      <c r="ALR35" s="14"/>
      <c r="ALS35" s="14"/>
      <c r="ALT35" s="14"/>
      <c r="ALU35" s="14"/>
      <c r="ALV35" s="14"/>
      <c r="ALW35" s="14"/>
      <c r="ALX35" s="14"/>
      <c r="ALY35" s="14"/>
      <c r="ALZ35" s="14"/>
      <c r="AMA35" s="14"/>
      <c r="AMB35" s="14"/>
      <c r="AMC35" s="14"/>
      <c r="AMD35" s="14"/>
      <c r="AME35" s="14"/>
      <c r="AMF35" s="14"/>
      <c r="AMG35" s="14"/>
      <c r="AMH35" s="14"/>
      <c r="AMI35" s="14"/>
      <c r="AMJ35" s="14"/>
      <c r="AMK35" s="14"/>
      <c r="AML35" s="14"/>
      <c r="AMM35" s="14"/>
      <c r="AMN35" s="14"/>
      <c r="AMO35" s="14"/>
      <c r="AMP35" s="14"/>
      <c r="AMQ35" s="14"/>
      <c r="AMR35" s="14"/>
      <c r="AMS35" s="14"/>
      <c r="AMT35" s="14"/>
      <c r="AMU35" s="14"/>
      <c r="AMV35" s="14"/>
      <c r="AMW35" s="14"/>
      <c r="AMX35" s="14"/>
      <c r="AMY35" s="14"/>
      <c r="AMZ35" s="14"/>
      <c r="ANA35" s="14"/>
      <c r="ANB35" s="14"/>
      <c r="ANC35" s="14"/>
      <c r="AND35" s="14"/>
      <c r="ANE35" s="14"/>
      <c r="ANF35" s="14"/>
      <c r="ANG35" s="14"/>
      <c r="ANH35" s="14"/>
      <c r="ANI35" s="14"/>
      <c r="ANJ35" s="14"/>
      <c r="ANK35" s="14"/>
      <c r="ANL35" s="14"/>
      <c r="ANM35" s="14"/>
      <c r="ANN35" s="14"/>
      <c r="ANO35" s="14"/>
      <c r="ANP35" s="14"/>
      <c r="ANQ35" s="14"/>
      <c r="ANR35" s="14"/>
      <c r="ANS35" s="14"/>
      <c r="ANT35" s="14"/>
      <c r="ANU35" s="14"/>
      <c r="ANV35" s="14"/>
      <c r="ANW35" s="14"/>
      <c r="ANX35" s="14"/>
      <c r="ANY35" s="14"/>
      <c r="ANZ35" s="14"/>
      <c r="AOA35" s="14"/>
      <c r="AOB35" s="14"/>
      <c r="AOC35" s="14"/>
      <c r="AOD35" s="14"/>
      <c r="AOE35" s="14"/>
      <c r="AOF35" s="14"/>
      <c r="AOG35" s="14"/>
      <c r="AOH35" s="14"/>
      <c r="AOI35" s="14"/>
      <c r="AOJ35" s="14"/>
      <c r="AOK35" s="14"/>
      <c r="AOL35" s="14"/>
      <c r="AOM35" s="14"/>
      <c r="AON35" s="14"/>
      <c r="AOO35" s="14"/>
      <c r="AOP35" s="14"/>
      <c r="AOQ35" s="14"/>
      <c r="AOR35" s="14"/>
      <c r="AOS35" s="14"/>
      <c r="AOT35" s="14"/>
      <c r="AOU35" s="14"/>
      <c r="AOV35" s="14"/>
      <c r="AOW35" s="14"/>
      <c r="AOX35" s="14"/>
      <c r="AOY35" s="14"/>
      <c r="AOZ35" s="14"/>
      <c r="APA35" s="14"/>
      <c r="APB35" s="14"/>
      <c r="APC35" s="14"/>
      <c r="APD35" s="14"/>
      <c r="APE35" s="14"/>
      <c r="APF35" s="14"/>
      <c r="APG35" s="14"/>
      <c r="APH35" s="14"/>
      <c r="API35" s="14"/>
      <c r="APJ35" s="14"/>
      <c r="APK35" s="14"/>
      <c r="APL35" s="14"/>
      <c r="APM35" s="14"/>
      <c r="APN35" s="14"/>
      <c r="APO35" s="14"/>
      <c r="APP35" s="14"/>
      <c r="APQ35" s="14"/>
      <c r="APR35" s="14"/>
      <c r="APS35" s="14"/>
      <c r="APT35" s="14"/>
      <c r="APU35" s="14"/>
      <c r="APV35" s="14"/>
      <c r="APW35" s="14"/>
      <c r="APX35" s="14"/>
      <c r="APY35" s="14"/>
      <c r="APZ35" s="14"/>
      <c r="AQA35" s="14"/>
      <c r="AQB35" s="14"/>
      <c r="AQC35" s="14"/>
      <c r="AQD35" s="14"/>
      <c r="AQE35" s="14"/>
      <c r="AQF35" s="14"/>
      <c r="AQG35" s="14"/>
      <c r="AQH35" s="14"/>
      <c r="AQI35" s="14"/>
      <c r="AQJ35" s="14"/>
      <c r="AQK35" s="14"/>
      <c r="AQL35" s="14"/>
      <c r="AQM35" s="14"/>
      <c r="AQN35" s="14"/>
      <c r="AQO35" s="14"/>
      <c r="AQP35" s="14"/>
      <c r="AQQ35" s="14"/>
      <c r="AQR35" s="14"/>
      <c r="AQS35" s="14"/>
      <c r="AQT35" s="14"/>
      <c r="AQU35" s="14"/>
      <c r="AQV35" s="14"/>
      <c r="AQW35" s="14"/>
      <c r="AQX35" s="14"/>
      <c r="AQY35" s="14"/>
      <c r="AQZ35" s="14"/>
      <c r="ARA35" s="14"/>
      <c r="ARB35" s="14"/>
      <c r="ARC35" s="14"/>
      <c r="ARD35" s="14"/>
      <c r="ARE35" s="14"/>
      <c r="ARF35" s="14"/>
      <c r="ARG35" s="14"/>
      <c r="ARH35" s="14"/>
      <c r="ARI35" s="14"/>
      <c r="ARJ35" s="14"/>
      <c r="ARK35" s="14"/>
      <c r="ARL35" s="14"/>
      <c r="ARM35" s="14"/>
      <c r="ARN35" s="14"/>
      <c r="ARO35" s="14"/>
      <c r="ARP35" s="14"/>
      <c r="ARQ35" s="14"/>
      <c r="ARR35" s="14"/>
      <c r="ARS35" s="14"/>
      <c r="ART35" s="14"/>
      <c r="ARU35" s="14"/>
      <c r="ARV35" s="14"/>
      <c r="ARW35" s="14"/>
      <c r="ARX35" s="14"/>
      <c r="ARY35" s="14"/>
      <c r="ARZ35" s="14"/>
      <c r="ASA35" s="14"/>
      <c r="ASB35" s="14"/>
      <c r="ASC35" s="14"/>
      <c r="ASD35" s="14"/>
      <c r="ASE35" s="14"/>
      <c r="ASF35" s="14"/>
      <c r="ASG35" s="14"/>
      <c r="ASH35" s="14"/>
      <c r="ASI35" s="14"/>
      <c r="ASJ35" s="14"/>
      <c r="ASK35" s="14"/>
      <c r="ASL35" s="14"/>
      <c r="ASM35" s="14"/>
      <c r="ASN35" s="14"/>
      <c r="ASO35" s="14"/>
      <c r="ASP35" s="14"/>
      <c r="ASQ35" s="14"/>
      <c r="ASR35" s="14"/>
      <c r="ASS35" s="14"/>
      <c r="AST35" s="14"/>
      <c r="ASU35" s="14"/>
      <c r="ASV35" s="14"/>
      <c r="ASW35" s="14"/>
      <c r="ASX35" s="14"/>
      <c r="ASY35" s="14"/>
      <c r="ASZ35" s="14"/>
      <c r="ATA35" s="14"/>
      <c r="ATB35" s="14"/>
      <c r="ATC35" s="14"/>
      <c r="ATD35" s="14"/>
      <c r="ATE35" s="14"/>
      <c r="ATF35" s="14"/>
      <c r="ATG35" s="14"/>
      <c r="ATH35" s="14"/>
      <c r="ATI35" s="14"/>
      <c r="ATJ35" s="14"/>
      <c r="ATK35" s="14"/>
      <c r="ATL35" s="14"/>
      <c r="ATM35" s="14"/>
      <c r="ATN35" s="14"/>
      <c r="ATO35" s="14"/>
      <c r="ATP35" s="14"/>
      <c r="ATQ35" s="14"/>
      <c r="ATR35" s="14"/>
      <c r="ATS35" s="14"/>
      <c r="ATT35" s="14"/>
      <c r="ATU35" s="14"/>
      <c r="ATV35" s="14"/>
      <c r="ATW35" s="14"/>
      <c r="ATX35" s="14"/>
      <c r="ATY35" s="14"/>
      <c r="ATZ35" s="14"/>
      <c r="AUA35" s="14"/>
      <c r="AUB35" s="14"/>
      <c r="AUC35" s="14"/>
      <c r="AUD35" s="14"/>
      <c r="AUE35" s="14"/>
      <c r="AUF35" s="14"/>
      <c r="AUG35" s="14"/>
      <c r="AUH35" s="14"/>
      <c r="AUI35" s="14"/>
      <c r="AUJ35" s="14"/>
      <c r="AUK35" s="14"/>
      <c r="AUL35" s="14"/>
      <c r="AUM35" s="14"/>
      <c r="AUN35" s="14"/>
      <c r="AUO35" s="14"/>
      <c r="AUP35" s="14"/>
      <c r="AUQ35" s="14"/>
      <c r="AUR35" s="14"/>
      <c r="AUS35" s="14"/>
      <c r="AUT35" s="14"/>
      <c r="AUU35" s="14"/>
      <c r="AUV35" s="14"/>
      <c r="AUW35" s="14"/>
      <c r="AUX35" s="14"/>
      <c r="AUY35" s="14"/>
      <c r="AUZ35" s="14"/>
      <c r="AVA35" s="14"/>
      <c r="AVB35" s="14"/>
      <c r="AVC35" s="14"/>
      <c r="AVD35" s="14"/>
      <c r="AVE35" s="14"/>
      <c r="AVF35" s="14"/>
      <c r="AVG35" s="14"/>
      <c r="AVH35" s="14"/>
      <c r="AVI35" s="14"/>
      <c r="AVJ35" s="14"/>
      <c r="AVK35" s="14"/>
      <c r="AVL35" s="14"/>
      <c r="AVM35" s="14"/>
      <c r="AVN35" s="14"/>
      <c r="AVO35" s="14"/>
      <c r="AVP35" s="14"/>
      <c r="AVQ35" s="14"/>
      <c r="AVR35" s="14"/>
      <c r="AVS35" s="14"/>
      <c r="AVT35" s="14"/>
      <c r="AVU35" s="14"/>
      <c r="AVV35" s="14"/>
      <c r="AVW35" s="14"/>
      <c r="AVX35" s="14"/>
      <c r="AVY35" s="14"/>
      <c r="AVZ35" s="14"/>
      <c r="AWA35" s="14"/>
      <c r="AWB35" s="14"/>
      <c r="AWC35" s="14"/>
      <c r="AWD35" s="14"/>
      <c r="AWE35" s="14"/>
      <c r="AWF35" s="14"/>
      <c r="AWG35" s="14"/>
      <c r="AWH35" s="14"/>
      <c r="AWI35" s="14"/>
      <c r="AWJ35" s="14"/>
      <c r="AWK35" s="14"/>
      <c r="AWL35" s="14"/>
      <c r="AWM35" s="14"/>
      <c r="AWN35" s="14"/>
      <c r="AWO35" s="14"/>
      <c r="AWP35" s="14"/>
      <c r="AWQ35" s="14"/>
      <c r="AWR35" s="14"/>
      <c r="AWS35" s="14"/>
      <c r="AWT35" s="14"/>
      <c r="AWU35" s="14"/>
      <c r="AWV35" s="14"/>
      <c r="AWW35" s="14"/>
      <c r="AWX35" s="14"/>
      <c r="AWY35" s="14"/>
      <c r="AWZ35" s="14"/>
      <c r="AXA35" s="14"/>
      <c r="AXB35" s="14"/>
      <c r="AXC35" s="14"/>
      <c r="AXD35" s="14"/>
      <c r="AXE35" s="14"/>
      <c r="AXF35" s="14"/>
      <c r="AXG35" s="14"/>
      <c r="AXH35" s="14"/>
      <c r="AXI35" s="14"/>
      <c r="AXJ35" s="14"/>
      <c r="AXK35" s="14"/>
      <c r="AXL35" s="14"/>
      <c r="AXM35" s="14"/>
      <c r="AXN35" s="14"/>
      <c r="AXO35" s="14"/>
      <c r="AXP35" s="14"/>
      <c r="AXQ35" s="14"/>
      <c r="AXR35" s="14"/>
      <c r="AXS35" s="14"/>
      <c r="AXT35" s="14"/>
      <c r="AXU35" s="14"/>
      <c r="AXV35" s="14"/>
      <c r="AXW35" s="14"/>
      <c r="AXX35" s="14"/>
      <c r="AXY35" s="14"/>
      <c r="AXZ35" s="14"/>
      <c r="AYA35" s="14"/>
      <c r="AYB35" s="14"/>
      <c r="AYC35" s="14"/>
      <c r="AYD35" s="14"/>
      <c r="AYE35" s="14"/>
      <c r="AYF35" s="14"/>
      <c r="AYG35" s="14"/>
      <c r="AYH35" s="14"/>
      <c r="AYI35" s="14"/>
      <c r="AYJ35" s="14"/>
      <c r="AYK35" s="14"/>
      <c r="AYL35" s="14"/>
      <c r="AYM35" s="14"/>
      <c r="AYN35" s="14"/>
      <c r="AYO35" s="14"/>
      <c r="AYP35" s="14"/>
      <c r="AYQ35" s="14"/>
      <c r="AYR35" s="14"/>
      <c r="AYS35" s="14"/>
      <c r="AYT35" s="14"/>
      <c r="AYU35" s="14"/>
      <c r="AYV35" s="14"/>
      <c r="AYW35" s="14"/>
      <c r="AYX35" s="14"/>
      <c r="AYY35" s="14"/>
      <c r="AYZ35" s="14"/>
      <c r="AZA35" s="14"/>
      <c r="AZB35" s="14"/>
      <c r="AZC35" s="14"/>
      <c r="AZD35" s="14"/>
      <c r="AZE35" s="14"/>
      <c r="AZF35" s="14"/>
      <c r="AZG35" s="14"/>
      <c r="AZH35" s="14"/>
      <c r="AZI35" s="14"/>
      <c r="AZJ35" s="14"/>
      <c r="AZK35" s="14"/>
      <c r="AZL35" s="14"/>
      <c r="AZM35" s="14"/>
      <c r="AZN35" s="14"/>
      <c r="AZO35" s="14"/>
      <c r="AZP35" s="14"/>
      <c r="AZQ35" s="14"/>
      <c r="AZR35" s="14"/>
      <c r="AZS35" s="14"/>
      <c r="AZT35" s="14"/>
      <c r="AZU35" s="14"/>
      <c r="AZV35" s="14"/>
      <c r="AZW35" s="14"/>
      <c r="AZX35" s="14"/>
      <c r="AZY35" s="14"/>
      <c r="AZZ35" s="14"/>
      <c r="BAA35" s="14"/>
      <c r="BAB35" s="14"/>
      <c r="BAC35" s="14"/>
      <c r="BAD35" s="14"/>
      <c r="BAE35" s="14"/>
      <c r="BAF35" s="14"/>
      <c r="BAG35" s="14"/>
      <c r="BAH35" s="14"/>
      <c r="BAI35" s="14"/>
      <c r="BAJ35" s="14"/>
      <c r="BAK35" s="14"/>
      <c r="BAL35" s="14"/>
      <c r="BAM35" s="14"/>
      <c r="BAN35" s="14"/>
      <c r="BAO35" s="14"/>
      <c r="BAP35" s="14"/>
      <c r="BAQ35" s="14"/>
      <c r="BAR35" s="14"/>
      <c r="BAS35" s="14"/>
      <c r="BAT35" s="14"/>
      <c r="BAU35" s="14"/>
      <c r="BAV35" s="14"/>
      <c r="BAW35" s="14"/>
      <c r="BAX35" s="14"/>
      <c r="BAY35" s="14"/>
      <c r="BAZ35" s="14"/>
      <c r="BBA35" s="14"/>
      <c r="BBB35" s="14"/>
      <c r="BBC35" s="14"/>
      <c r="BBD35" s="14"/>
      <c r="BBE35" s="14"/>
      <c r="BBF35" s="14"/>
      <c r="BBG35" s="14"/>
      <c r="BBH35" s="14"/>
      <c r="BBI35" s="14"/>
      <c r="BBJ35" s="14"/>
      <c r="BBK35" s="14"/>
      <c r="BBL35" s="14"/>
      <c r="BBM35" s="14"/>
      <c r="BBN35" s="14"/>
      <c r="BBO35" s="14"/>
      <c r="BBP35" s="14"/>
      <c r="BBQ35" s="14"/>
      <c r="BBR35" s="14"/>
      <c r="BBS35" s="14"/>
      <c r="BBT35" s="14"/>
      <c r="BBU35" s="14"/>
      <c r="BBV35" s="14"/>
      <c r="BBW35" s="14"/>
      <c r="BBX35" s="14"/>
      <c r="BBY35" s="14"/>
      <c r="BBZ35" s="14"/>
      <c r="BCA35" s="14"/>
      <c r="BCB35" s="14"/>
      <c r="BCC35" s="14"/>
      <c r="BCD35" s="14"/>
      <c r="BCE35" s="14"/>
      <c r="BCF35" s="14"/>
      <c r="BCG35" s="14"/>
      <c r="BCH35" s="14"/>
      <c r="BCI35" s="14"/>
      <c r="BCJ35" s="14"/>
      <c r="BCK35" s="14"/>
      <c r="BCL35" s="14"/>
      <c r="BCM35" s="14"/>
      <c r="BCN35" s="14"/>
      <c r="BCO35" s="14"/>
      <c r="BCP35" s="14"/>
      <c r="BCQ35" s="14"/>
      <c r="BCR35" s="14"/>
      <c r="BCS35" s="14"/>
      <c r="BCT35" s="14"/>
      <c r="BCU35" s="14"/>
      <c r="BCV35" s="14"/>
      <c r="BCW35" s="14"/>
      <c r="BCX35" s="14"/>
      <c r="BCY35" s="14"/>
      <c r="BCZ35" s="14"/>
      <c r="BDA35" s="14"/>
      <c r="BDB35" s="14"/>
      <c r="BDC35" s="14"/>
      <c r="BDD35" s="14"/>
      <c r="BDE35" s="14"/>
      <c r="BDF35" s="14"/>
      <c r="BDG35" s="14"/>
      <c r="BDH35" s="14"/>
      <c r="BDI35" s="14"/>
      <c r="BDJ35" s="14"/>
      <c r="BDK35" s="14"/>
      <c r="BDL35" s="14"/>
      <c r="BDM35" s="14"/>
      <c r="BDN35" s="14"/>
      <c r="BDO35" s="14"/>
      <c r="BDP35" s="14"/>
      <c r="BDQ35" s="14"/>
      <c r="BDR35" s="14"/>
      <c r="BDS35" s="14"/>
      <c r="BDT35" s="14"/>
      <c r="BDU35" s="14"/>
      <c r="BDV35" s="14"/>
      <c r="BDW35" s="14"/>
      <c r="BDX35" s="14"/>
      <c r="BDY35" s="14"/>
      <c r="BDZ35" s="14"/>
      <c r="BEA35" s="14"/>
      <c r="BEB35" s="14"/>
      <c r="BEC35" s="14"/>
      <c r="BED35" s="14"/>
      <c r="BEE35" s="14"/>
      <c r="BEF35" s="14"/>
      <c r="BEG35" s="14"/>
      <c r="BEH35" s="14"/>
      <c r="BEI35" s="14"/>
      <c r="BEJ35" s="14"/>
      <c r="BEK35" s="14"/>
      <c r="BEL35" s="14"/>
      <c r="BEM35" s="14"/>
      <c r="BEN35" s="14"/>
      <c r="BEO35" s="14"/>
      <c r="BEP35" s="14"/>
      <c r="BEQ35" s="14"/>
      <c r="BER35" s="14"/>
      <c r="BES35" s="14"/>
      <c r="BET35" s="14"/>
      <c r="BEU35" s="14"/>
      <c r="BEV35" s="14"/>
      <c r="BEW35" s="14"/>
      <c r="BEX35" s="14"/>
      <c r="BEY35" s="14"/>
      <c r="BEZ35" s="14"/>
      <c r="BFA35" s="14"/>
      <c r="BFB35" s="14"/>
      <c r="BFC35" s="14"/>
      <c r="BFD35" s="14"/>
      <c r="BFE35" s="14"/>
      <c r="BFF35" s="14"/>
      <c r="BFG35" s="14"/>
      <c r="BFH35" s="14"/>
      <c r="BFI35" s="14"/>
      <c r="BFJ35" s="14"/>
      <c r="BFK35" s="14"/>
      <c r="BFL35" s="14"/>
      <c r="BFM35" s="14"/>
      <c r="BFN35" s="14"/>
      <c r="BFO35" s="14"/>
      <c r="BFP35" s="14"/>
      <c r="BFQ35" s="14"/>
      <c r="BFR35" s="14"/>
      <c r="BFS35" s="14"/>
      <c r="BFT35" s="14"/>
      <c r="BFU35" s="14"/>
      <c r="BFV35" s="14"/>
      <c r="BFW35" s="14"/>
      <c r="BFX35" s="14"/>
      <c r="BFY35" s="14"/>
      <c r="BFZ35" s="14"/>
      <c r="BGA35" s="14"/>
      <c r="BGB35" s="14"/>
      <c r="BGC35" s="14"/>
      <c r="BGD35" s="14"/>
      <c r="BGE35" s="14"/>
      <c r="BGF35" s="14"/>
      <c r="BGG35" s="14"/>
      <c r="BGH35" s="14"/>
      <c r="BGI35" s="14"/>
      <c r="BGJ35" s="14"/>
      <c r="BGK35" s="14"/>
      <c r="BGL35" s="14"/>
      <c r="BGM35" s="14"/>
      <c r="BGN35" s="14"/>
      <c r="BGO35" s="14"/>
      <c r="BGP35" s="14"/>
      <c r="BGQ35" s="14"/>
      <c r="BGR35" s="14"/>
      <c r="BGS35" s="14"/>
      <c r="BGT35" s="14"/>
      <c r="BGU35" s="14"/>
      <c r="BGV35" s="14"/>
      <c r="BGW35" s="14"/>
      <c r="BGX35" s="14"/>
      <c r="BGY35" s="14"/>
      <c r="BGZ35" s="14"/>
      <c r="BHA35" s="14"/>
      <c r="BHB35" s="14"/>
      <c r="BHC35" s="14"/>
      <c r="BHD35" s="14"/>
      <c r="BHE35" s="14"/>
      <c r="BHF35" s="14"/>
      <c r="BHG35" s="14"/>
      <c r="BHH35" s="14"/>
      <c r="BHI35" s="14"/>
      <c r="BHJ35" s="14"/>
      <c r="BHK35" s="14"/>
      <c r="BHL35" s="14"/>
      <c r="BHM35" s="14"/>
      <c r="BHN35" s="14"/>
      <c r="BHO35" s="14"/>
      <c r="BHP35" s="14"/>
      <c r="BHQ35" s="14"/>
      <c r="BHR35" s="14"/>
      <c r="BHS35" s="14"/>
      <c r="BHT35" s="14"/>
      <c r="BHU35" s="14"/>
      <c r="BHV35" s="14"/>
      <c r="BHW35" s="14"/>
      <c r="BHX35" s="14"/>
      <c r="BHY35" s="14"/>
      <c r="BHZ35" s="14"/>
      <c r="BIA35" s="14"/>
      <c r="BIB35" s="14"/>
      <c r="BIC35" s="14"/>
      <c r="BID35" s="14"/>
      <c r="BIE35" s="14"/>
      <c r="BIF35" s="14"/>
      <c r="BIG35" s="14"/>
      <c r="BIH35" s="14"/>
      <c r="BII35" s="14"/>
      <c r="BIJ35" s="14"/>
      <c r="BIK35" s="14"/>
      <c r="BIL35" s="14"/>
      <c r="BIM35" s="14"/>
      <c r="BIN35" s="14"/>
      <c r="BIO35" s="14"/>
      <c r="BIP35" s="14"/>
      <c r="BIQ35" s="14"/>
      <c r="BIR35" s="14"/>
      <c r="BIS35" s="14"/>
      <c r="BIT35" s="14"/>
      <c r="BIU35" s="14"/>
      <c r="BIV35" s="14"/>
      <c r="BIW35" s="14"/>
      <c r="BIX35" s="14"/>
      <c r="BIY35" s="14"/>
      <c r="BIZ35" s="14"/>
      <c r="BJA35" s="14"/>
      <c r="BJB35" s="14"/>
      <c r="BJC35" s="14"/>
      <c r="BJD35" s="14"/>
      <c r="BJE35" s="14"/>
      <c r="BJF35" s="14"/>
      <c r="BJG35" s="14"/>
      <c r="BJH35" s="14"/>
      <c r="BJI35" s="14"/>
      <c r="BJJ35" s="14"/>
      <c r="BJK35" s="14"/>
      <c r="BJL35" s="14"/>
      <c r="BJM35" s="14"/>
      <c r="BJN35" s="14"/>
      <c r="BJO35" s="14"/>
      <c r="BJP35" s="14"/>
      <c r="BJQ35" s="14"/>
      <c r="BJR35" s="14"/>
      <c r="BJS35" s="14"/>
      <c r="BJT35" s="14"/>
      <c r="BJU35" s="14"/>
      <c r="BJV35" s="14"/>
      <c r="BJW35" s="14"/>
      <c r="BJX35" s="14"/>
      <c r="BJY35" s="14"/>
      <c r="BJZ35" s="14"/>
      <c r="BKA35" s="14"/>
      <c r="BKB35" s="14"/>
      <c r="BKC35" s="14"/>
      <c r="BKD35" s="14"/>
      <c r="BKE35" s="14"/>
      <c r="BKF35" s="14"/>
      <c r="BKG35" s="14"/>
      <c r="BKH35" s="14"/>
      <c r="BKI35" s="14"/>
      <c r="BKJ35" s="14"/>
      <c r="BKK35" s="14"/>
      <c r="BKL35" s="14"/>
      <c r="BKM35" s="14"/>
      <c r="BKN35" s="14"/>
      <c r="BKO35" s="14"/>
      <c r="BKP35" s="14"/>
      <c r="BKQ35" s="14"/>
      <c r="BKR35" s="14"/>
      <c r="BKS35" s="14"/>
      <c r="BKT35" s="14"/>
      <c r="BKU35" s="14"/>
      <c r="BKV35" s="14"/>
      <c r="BKW35" s="14"/>
      <c r="BKX35" s="14"/>
      <c r="BKY35" s="14"/>
      <c r="BKZ35" s="14"/>
      <c r="BLA35" s="14"/>
      <c r="BLB35" s="14"/>
      <c r="BLC35" s="14"/>
      <c r="BLD35" s="14"/>
      <c r="BLE35" s="14"/>
      <c r="BLF35" s="14"/>
      <c r="BLG35" s="14"/>
      <c r="BLH35" s="14"/>
      <c r="BLI35" s="14"/>
      <c r="BLJ35" s="14"/>
      <c r="BLK35" s="14"/>
      <c r="BLL35" s="14"/>
      <c r="BLM35" s="14"/>
      <c r="BLN35" s="14"/>
      <c r="BLO35" s="14"/>
      <c r="BLP35" s="14"/>
      <c r="BLQ35" s="14"/>
      <c r="BLR35" s="14"/>
      <c r="BLS35" s="14"/>
      <c r="BLT35" s="14"/>
      <c r="BLU35" s="14"/>
      <c r="BLV35" s="14"/>
      <c r="BLW35" s="14"/>
      <c r="BLX35" s="14"/>
      <c r="BLY35" s="14"/>
      <c r="BLZ35" s="14"/>
      <c r="BMA35" s="14"/>
      <c r="BMB35" s="14"/>
      <c r="BMC35" s="14"/>
      <c r="BMD35" s="14"/>
      <c r="BME35" s="14"/>
      <c r="BMF35" s="14"/>
      <c r="BMG35" s="14"/>
      <c r="BMH35" s="14"/>
      <c r="BMI35" s="14"/>
      <c r="BMJ35" s="14"/>
      <c r="BMK35" s="14"/>
      <c r="BML35" s="14"/>
      <c r="BMM35" s="14"/>
      <c r="BMN35" s="14"/>
      <c r="BMO35" s="14"/>
      <c r="BMP35" s="14"/>
      <c r="BMQ35" s="14"/>
      <c r="BMR35" s="14"/>
      <c r="BMS35" s="14"/>
      <c r="BMT35" s="14"/>
      <c r="BMU35" s="14"/>
      <c r="BMV35" s="14"/>
      <c r="BMW35" s="14"/>
      <c r="BMX35" s="14"/>
      <c r="BMY35" s="14"/>
      <c r="BMZ35" s="14"/>
      <c r="BNA35" s="14"/>
      <c r="BNB35" s="14"/>
      <c r="BNC35" s="14"/>
      <c r="BND35" s="14"/>
      <c r="BNE35" s="14"/>
      <c r="BNF35" s="14"/>
      <c r="BNG35" s="14"/>
      <c r="BNH35" s="14"/>
      <c r="BNI35" s="14"/>
      <c r="BNJ35" s="14"/>
      <c r="BNK35" s="14"/>
      <c r="BNL35" s="14"/>
      <c r="BNM35" s="14"/>
      <c r="BNN35" s="14"/>
      <c r="BNO35" s="14"/>
      <c r="BNP35" s="14"/>
      <c r="BNQ35" s="14"/>
      <c r="BNR35" s="14"/>
      <c r="BNS35" s="14"/>
      <c r="BNT35" s="14"/>
      <c r="BNU35" s="14"/>
      <c r="BNV35" s="14"/>
      <c r="BNW35" s="14"/>
      <c r="BNX35" s="14"/>
      <c r="BNY35" s="14"/>
      <c r="BNZ35" s="14"/>
      <c r="BOA35" s="14"/>
      <c r="BOB35" s="14"/>
      <c r="BOC35" s="14"/>
      <c r="BOD35" s="14"/>
      <c r="BOE35" s="14"/>
      <c r="BOF35" s="14"/>
      <c r="BOG35" s="14"/>
      <c r="BOH35" s="14"/>
      <c r="BOI35" s="14"/>
      <c r="BOJ35" s="14"/>
      <c r="BOK35" s="14"/>
      <c r="BOL35" s="14"/>
      <c r="BOM35" s="14"/>
      <c r="BON35" s="14"/>
      <c r="BOO35" s="14"/>
      <c r="BOP35" s="14"/>
      <c r="BOQ35" s="14"/>
      <c r="BOR35" s="14"/>
      <c r="BOS35" s="14"/>
      <c r="BOT35" s="14"/>
      <c r="BOU35" s="14"/>
      <c r="BOV35" s="14"/>
      <c r="BOW35" s="14"/>
      <c r="BOX35" s="14"/>
      <c r="BOY35" s="14"/>
      <c r="BOZ35" s="14"/>
      <c r="BPA35" s="14"/>
      <c r="BPB35" s="14"/>
      <c r="BPC35" s="14"/>
      <c r="BPD35" s="14"/>
      <c r="BPE35" s="14"/>
      <c r="BPF35" s="14"/>
      <c r="BPG35" s="14"/>
      <c r="BPH35" s="14"/>
      <c r="BPI35" s="14"/>
      <c r="BPJ35" s="14"/>
      <c r="BPK35" s="14"/>
      <c r="BPL35" s="14"/>
      <c r="BPM35" s="14"/>
      <c r="BPN35" s="14"/>
      <c r="BPO35" s="14"/>
      <c r="BPP35" s="14"/>
      <c r="BPQ35" s="14"/>
      <c r="BPR35" s="14"/>
      <c r="BPS35" s="14"/>
      <c r="BPT35" s="14"/>
      <c r="BPU35" s="14"/>
      <c r="BPV35" s="14"/>
      <c r="BPW35" s="14"/>
      <c r="BPX35" s="14"/>
      <c r="BPY35" s="14"/>
      <c r="BPZ35" s="14"/>
      <c r="BQA35" s="14"/>
      <c r="BQB35" s="14"/>
      <c r="BQC35" s="14"/>
      <c r="BQD35" s="14"/>
      <c r="BQE35" s="14"/>
      <c r="BQF35" s="14"/>
      <c r="BQG35" s="14"/>
      <c r="BQH35" s="14"/>
      <c r="BQI35" s="14"/>
      <c r="BQJ35" s="14"/>
      <c r="BQK35" s="14"/>
      <c r="BQL35" s="14"/>
      <c r="BQM35" s="14"/>
      <c r="BQN35" s="14"/>
      <c r="BQO35" s="14"/>
      <c r="BQP35" s="14"/>
      <c r="BQQ35" s="14"/>
      <c r="BQR35" s="14"/>
      <c r="BQS35" s="14"/>
      <c r="BQT35" s="14"/>
      <c r="BQU35" s="14"/>
      <c r="BQV35" s="14"/>
      <c r="BQW35" s="14"/>
      <c r="BQX35" s="14"/>
      <c r="BQY35" s="14"/>
      <c r="BQZ35" s="14"/>
      <c r="BRA35" s="14"/>
      <c r="BRB35" s="14"/>
      <c r="BRC35" s="14"/>
      <c r="BRD35" s="14"/>
      <c r="BRE35" s="14"/>
      <c r="BRF35" s="14"/>
      <c r="BRG35" s="14"/>
      <c r="BRH35" s="14"/>
      <c r="BRI35" s="14"/>
      <c r="BRJ35" s="14"/>
      <c r="BRK35" s="14"/>
      <c r="BRL35" s="14"/>
      <c r="BRM35" s="14"/>
      <c r="BRN35" s="14"/>
      <c r="BRO35" s="14"/>
      <c r="BRP35" s="14"/>
      <c r="BRQ35" s="14"/>
      <c r="BRR35" s="14"/>
      <c r="BRS35" s="14"/>
      <c r="BRT35" s="14"/>
      <c r="BRU35" s="14"/>
      <c r="BRV35" s="14"/>
      <c r="BRW35" s="14"/>
      <c r="BRX35" s="14"/>
      <c r="BRY35" s="14"/>
      <c r="BRZ35" s="14"/>
      <c r="BSA35" s="14"/>
      <c r="BSB35" s="14"/>
      <c r="BSC35" s="14"/>
      <c r="BSD35" s="14"/>
      <c r="BSE35" s="14"/>
      <c r="BSF35" s="14"/>
      <c r="BSG35" s="14"/>
      <c r="BSH35" s="14"/>
      <c r="BSI35" s="14"/>
      <c r="BSJ35" s="14"/>
      <c r="BSK35" s="14"/>
      <c r="BSL35" s="14"/>
      <c r="BSM35" s="14"/>
      <c r="BSN35" s="14"/>
      <c r="BSO35" s="14"/>
      <c r="BSP35" s="14"/>
      <c r="BSQ35" s="14"/>
      <c r="BSR35" s="14"/>
      <c r="BSS35" s="14"/>
      <c r="BST35" s="14"/>
      <c r="BSU35" s="14"/>
      <c r="BSV35" s="14"/>
      <c r="BSW35" s="14"/>
      <c r="BSX35" s="14"/>
      <c r="BSY35" s="14"/>
      <c r="BSZ35" s="14"/>
      <c r="BTA35" s="14"/>
      <c r="BTB35" s="14"/>
      <c r="BTC35" s="14"/>
      <c r="BTD35" s="14"/>
      <c r="BTE35" s="14"/>
      <c r="BTF35" s="14"/>
      <c r="BTG35" s="14"/>
      <c r="BTH35" s="14"/>
      <c r="BTI35" s="14"/>
      <c r="BTJ35" s="14"/>
      <c r="BTK35" s="14"/>
      <c r="BTL35" s="14"/>
      <c r="BTM35" s="14"/>
      <c r="BTN35" s="14"/>
      <c r="BTO35" s="14"/>
      <c r="BTP35" s="14"/>
      <c r="BTQ35" s="14"/>
      <c r="BTR35" s="14"/>
      <c r="BTS35" s="14"/>
      <c r="BTT35" s="14"/>
      <c r="BTU35" s="14"/>
      <c r="BTV35" s="14"/>
      <c r="BTW35" s="14"/>
      <c r="BTX35" s="14"/>
      <c r="BTY35" s="14"/>
      <c r="BTZ35" s="14"/>
      <c r="BUA35" s="14"/>
      <c r="BUB35" s="14"/>
      <c r="BUC35" s="14"/>
      <c r="BUD35" s="14"/>
      <c r="BUE35" s="14"/>
      <c r="BUF35" s="14"/>
      <c r="BUG35" s="14"/>
      <c r="BUH35" s="14"/>
      <c r="BUI35" s="14"/>
      <c r="BUJ35" s="14"/>
      <c r="BUK35" s="14"/>
      <c r="BUL35" s="14"/>
      <c r="BUM35" s="14"/>
      <c r="BUN35" s="14"/>
      <c r="BUO35" s="14"/>
      <c r="BUP35" s="14"/>
      <c r="BUQ35" s="14"/>
      <c r="BUR35" s="14"/>
      <c r="BUS35" s="14"/>
      <c r="BUT35" s="14"/>
      <c r="BUU35" s="14"/>
      <c r="BUV35" s="14"/>
      <c r="BUW35" s="14"/>
      <c r="BUX35" s="14"/>
      <c r="BUY35" s="14"/>
      <c r="BUZ35" s="14"/>
      <c r="BVA35" s="14"/>
      <c r="BVB35" s="14"/>
      <c r="BVC35" s="14"/>
      <c r="BVD35" s="14"/>
      <c r="BVE35" s="14"/>
      <c r="BVF35" s="14"/>
      <c r="BVG35" s="14"/>
      <c r="BVH35" s="14"/>
      <c r="BVI35" s="14"/>
      <c r="BVJ35" s="14"/>
      <c r="BVK35" s="14"/>
      <c r="BVL35" s="14"/>
      <c r="BVM35" s="14"/>
      <c r="BVN35" s="14"/>
      <c r="BVO35" s="14"/>
      <c r="BVP35" s="14"/>
      <c r="BVQ35" s="14"/>
      <c r="BVR35" s="14"/>
      <c r="BVS35" s="14"/>
      <c r="BVT35" s="14"/>
      <c r="BVU35" s="14"/>
      <c r="BVV35" s="14"/>
      <c r="BVW35" s="14"/>
      <c r="BVX35" s="14"/>
      <c r="BVY35" s="14"/>
      <c r="BVZ35" s="14"/>
      <c r="BWA35" s="14"/>
      <c r="BWB35" s="14"/>
      <c r="BWC35" s="14"/>
      <c r="BWD35" s="14"/>
      <c r="BWE35" s="14"/>
      <c r="BWF35" s="14"/>
      <c r="BWG35" s="14"/>
      <c r="BWH35" s="14"/>
      <c r="BWI35" s="14"/>
      <c r="BWJ35" s="14"/>
      <c r="BWK35" s="14"/>
      <c r="BWL35" s="14"/>
      <c r="BWM35" s="14"/>
      <c r="BWN35" s="14"/>
      <c r="BWO35" s="14"/>
      <c r="BWP35" s="14"/>
      <c r="BWQ35" s="14"/>
      <c r="BWR35" s="14"/>
      <c r="BWS35" s="14"/>
      <c r="BWT35" s="14"/>
      <c r="BWU35" s="14"/>
      <c r="BWV35" s="14"/>
      <c r="BWW35" s="14"/>
      <c r="BWX35" s="14"/>
      <c r="BWY35" s="14"/>
      <c r="BWZ35" s="14"/>
      <c r="BXA35" s="14"/>
      <c r="BXB35" s="14"/>
      <c r="BXC35" s="14"/>
      <c r="BXD35" s="14"/>
      <c r="BXE35" s="14"/>
      <c r="BXF35" s="14"/>
      <c r="BXG35" s="14"/>
      <c r="BXH35" s="14"/>
      <c r="BXI35" s="14"/>
      <c r="BXJ35" s="14"/>
      <c r="BXK35" s="14"/>
      <c r="BXL35" s="14"/>
      <c r="BXM35" s="14"/>
      <c r="BXN35" s="14"/>
      <c r="BXO35" s="14"/>
      <c r="BXP35" s="14"/>
      <c r="BXQ35" s="14"/>
      <c r="BXR35" s="14"/>
      <c r="BXS35" s="14"/>
      <c r="BXT35" s="14"/>
      <c r="BXU35" s="14"/>
      <c r="BXV35" s="14"/>
      <c r="BXW35" s="14"/>
      <c r="BXX35" s="14"/>
      <c r="BXY35" s="14"/>
      <c r="BXZ35" s="14"/>
      <c r="BYA35" s="14"/>
      <c r="BYB35" s="14"/>
      <c r="BYC35" s="14"/>
      <c r="BYD35" s="14"/>
      <c r="BYE35" s="14"/>
      <c r="BYF35" s="14"/>
      <c r="BYG35" s="14"/>
      <c r="BYH35" s="14"/>
      <c r="BYI35" s="14"/>
      <c r="BYJ35" s="14"/>
      <c r="BYK35" s="14"/>
      <c r="BYL35" s="14"/>
      <c r="BYM35" s="14"/>
      <c r="BYN35" s="14"/>
      <c r="BYO35" s="14"/>
      <c r="BYP35" s="14"/>
      <c r="BYQ35" s="14"/>
      <c r="BYR35" s="14"/>
      <c r="BYS35" s="14"/>
      <c r="BYT35" s="14"/>
      <c r="BYU35" s="14"/>
      <c r="BYV35" s="14"/>
      <c r="BYW35" s="14"/>
      <c r="BYX35" s="14"/>
      <c r="BYY35" s="14"/>
      <c r="BYZ35" s="14"/>
      <c r="BZA35" s="14"/>
      <c r="BZB35" s="14"/>
      <c r="BZC35" s="14"/>
      <c r="BZD35" s="14"/>
      <c r="BZE35" s="14"/>
      <c r="BZF35" s="14"/>
      <c r="BZG35" s="14"/>
      <c r="BZH35" s="14"/>
      <c r="BZI35" s="14"/>
      <c r="BZJ35" s="14"/>
      <c r="BZK35" s="14"/>
      <c r="BZL35" s="14"/>
      <c r="BZM35" s="14"/>
      <c r="BZN35" s="14"/>
      <c r="BZO35" s="14"/>
      <c r="BZP35" s="14"/>
      <c r="BZQ35" s="14"/>
      <c r="BZR35" s="14"/>
      <c r="BZS35" s="14"/>
      <c r="BZT35" s="14"/>
      <c r="BZU35" s="14"/>
      <c r="BZV35" s="14"/>
      <c r="BZW35" s="14"/>
      <c r="BZX35" s="14"/>
      <c r="BZY35" s="14"/>
      <c r="BZZ35" s="14"/>
      <c r="CAA35" s="14"/>
      <c r="CAB35" s="14"/>
      <c r="CAC35" s="14"/>
      <c r="CAD35" s="14"/>
      <c r="CAE35" s="14"/>
      <c r="CAF35" s="14"/>
      <c r="CAG35" s="14"/>
      <c r="CAH35" s="14"/>
      <c r="CAI35" s="14"/>
      <c r="CAJ35" s="14"/>
      <c r="CAK35" s="14"/>
      <c r="CAL35" s="14"/>
      <c r="CAM35" s="14"/>
      <c r="CAN35" s="14"/>
      <c r="CAO35" s="14"/>
      <c r="CAP35" s="14"/>
      <c r="CAQ35" s="14"/>
      <c r="CAR35" s="14"/>
      <c r="CAS35" s="14"/>
      <c r="CAT35" s="14"/>
      <c r="CAU35" s="14"/>
      <c r="CAV35" s="14"/>
      <c r="CAW35" s="14"/>
      <c r="CAX35" s="14"/>
      <c r="CAY35" s="14"/>
      <c r="CAZ35" s="14"/>
      <c r="CBA35" s="14"/>
      <c r="CBB35" s="14"/>
      <c r="CBC35" s="14"/>
      <c r="CBD35" s="14"/>
      <c r="CBE35" s="14"/>
      <c r="CBF35" s="14"/>
      <c r="CBG35" s="14"/>
      <c r="CBH35" s="14"/>
      <c r="CBI35" s="14"/>
      <c r="CBJ35" s="14"/>
      <c r="CBK35" s="14"/>
      <c r="CBL35" s="14"/>
      <c r="CBM35" s="14"/>
      <c r="CBN35" s="14"/>
      <c r="CBO35" s="14"/>
      <c r="CBP35" s="14"/>
      <c r="CBQ35" s="14"/>
      <c r="CBR35" s="14"/>
      <c r="CBS35" s="14"/>
      <c r="CBT35" s="14"/>
      <c r="CBU35" s="14"/>
      <c r="CBV35" s="14"/>
      <c r="CBW35" s="14"/>
      <c r="CBX35" s="14"/>
      <c r="CBY35" s="14"/>
      <c r="CBZ35" s="14"/>
      <c r="CCA35" s="14"/>
      <c r="CCB35" s="14"/>
      <c r="CCC35" s="14"/>
      <c r="CCD35" s="14"/>
      <c r="CCE35" s="14"/>
      <c r="CCF35" s="14"/>
      <c r="CCG35" s="14"/>
      <c r="CCH35" s="14"/>
      <c r="CCI35" s="14"/>
      <c r="CCJ35" s="14"/>
      <c r="CCK35" s="14"/>
      <c r="CCL35" s="14"/>
      <c r="CCM35" s="14"/>
      <c r="CCN35" s="14"/>
      <c r="CCO35" s="14"/>
      <c r="CCP35" s="14"/>
      <c r="CCQ35" s="14"/>
      <c r="CCR35" s="14"/>
      <c r="CCS35" s="14"/>
      <c r="CCT35" s="14"/>
      <c r="CCU35" s="14"/>
      <c r="CCV35" s="14"/>
      <c r="CCW35" s="14"/>
      <c r="CCX35" s="14"/>
      <c r="CCY35" s="14"/>
      <c r="CCZ35" s="14"/>
      <c r="CDA35" s="14"/>
      <c r="CDB35" s="14"/>
      <c r="CDC35" s="14"/>
      <c r="CDD35" s="14"/>
      <c r="CDE35" s="14"/>
      <c r="CDF35" s="14"/>
      <c r="CDG35" s="14"/>
      <c r="CDH35" s="14"/>
      <c r="CDI35" s="14"/>
      <c r="CDJ35" s="14"/>
      <c r="CDK35" s="14"/>
      <c r="CDL35" s="14"/>
      <c r="CDM35" s="14"/>
      <c r="CDN35" s="14"/>
      <c r="CDO35" s="14"/>
      <c r="CDP35" s="14"/>
      <c r="CDQ35" s="14"/>
      <c r="CDR35" s="14"/>
      <c r="CDS35" s="14"/>
      <c r="CDT35" s="14"/>
      <c r="CDU35" s="14"/>
      <c r="CDV35" s="14"/>
      <c r="CDW35" s="14"/>
      <c r="CDX35" s="14"/>
      <c r="CDY35" s="14"/>
      <c r="CDZ35" s="14"/>
      <c r="CEA35" s="14"/>
      <c r="CEB35" s="14"/>
      <c r="CEC35" s="14"/>
      <c r="CED35" s="14"/>
      <c r="CEE35" s="14"/>
      <c r="CEF35" s="14"/>
      <c r="CEG35" s="14"/>
      <c r="CEH35" s="14"/>
      <c r="CEI35" s="14"/>
      <c r="CEJ35" s="14"/>
      <c r="CEK35" s="14"/>
      <c r="CEL35" s="14"/>
      <c r="CEM35" s="14"/>
      <c r="CEN35" s="14"/>
      <c r="CEO35" s="14"/>
      <c r="CEP35" s="14"/>
      <c r="CEQ35" s="14"/>
      <c r="CER35" s="14"/>
      <c r="CES35" s="14"/>
      <c r="CET35" s="14"/>
      <c r="CEU35" s="14"/>
      <c r="CEV35" s="14"/>
      <c r="CEW35" s="14"/>
      <c r="CEX35" s="14"/>
      <c r="CEY35" s="14"/>
      <c r="CEZ35" s="14"/>
      <c r="CFA35" s="14"/>
      <c r="CFB35" s="14"/>
      <c r="CFC35" s="14"/>
      <c r="CFD35" s="14"/>
      <c r="CFE35" s="14"/>
      <c r="CFF35" s="14"/>
      <c r="CFG35" s="14"/>
      <c r="CFH35" s="14"/>
      <c r="CFI35" s="14"/>
      <c r="CFJ35" s="14"/>
      <c r="CFK35" s="14"/>
      <c r="CFL35" s="14"/>
      <c r="CFM35" s="14"/>
      <c r="CFN35" s="14"/>
      <c r="CFO35" s="14"/>
      <c r="CFP35" s="14"/>
      <c r="CFQ35" s="14"/>
      <c r="CFR35" s="14"/>
      <c r="CFS35" s="14"/>
      <c r="CFT35" s="14"/>
      <c r="CFU35" s="14"/>
      <c r="CFV35" s="14"/>
      <c r="CFW35" s="14"/>
      <c r="CFX35" s="14"/>
      <c r="CFY35" s="14"/>
      <c r="CFZ35" s="14"/>
      <c r="CGA35" s="14"/>
      <c r="CGB35" s="14"/>
      <c r="CGC35" s="14"/>
      <c r="CGD35" s="14"/>
      <c r="CGE35" s="14"/>
      <c r="CGF35" s="14"/>
      <c r="CGG35" s="14"/>
      <c r="CGH35" s="14"/>
      <c r="CGI35" s="14"/>
      <c r="CGJ35" s="14"/>
      <c r="CGK35" s="14"/>
      <c r="CGL35" s="14"/>
      <c r="CGM35" s="14"/>
      <c r="CGN35" s="14"/>
      <c r="CGO35" s="14"/>
      <c r="CGP35" s="14"/>
      <c r="CGQ35" s="14"/>
      <c r="CGR35" s="14"/>
      <c r="CGS35" s="14"/>
      <c r="CGT35" s="14"/>
      <c r="CGU35" s="14"/>
      <c r="CGV35" s="14"/>
      <c r="CGW35" s="14"/>
      <c r="CGX35" s="14"/>
      <c r="CGY35" s="14"/>
      <c r="CGZ35" s="14"/>
      <c r="CHA35" s="14"/>
      <c r="CHB35" s="14"/>
      <c r="CHC35" s="14"/>
      <c r="CHD35" s="14"/>
      <c r="CHE35" s="14"/>
      <c r="CHF35" s="14"/>
      <c r="CHG35" s="14"/>
      <c r="CHH35" s="14"/>
      <c r="CHI35" s="14"/>
      <c r="CHJ35" s="14"/>
      <c r="CHK35" s="14"/>
      <c r="CHL35" s="14"/>
      <c r="CHM35" s="14"/>
      <c r="CHN35" s="14"/>
      <c r="CHO35" s="14"/>
      <c r="CHP35" s="14"/>
      <c r="CHQ35" s="14"/>
      <c r="CHR35" s="14"/>
      <c r="CHS35" s="14"/>
      <c r="CHT35" s="14"/>
      <c r="CHU35" s="14"/>
      <c r="CHV35" s="14"/>
      <c r="CHW35" s="14"/>
      <c r="CHX35" s="14"/>
      <c r="CHY35" s="14"/>
      <c r="CHZ35" s="14"/>
      <c r="CIA35" s="14"/>
      <c r="CIB35" s="14"/>
      <c r="CIC35" s="14"/>
      <c r="CID35" s="14"/>
      <c r="CIE35" s="14"/>
      <c r="CIF35" s="14"/>
      <c r="CIG35" s="14"/>
      <c r="CIH35" s="14"/>
      <c r="CII35" s="14"/>
      <c r="CIJ35" s="14"/>
      <c r="CIK35" s="14"/>
      <c r="CIL35" s="14"/>
      <c r="CIM35" s="14"/>
      <c r="CIN35" s="14"/>
      <c r="CIO35" s="14"/>
      <c r="CIP35" s="14"/>
      <c r="CIQ35" s="14"/>
      <c r="CIR35" s="14"/>
      <c r="CIS35" s="14"/>
      <c r="CIT35" s="14"/>
      <c r="CIU35" s="14"/>
      <c r="CIV35" s="14"/>
      <c r="CIW35" s="14"/>
      <c r="CIX35" s="14"/>
      <c r="CIY35" s="14"/>
      <c r="CIZ35" s="14"/>
      <c r="CJA35" s="14"/>
      <c r="CJB35" s="14"/>
      <c r="CJC35" s="14"/>
      <c r="CJD35" s="14"/>
      <c r="CJE35" s="14"/>
      <c r="CJF35" s="14"/>
      <c r="CJG35" s="14"/>
      <c r="CJH35" s="14"/>
      <c r="CJI35" s="14"/>
      <c r="CJJ35" s="14"/>
      <c r="CJK35" s="14"/>
      <c r="CJL35" s="14"/>
      <c r="CJM35" s="14"/>
      <c r="CJN35" s="14"/>
      <c r="CJO35" s="14"/>
      <c r="CJP35" s="14"/>
      <c r="CJQ35" s="14"/>
      <c r="CJR35" s="14"/>
      <c r="CJS35" s="14"/>
      <c r="CJT35" s="14"/>
      <c r="CJU35" s="14"/>
      <c r="CJV35" s="14"/>
      <c r="CJW35" s="14"/>
      <c r="CJX35" s="14"/>
      <c r="CJY35" s="14"/>
      <c r="CJZ35" s="14"/>
      <c r="CKA35" s="14"/>
      <c r="CKB35" s="14"/>
      <c r="CKC35" s="14"/>
      <c r="CKD35" s="14"/>
      <c r="CKE35" s="14"/>
      <c r="CKF35" s="14"/>
      <c r="CKG35" s="14"/>
      <c r="CKH35" s="14"/>
      <c r="CKI35" s="14"/>
      <c r="CKJ35" s="14"/>
      <c r="CKK35" s="14"/>
      <c r="CKL35" s="14"/>
      <c r="CKM35" s="14"/>
      <c r="CKN35" s="14"/>
      <c r="CKO35" s="14"/>
      <c r="CKP35" s="14"/>
      <c r="CKQ35" s="14"/>
      <c r="CKR35" s="14"/>
      <c r="CKS35" s="14"/>
      <c r="CKT35" s="14"/>
      <c r="CKU35" s="14"/>
      <c r="CKV35" s="14"/>
      <c r="CKW35" s="14"/>
      <c r="CKX35" s="14"/>
      <c r="CKY35" s="14"/>
      <c r="CKZ35" s="14"/>
      <c r="CLA35" s="14"/>
      <c r="CLB35" s="14"/>
      <c r="CLC35" s="14"/>
      <c r="CLD35" s="14"/>
      <c r="CLE35" s="14"/>
      <c r="CLF35" s="14"/>
      <c r="CLG35" s="14"/>
      <c r="CLH35" s="14"/>
      <c r="CLI35" s="14"/>
      <c r="CLJ35" s="14"/>
      <c r="CLK35" s="14"/>
      <c r="CLL35" s="14"/>
      <c r="CLM35" s="14"/>
      <c r="CLN35" s="14"/>
      <c r="CLO35" s="14"/>
      <c r="CLP35" s="14"/>
      <c r="CLQ35" s="14"/>
      <c r="CLR35" s="14"/>
      <c r="CLS35" s="14"/>
      <c r="CLT35" s="14"/>
      <c r="CLU35" s="14"/>
      <c r="CLV35" s="14"/>
      <c r="CLW35" s="14"/>
      <c r="CLX35" s="14"/>
      <c r="CLY35" s="14"/>
      <c r="CLZ35" s="14"/>
      <c r="CMA35" s="14"/>
      <c r="CMB35" s="14"/>
      <c r="CMC35" s="14"/>
      <c r="CMD35" s="14"/>
      <c r="CME35" s="14"/>
      <c r="CMF35" s="14"/>
      <c r="CMG35" s="14"/>
      <c r="CMH35" s="14"/>
      <c r="CMI35" s="14"/>
      <c r="CMJ35" s="14"/>
      <c r="CMK35" s="14"/>
      <c r="CML35" s="14"/>
      <c r="CMM35" s="14"/>
      <c r="CMN35" s="14"/>
      <c r="CMO35" s="14"/>
      <c r="CMP35" s="14"/>
      <c r="CMQ35" s="14"/>
      <c r="CMR35" s="14"/>
      <c r="CMS35" s="14"/>
      <c r="CMT35" s="14"/>
      <c r="CMU35" s="14"/>
      <c r="CMV35" s="14"/>
      <c r="CMW35" s="14"/>
      <c r="CMX35" s="14"/>
      <c r="CMY35" s="14"/>
      <c r="CMZ35" s="14"/>
      <c r="CNA35" s="14"/>
      <c r="CNB35" s="14"/>
      <c r="CNC35" s="14"/>
      <c r="CND35" s="14"/>
      <c r="CNE35" s="14"/>
      <c r="CNF35" s="14"/>
      <c r="CNG35" s="14"/>
      <c r="CNH35" s="14"/>
      <c r="CNI35" s="14"/>
      <c r="CNJ35" s="14"/>
      <c r="CNK35" s="14"/>
      <c r="CNL35" s="14"/>
      <c r="CNM35" s="14"/>
      <c r="CNN35" s="14"/>
      <c r="CNO35" s="14"/>
      <c r="CNP35" s="14"/>
      <c r="CNQ35" s="14"/>
      <c r="CNR35" s="14"/>
      <c r="CNS35" s="14"/>
      <c r="CNT35" s="14"/>
      <c r="CNU35" s="14"/>
      <c r="CNV35" s="14"/>
      <c r="CNW35" s="14"/>
      <c r="CNX35" s="14"/>
      <c r="CNY35" s="14"/>
      <c r="CNZ35" s="14"/>
      <c r="COA35" s="14"/>
      <c r="COB35" s="14"/>
      <c r="COC35" s="14"/>
      <c r="COD35" s="14"/>
      <c r="COE35" s="14"/>
      <c r="COF35" s="14"/>
      <c r="COG35" s="14"/>
      <c r="COH35" s="14"/>
      <c r="COI35" s="14"/>
      <c r="COJ35" s="14"/>
      <c r="COK35" s="14"/>
      <c r="COL35" s="14"/>
      <c r="COM35" s="14"/>
      <c r="CON35" s="14"/>
      <c r="COO35" s="14"/>
      <c r="COP35" s="14"/>
      <c r="COQ35" s="14"/>
      <c r="COR35" s="14"/>
      <c r="COS35" s="14"/>
      <c r="COT35" s="14"/>
      <c r="COU35" s="14"/>
      <c r="COV35" s="14"/>
      <c r="COW35" s="14"/>
      <c r="COX35" s="14"/>
      <c r="COY35" s="14"/>
      <c r="COZ35" s="14"/>
      <c r="CPA35" s="14"/>
      <c r="CPB35" s="14"/>
      <c r="CPC35" s="14"/>
      <c r="CPD35" s="14"/>
      <c r="CPE35" s="14"/>
      <c r="CPF35" s="14"/>
      <c r="CPG35" s="14"/>
      <c r="CPH35" s="14"/>
      <c r="CPI35" s="14"/>
      <c r="CPJ35" s="14"/>
      <c r="CPK35" s="14"/>
      <c r="CPL35" s="14"/>
      <c r="CPM35" s="14"/>
      <c r="CPN35" s="14"/>
      <c r="CPO35" s="14"/>
      <c r="CPP35" s="14"/>
      <c r="CPQ35" s="14"/>
      <c r="CPR35" s="14"/>
      <c r="CPS35" s="14"/>
      <c r="CPT35" s="14"/>
      <c r="CPU35" s="14"/>
      <c r="CPV35" s="14"/>
      <c r="CPW35" s="14"/>
      <c r="CPX35" s="14"/>
      <c r="CPY35" s="14"/>
      <c r="CPZ35" s="14"/>
      <c r="CQA35" s="14"/>
      <c r="CQB35" s="14"/>
      <c r="CQC35" s="14"/>
      <c r="CQD35" s="14"/>
      <c r="CQE35" s="14"/>
      <c r="CQF35" s="14"/>
      <c r="CQG35" s="14"/>
      <c r="CQH35" s="14"/>
      <c r="CQI35" s="14"/>
      <c r="CQJ35" s="14"/>
      <c r="CQK35" s="14"/>
      <c r="CQL35" s="14"/>
      <c r="CQM35" s="14"/>
      <c r="CQN35" s="14"/>
      <c r="CQO35" s="14"/>
      <c r="CQP35" s="14"/>
      <c r="CQQ35" s="14"/>
      <c r="CQR35" s="14"/>
      <c r="CQS35" s="14"/>
      <c r="CQT35" s="14"/>
      <c r="CQU35" s="14"/>
      <c r="CQV35" s="14"/>
      <c r="CQW35" s="14"/>
      <c r="CQX35" s="14"/>
      <c r="CQY35" s="14"/>
      <c r="CQZ35" s="14"/>
      <c r="CRA35" s="14"/>
      <c r="CRB35" s="14"/>
      <c r="CRC35" s="14"/>
      <c r="CRD35" s="14"/>
      <c r="CRE35" s="14"/>
      <c r="CRF35" s="14"/>
      <c r="CRG35" s="14"/>
      <c r="CRH35" s="14"/>
      <c r="CRI35" s="14"/>
      <c r="CRJ35" s="14"/>
      <c r="CRK35" s="14"/>
      <c r="CRL35" s="14"/>
      <c r="CRM35" s="14"/>
      <c r="CRN35" s="14"/>
      <c r="CRO35" s="14"/>
      <c r="CRP35" s="14"/>
      <c r="CRQ35" s="14"/>
      <c r="CRR35" s="14"/>
      <c r="CRS35" s="14"/>
      <c r="CRT35" s="14"/>
      <c r="CRU35" s="14"/>
      <c r="CRV35" s="14"/>
      <c r="CRW35" s="14"/>
      <c r="CRX35" s="14"/>
      <c r="CRY35" s="14"/>
      <c r="CRZ35" s="14"/>
      <c r="CSA35" s="14"/>
      <c r="CSB35" s="14"/>
      <c r="CSC35" s="14"/>
      <c r="CSD35" s="14"/>
      <c r="CSE35" s="14"/>
      <c r="CSF35" s="14"/>
      <c r="CSG35" s="14"/>
      <c r="CSH35" s="14"/>
      <c r="CSI35" s="14"/>
      <c r="CSJ35" s="14"/>
      <c r="CSK35" s="14"/>
      <c r="CSL35" s="14"/>
      <c r="CSM35" s="14"/>
      <c r="CSN35" s="14"/>
      <c r="CSO35" s="14"/>
      <c r="CSP35" s="14"/>
      <c r="CSQ35" s="14"/>
      <c r="CSR35" s="14"/>
      <c r="CSS35" s="14"/>
      <c r="CST35" s="14"/>
      <c r="CSU35" s="14"/>
      <c r="CSV35" s="14"/>
      <c r="CSW35" s="14"/>
      <c r="CSX35" s="14"/>
      <c r="CSY35" s="14"/>
      <c r="CSZ35" s="14"/>
      <c r="CTA35" s="14"/>
      <c r="CTB35" s="14"/>
      <c r="CTC35" s="14"/>
      <c r="CTD35" s="14"/>
      <c r="CTE35" s="14"/>
      <c r="CTF35" s="14"/>
      <c r="CTG35" s="14"/>
      <c r="CTH35" s="14"/>
      <c r="CTI35" s="14"/>
      <c r="CTJ35" s="14"/>
      <c r="CTK35" s="14"/>
      <c r="CTL35" s="14"/>
      <c r="CTM35" s="14"/>
      <c r="CTN35" s="14"/>
      <c r="CTO35" s="14"/>
      <c r="CTP35" s="14"/>
      <c r="CTQ35" s="14"/>
      <c r="CTR35" s="14"/>
      <c r="CTS35" s="14"/>
      <c r="CTT35" s="14"/>
      <c r="CTU35" s="14"/>
      <c r="CTV35" s="14"/>
      <c r="CTW35" s="14"/>
      <c r="CTX35" s="14"/>
      <c r="CTY35" s="14"/>
      <c r="CTZ35" s="14"/>
      <c r="CUA35" s="14"/>
      <c r="CUB35" s="14"/>
      <c r="CUC35" s="14"/>
      <c r="CUD35" s="14"/>
      <c r="CUE35" s="14"/>
      <c r="CUF35" s="14"/>
      <c r="CUG35" s="14"/>
      <c r="CUH35" s="14"/>
      <c r="CUI35" s="14"/>
      <c r="CUJ35" s="14"/>
      <c r="CUK35" s="14"/>
      <c r="CUL35" s="14"/>
      <c r="CUM35" s="14"/>
      <c r="CUN35" s="14"/>
      <c r="CUO35" s="14"/>
      <c r="CUP35" s="14"/>
      <c r="CUQ35" s="14"/>
      <c r="CUR35" s="14"/>
      <c r="CUS35" s="14"/>
      <c r="CUT35" s="14"/>
      <c r="CUU35" s="14"/>
      <c r="CUV35" s="14"/>
      <c r="CUW35" s="14"/>
      <c r="CUX35" s="14"/>
      <c r="CUY35" s="14"/>
      <c r="CUZ35" s="14"/>
      <c r="CVA35" s="14"/>
      <c r="CVB35" s="14"/>
      <c r="CVC35" s="14"/>
      <c r="CVD35" s="14"/>
      <c r="CVE35" s="14"/>
      <c r="CVF35" s="14"/>
      <c r="CVG35" s="14"/>
      <c r="CVH35" s="14"/>
      <c r="CVI35" s="14"/>
      <c r="CVJ35" s="14"/>
      <c r="CVK35" s="14"/>
      <c r="CVL35" s="14"/>
      <c r="CVM35" s="14"/>
      <c r="CVN35" s="14"/>
      <c r="CVO35" s="14"/>
      <c r="CVP35" s="14"/>
      <c r="CVQ35" s="14"/>
      <c r="CVR35" s="14"/>
      <c r="CVS35" s="14"/>
      <c r="CVT35" s="14"/>
      <c r="CVU35" s="14"/>
      <c r="CVV35" s="14"/>
      <c r="CVW35" s="14"/>
      <c r="CVX35" s="14"/>
      <c r="CVY35" s="14"/>
      <c r="CVZ35" s="14"/>
      <c r="CWA35" s="14"/>
      <c r="CWB35" s="14"/>
      <c r="CWC35" s="14"/>
      <c r="CWD35" s="14"/>
      <c r="CWE35" s="14"/>
      <c r="CWF35" s="14"/>
      <c r="CWG35" s="14"/>
      <c r="CWH35" s="14"/>
      <c r="CWI35" s="14"/>
      <c r="CWJ35" s="14"/>
      <c r="CWK35" s="14"/>
      <c r="CWL35" s="14"/>
      <c r="CWM35" s="14"/>
      <c r="CWN35" s="14"/>
      <c r="CWO35" s="14"/>
      <c r="CWP35" s="14"/>
      <c r="CWQ35" s="14"/>
      <c r="CWR35" s="14"/>
      <c r="CWS35" s="14"/>
      <c r="CWT35" s="14"/>
      <c r="CWU35" s="14"/>
      <c r="CWV35" s="14"/>
      <c r="CWW35" s="14"/>
      <c r="CWX35" s="14"/>
      <c r="CWY35" s="14"/>
      <c r="CWZ35" s="14"/>
      <c r="CXA35" s="14"/>
      <c r="CXB35" s="14"/>
      <c r="CXC35" s="14"/>
      <c r="CXD35" s="14"/>
      <c r="CXE35" s="14"/>
      <c r="CXF35" s="14"/>
      <c r="CXG35" s="14"/>
      <c r="CXH35" s="14"/>
      <c r="CXI35" s="14"/>
      <c r="CXJ35" s="14"/>
      <c r="CXK35" s="14"/>
      <c r="CXL35" s="14"/>
      <c r="CXM35" s="14"/>
      <c r="CXN35" s="14"/>
      <c r="CXO35" s="14"/>
      <c r="CXP35" s="14"/>
      <c r="CXQ35" s="14"/>
      <c r="CXR35" s="14"/>
      <c r="CXS35" s="14"/>
      <c r="CXT35" s="14"/>
      <c r="CXU35" s="14"/>
      <c r="CXV35" s="14"/>
      <c r="CXW35" s="14"/>
      <c r="CXX35" s="14"/>
      <c r="CXY35" s="14"/>
      <c r="CXZ35" s="14"/>
      <c r="CYA35" s="14"/>
      <c r="CYB35" s="14"/>
      <c r="CYC35" s="14"/>
      <c r="CYD35" s="14"/>
      <c r="CYE35" s="14"/>
      <c r="CYF35" s="14"/>
      <c r="CYG35" s="14"/>
      <c r="CYH35" s="14"/>
      <c r="CYI35" s="14"/>
      <c r="CYJ35" s="14"/>
      <c r="CYK35" s="14"/>
      <c r="CYL35" s="14"/>
      <c r="CYM35" s="14"/>
      <c r="CYN35" s="14"/>
      <c r="CYO35" s="14"/>
      <c r="CYP35" s="14"/>
      <c r="CYQ35" s="14"/>
      <c r="CYR35" s="14"/>
      <c r="CYS35" s="14"/>
      <c r="CYT35" s="14"/>
      <c r="CYU35" s="14"/>
      <c r="CYV35" s="14"/>
      <c r="CYW35" s="14"/>
      <c r="CYX35" s="14"/>
      <c r="CYY35" s="14"/>
      <c r="CYZ35" s="14"/>
      <c r="CZA35" s="14"/>
      <c r="CZB35" s="14"/>
      <c r="CZC35" s="14"/>
      <c r="CZD35" s="14"/>
      <c r="CZE35" s="14"/>
      <c r="CZF35" s="14"/>
      <c r="CZG35" s="14"/>
      <c r="CZH35" s="14"/>
      <c r="CZI35" s="14"/>
      <c r="CZJ35" s="14"/>
      <c r="CZK35" s="14"/>
      <c r="CZL35" s="14"/>
      <c r="CZM35" s="14"/>
      <c r="CZN35" s="14"/>
      <c r="CZO35" s="14"/>
      <c r="CZP35" s="14"/>
      <c r="CZQ35" s="14"/>
      <c r="CZR35" s="14"/>
      <c r="CZS35" s="14"/>
      <c r="CZT35" s="14"/>
      <c r="CZU35" s="14"/>
      <c r="CZV35" s="14"/>
      <c r="CZW35" s="14"/>
      <c r="CZX35" s="14"/>
      <c r="CZY35" s="14"/>
      <c r="CZZ35" s="14"/>
      <c r="DAA35" s="14"/>
      <c r="DAB35" s="14"/>
      <c r="DAC35" s="14"/>
      <c r="DAD35" s="14"/>
      <c r="DAE35" s="14"/>
      <c r="DAF35" s="14"/>
      <c r="DAG35" s="14"/>
      <c r="DAH35" s="14"/>
      <c r="DAI35" s="14"/>
      <c r="DAJ35" s="14"/>
      <c r="DAK35" s="14"/>
      <c r="DAL35" s="14"/>
      <c r="DAM35" s="14"/>
      <c r="DAN35" s="14"/>
      <c r="DAO35" s="14"/>
      <c r="DAP35" s="14"/>
      <c r="DAQ35" s="14"/>
      <c r="DAR35" s="14"/>
      <c r="DAS35" s="14"/>
      <c r="DAT35" s="14"/>
      <c r="DAU35" s="14"/>
      <c r="DAV35" s="14"/>
      <c r="DAW35" s="14"/>
      <c r="DAX35" s="14"/>
      <c r="DAY35" s="14"/>
      <c r="DAZ35" s="14"/>
      <c r="DBA35" s="14"/>
      <c r="DBB35" s="14"/>
      <c r="DBC35" s="14"/>
      <c r="DBD35" s="14"/>
      <c r="DBE35" s="14"/>
      <c r="DBF35" s="14"/>
      <c r="DBG35" s="14"/>
      <c r="DBH35" s="14"/>
      <c r="DBI35" s="14"/>
      <c r="DBJ35" s="14"/>
      <c r="DBK35" s="14"/>
      <c r="DBL35" s="14"/>
      <c r="DBM35" s="14"/>
      <c r="DBN35" s="14"/>
      <c r="DBO35" s="14"/>
      <c r="DBP35" s="14"/>
      <c r="DBQ35" s="14"/>
      <c r="DBR35" s="14"/>
      <c r="DBS35" s="14"/>
      <c r="DBT35" s="14"/>
      <c r="DBU35" s="14"/>
      <c r="DBV35" s="14"/>
      <c r="DBW35" s="14"/>
      <c r="DBX35" s="14"/>
      <c r="DBY35" s="14"/>
      <c r="DBZ35" s="14"/>
      <c r="DCA35" s="14"/>
      <c r="DCB35" s="14"/>
      <c r="DCC35" s="14"/>
      <c r="DCD35" s="14"/>
      <c r="DCE35" s="14"/>
      <c r="DCF35" s="14"/>
      <c r="DCG35" s="14"/>
      <c r="DCH35" s="14"/>
      <c r="DCI35" s="14"/>
      <c r="DCJ35" s="14"/>
      <c r="DCK35" s="14"/>
      <c r="DCL35" s="14"/>
      <c r="DCM35" s="14"/>
      <c r="DCN35" s="14"/>
      <c r="DCO35" s="14"/>
      <c r="DCP35" s="14"/>
      <c r="DCQ35" s="14"/>
      <c r="DCR35" s="14"/>
      <c r="DCS35" s="14"/>
      <c r="DCT35" s="14"/>
      <c r="DCU35" s="14"/>
      <c r="DCV35" s="14"/>
      <c r="DCW35" s="14"/>
      <c r="DCX35" s="14"/>
      <c r="DCY35" s="14"/>
      <c r="DCZ35" s="14"/>
      <c r="DDA35" s="14"/>
      <c r="DDB35" s="14"/>
      <c r="DDC35" s="14"/>
      <c r="DDD35" s="14"/>
      <c r="DDE35" s="14"/>
      <c r="DDF35" s="14"/>
      <c r="DDG35" s="14"/>
      <c r="DDH35" s="14"/>
      <c r="DDI35" s="14"/>
      <c r="DDJ35" s="14"/>
      <c r="DDK35" s="14"/>
      <c r="DDL35" s="14"/>
      <c r="DDM35" s="14"/>
      <c r="DDN35" s="14"/>
      <c r="DDO35" s="14"/>
      <c r="DDP35" s="14"/>
      <c r="DDQ35" s="14"/>
      <c r="DDR35" s="14"/>
      <c r="DDS35" s="14"/>
      <c r="DDT35" s="14"/>
      <c r="DDU35" s="14"/>
      <c r="DDV35" s="14"/>
      <c r="DDW35" s="14"/>
      <c r="DDX35" s="14"/>
      <c r="DDY35" s="14"/>
      <c r="DDZ35" s="14"/>
      <c r="DEA35" s="14"/>
      <c r="DEB35" s="14"/>
      <c r="DEC35" s="14"/>
      <c r="DED35" s="14"/>
      <c r="DEE35" s="14"/>
      <c r="DEF35" s="14"/>
      <c r="DEG35" s="14"/>
      <c r="DEH35" s="14"/>
      <c r="DEI35" s="14"/>
      <c r="DEJ35" s="14"/>
      <c r="DEK35" s="14"/>
      <c r="DEL35" s="14"/>
      <c r="DEM35" s="14"/>
      <c r="DEN35" s="14"/>
      <c r="DEO35" s="14"/>
      <c r="DEP35" s="14"/>
      <c r="DEQ35" s="14"/>
      <c r="DER35" s="14"/>
      <c r="DES35" s="14"/>
      <c r="DET35" s="14"/>
      <c r="DEU35" s="14"/>
      <c r="DEV35" s="14"/>
      <c r="DEW35" s="14"/>
      <c r="DEX35" s="14"/>
      <c r="DEY35" s="14"/>
      <c r="DEZ35" s="14"/>
      <c r="DFA35" s="14"/>
      <c r="DFB35" s="14"/>
      <c r="DFC35" s="14"/>
      <c r="DFD35" s="14"/>
      <c r="DFE35" s="14"/>
      <c r="DFF35" s="14"/>
      <c r="DFG35" s="14"/>
      <c r="DFH35" s="14"/>
      <c r="DFI35" s="14"/>
      <c r="DFJ35" s="14"/>
      <c r="DFK35" s="14"/>
      <c r="DFL35" s="14"/>
      <c r="DFM35" s="14"/>
      <c r="DFN35" s="14"/>
      <c r="DFO35" s="14"/>
      <c r="DFP35" s="14"/>
      <c r="DFQ35" s="14"/>
      <c r="DFR35" s="14"/>
      <c r="DFS35" s="14"/>
      <c r="DFT35" s="14"/>
      <c r="DFU35" s="14"/>
      <c r="DFV35" s="14"/>
      <c r="DFW35" s="14"/>
      <c r="DFX35" s="14"/>
      <c r="DFY35" s="14"/>
      <c r="DFZ35" s="14"/>
      <c r="DGA35" s="14"/>
      <c r="DGB35" s="14"/>
      <c r="DGC35" s="14"/>
      <c r="DGD35" s="14"/>
      <c r="DGE35" s="14"/>
      <c r="DGF35" s="14"/>
      <c r="DGG35" s="14"/>
      <c r="DGH35" s="14"/>
      <c r="DGI35" s="14"/>
      <c r="DGJ35" s="14"/>
      <c r="DGK35" s="14"/>
      <c r="DGL35" s="14"/>
      <c r="DGM35" s="14"/>
      <c r="DGN35" s="14"/>
      <c r="DGO35" s="14"/>
      <c r="DGP35" s="14"/>
      <c r="DGQ35" s="14"/>
      <c r="DGR35" s="14"/>
      <c r="DGS35" s="14"/>
      <c r="DGT35" s="14"/>
      <c r="DGU35" s="14"/>
      <c r="DGV35" s="14"/>
      <c r="DGW35" s="14"/>
      <c r="DGX35" s="14"/>
      <c r="DGY35" s="14"/>
      <c r="DGZ35" s="14"/>
      <c r="DHA35" s="14"/>
      <c r="DHB35" s="14"/>
      <c r="DHC35" s="14"/>
      <c r="DHD35" s="14"/>
      <c r="DHE35" s="14"/>
      <c r="DHF35" s="14"/>
      <c r="DHG35" s="14"/>
      <c r="DHH35" s="14"/>
      <c r="DHI35" s="14"/>
      <c r="DHJ35" s="14"/>
      <c r="DHK35" s="14"/>
      <c r="DHL35" s="14"/>
      <c r="DHM35" s="14"/>
      <c r="DHN35" s="14"/>
      <c r="DHO35" s="14"/>
      <c r="DHP35" s="14"/>
      <c r="DHQ35" s="14"/>
      <c r="DHR35" s="14"/>
      <c r="DHS35" s="14"/>
      <c r="DHT35" s="14"/>
      <c r="DHU35" s="14"/>
      <c r="DHV35" s="14"/>
      <c r="DHW35" s="14"/>
      <c r="DHX35" s="14"/>
      <c r="DHY35" s="14"/>
      <c r="DHZ35" s="14"/>
      <c r="DIA35" s="14"/>
      <c r="DIB35" s="14"/>
      <c r="DIC35" s="14"/>
      <c r="DID35" s="14"/>
      <c r="DIE35" s="14"/>
      <c r="DIF35" s="14"/>
      <c r="DIG35" s="14"/>
      <c r="DIH35" s="14"/>
      <c r="DII35" s="14"/>
      <c r="DIJ35" s="14"/>
      <c r="DIK35" s="14"/>
      <c r="DIL35" s="14"/>
      <c r="DIM35" s="14"/>
      <c r="DIN35" s="14"/>
      <c r="DIO35" s="14"/>
      <c r="DIP35" s="14"/>
      <c r="DIQ35" s="14"/>
      <c r="DIR35" s="14"/>
      <c r="DIS35" s="14"/>
      <c r="DIT35" s="14"/>
      <c r="DIU35" s="14"/>
      <c r="DIV35" s="14"/>
      <c r="DIW35" s="14"/>
      <c r="DIX35" s="14"/>
      <c r="DIY35" s="14"/>
      <c r="DIZ35" s="14"/>
      <c r="DJA35" s="14"/>
      <c r="DJB35" s="14"/>
      <c r="DJC35" s="14"/>
      <c r="DJD35" s="14"/>
      <c r="DJE35" s="14"/>
      <c r="DJF35" s="14"/>
      <c r="DJG35" s="14"/>
      <c r="DJH35" s="14"/>
      <c r="DJI35" s="14"/>
      <c r="DJJ35" s="14"/>
      <c r="DJK35" s="14"/>
      <c r="DJL35" s="14"/>
      <c r="DJM35" s="14"/>
      <c r="DJN35" s="14"/>
      <c r="DJO35" s="14"/>
      <c r="DJP35" s="14"/>
      <c r="DJQ35" s="14"/>
      <c r="DJR35" s="14"/>
      <c r="DJS35" s="14"/>
      <c r="DJT35" s="14"/>
      <c r="DJU35" s="14"/>
      <c r="DJV35" s="14"/>
      <c r="DJW35" s="14"/>
      <c r="DJX35" s="14"/>
      <c r="DJY35" s="14"/>
      <c r="DJZ35" s="14"/>
      <c r="DKA35" s="14"/>
      <c r="DKB35" s="14"/>
      <c r="DKC35" s="14"/>
      <c r="DKD35" s="14"/>
      <c r="DKE35" s="14"/>
      <c r="DKF35" s="14"/>
      <c r="DKG35" s="14"/>
      <c r="DKH35" s="14"/>
      <c r="DKI35" s="14"/>
      <c r="DKJ35" s="14"/>
      <c r="DKK35" s="14"/>
      <c r="DKL35" s="14"/>
      <c r="DKM35" s="14"/>
      <c r="DKN35" s="14"/>
      <c r="DKO35" s="14"/>
      <c r="DKP35" s="14"/>
      <c r="DKQ35" s="14"/>
      <c r="DKR35" s="14"/>
      <c r="DKS35" s="14"/>
      <c r="DKT35" s="14"/>
      <c r="DKU35" s="14"/>
      <c r="DKV35" s="14"/>
      <c r="DKW35" s="14"/>
      <c r="DKX35" s="14"/>
      <c r="DKY35" s="14"/>
      <c r="DKZ35" s="14"/>
      <c r="DLA35" s="14"/>
      <c r="DLB35" s="14"/>
      <c r="DLC35" s="14"/>
      <c r="DLD35" s="14"/>
      <c r="DLE35" s="14"/>
      <c r="DLF35" s="14"/>
      <c r="DLG35" s="14"/>
      <c r="DLH35" s="14"/>
      <c r="DLI35" s="14"/>
      <c r="DLJ35" s="14"/>
      <c r="DLK35" s="14"/>
      <c r="DLL35" s="14"/>
      <c r="DLM35" s="14"/>
      <c r="DLN35" s="14"/>
      <c r="DLO35" s="14"/>
      <c r="DLP35" s="14"/>
      <c r="DLQ35" s="14"/>
      <c r="DLR35" s="14"/>
      <c r="DLS35" s="14"/>
      <c r="DLT35" s="14"/>
      <c r="DLU35" s="14"/>
      <c r="DLV35" s="14"/>
      <c r="DLW35" s="14"/>
      <c r="DLX35" s="14"/>
      <c r="DLY35" s="14"/>
      <c r="DLZ35" s="14"/>
      <c r="DMA35" s="14"/>
      <c r="DMB35" s="14"/>
      <c r="DMC35" s="14"/>
      <c r="DMD35" s="14"/>
      <c r="DME35" s="14"/>
      <c r="DMF35" s="14"/>
      <c r="DMG35" s="14"/>
      <c r="DMH35" s="14"/>
      <c r="DMI35" s="14"/>
      <c r="DMJ35" s="14"/>
      <c r="DMK35" s="14"/>
      <c r="DML35" s="14"/>
      <c r="DMM35" s="14"/>
      <c r="DMN35" s="14"/>
      <c r="DMO35" s="14"/>
      <c r="DMP35" s="14"/>
      <c r="DMQ35" s="14"/>
      <c r="DMR35" s="14"/>
      <c r="DMS35" s="14"/>
      <c r="DMT35" s="14"/>
      <c r="DMU35" s="14"/>
      <c r="DMV35" s="14"/>
      <c r="DMW35" s="14"/>
      <c r="DMX35" s="14"/>
      <c r="DMY35" s="14"/>
      <c r="DMZ35" s="14"/>
      <c r="DNA35" s="14"/>
      <c r="DNB35" s="14"/>
      <c r="DNC35" s="14"/>
      <c r="DND35" s="14"/>
      <c r="DNE35" s="14"/>
      <c r="DNF35" s="14"/>
      <c r="DNG35" s="14"/>
      <c r="DNH35" s="14"/>
      <c r="DNI35" s="14"/>
      <c r="DNJ35" s="14"/>
      <c r="DNK35" s="14"/>
      <c r="DNL35" s="14"/>
      <c r="DNM35" s="14"/>
      <c r="DNN35" s="14"/>
      <c r="DNO35" s="14"/>
      <c r="DNP35" s="14"/>
      <c r="DNQ35" s="14"/>
      <c r="DNR35" s="14"/>
      <c r="DNS35" s="14"/>
      <c r="DNT35" s="14"/>
      <c r="DNU35" s="14"/>
      <c r="DNV35" s="14"/>
      <c r="DNW35" s="14"/>
      <c r="DNX35" s="14"/>
      <c r="DNY35" s="14"/>
      <c r="DNZ35" s="14"/>
      <c r="DOA35" s="14"/>
      <c r="DOB35" s="14"/>
      <c r="DOC35" s="14"/>
      <c r="DOD35" s="14"/>
      <c r="DOE35" s="14"/>
      <c r="DOF35" s="14"/>
      <c r="DOG35" s="14"/>
      <c r="DOH35" s="14"/>
      <c r="DOI35" s="14"/>
      <c r="DOJ35" s="14"/>
      <c r="DOK35" s="14"/>
      <c r="DOL35" s="14"/>
      <c r="DOM35" s="14"/>
      <c r="DON35" s="14"/>
      <c r="DOO35" s="14"/>
      <c r="DOP35" s="14"/>
      <c r="DOQ35" s="14"/>
      <c r="DOR35" s="14"/>
      <c r="DOS35" s="14"/>
      <c r="DOT35" s="14"/>
      <c r="DOU35" s="14"/>
      <c r="DOV35" s="14"/>
      <c r="DOW35" s="14"/>
      <c r="DOX35" s="14"/>
      <c r="DOY35" s="14"/>
      <c r="DOZ35" s="14"/>
      <c r="DPA35" s="14"/>
      <c r="DPB35" s="14"/>
      <c r="DPC35" s="14"/>
      <c r="DPD35" s="14"/>
      <c r="DPE35" s="14"/>
      <c r="DPF35" s="14"/>
      <c r="DPG35" s="14"/>
      <c r="DPH35" s="14"/>
      <c r="DPI35" s="14"/>
      <c r="DPJ35" s="14"/>
      <c r="DPK35" s="14"/>
      <c r="DPL35" s="14"/>
      <c r="DPM35" s="14"/>
      <c r="DPN35" s="14"/>
      <c r="DPO35" s="14"/>
      <c r="DPP35" s="14"/>
      <c r="DPQ35" s="14"/>
      <c r="DPR35" s="14"/>
      <c r="DPS35" s="14"/>
      <c r="DPT35" s="14"/>
      <c r="DPU35" s="14"/>
      <c r="DPV35" s="14"/>
      <c r="DPW35" s="14"/>
      <c r="DPX35" s="14"/>
      <c r="DPY35" s="14"/>
      <c r="DPZ35" s="14"/>
      <c r="DQA35" s="14"/>
      <c r="DQB35" s="14"/>
      <c r="DQC35" s="14"/>
      <c r="DQD35" s="14"/>
      <c r="DQE35" s="14"/>
      <c r="DQF35" s="14"/>
      <c r="DQG35" s="14"/>
      <c r="DQH35" s="14"/>
      <c r="DQI35" s="14"/>
      <c r="DQJ35" s="14"/>
      <c r="DQK35" s="14"/>
      <c r="DQL35" s="14"/>
      <c r="DQM35" s="14"/>
      <c r="DQN35" s="14"/>
      <c r="DQO35" s="14"/>
      <c r="DQP35" s="14"/>
      <c r="DQQ35" s="14"/>
      <c r="DQR35" s="14"/>
      <c r="DQS35" s="14"/>
      <c r="DQT35" s="14"/>
      <c r="DQU35" s="14"/>
      <c r="DQV35" s="14"/>
      <c r="DQW35" s="14"/>
      <c r="DQX35" s="14"/>
      <c r="DQY35" s="14"/>
      <c r="DQZ35" s="14"/>
      <c r="DRA35" s="14"/>
      <c r="DRB35" s="14"/>
      <c r="DRC35" s="14"/>
      <c r="DRD35" s="14"/>
      <c r="DRE35" s="14"/>
      <c r="DRF35" s="14"/>
      <c r="DRG35" s="14"/>
      <c r="DRH35" s="14"/>
      <c r="DRI35" s="14"/>
      <c r="DRJ35" s="14"/>
      <c r="DRK35" s="14"/>
      <c r="DRL35" s="14"/>
      <c r="DRM35" s="14"/>
      <c r="DRN35" s="14"/>
      <c r="DRO35" s="14"/>
      <c r="DRP35" s="14"/>
      <c r="DRQ35" s="14"/>
      <c r="DRR35" s="14"/>
      <c r="DRS35" s="14"/>
      <c r="DRT35" s="14"/>
      <c r="DRU35" s="14"/>
      <c r="DRV35" s="14"/>
      <c r="DRW35" s="14"/>
      <c r="DRX35" s="14"/>
      <c r="DRY35" s="14"/>
      <c r="DRZ35" s="14"/>
      <c r="DSA35" s="14"/>
      <c r="DSB35" s="14"/>
      <c r="DSC35" s="14"/>
      <c r="DSD35" s="14"/>
      <c r="DSE35" s="14"/>
      <c r="DSF35" s="14"/>
      <c r="DSG35" s="14"/>
      <c r="DSH35" s="14"/>
      <c r="DSI35" s="14"/>
      <c r="DSJ35" s="14"/>
      <c r="DSK35" s="14"/>
      <c r="DSL35" s="14"/>
      <c r="DSM35" s="14"/>
      <c r="DSN35" s="14"/>
      <c r="DSO35" s="14"/>
      <c r="DSP35" s="14"/>
      <c r="DSQ35" s="14"/>
      <c r="DSR35" s="14"/>
      <c r="DSS35" s="14"/>
      <c r="DST35" s="14"/>
      <c r="DSU35" s="14"/>
      <c r="DSV35" s="14"/>
      <c r="DSW35" s="14"/>
      <c r="DSX35" s="14"/>
      <c r="DSY35" s="14"/>
      <c r="DSZ35" s="14"/>
      <c r="DTA35" s="14"/>
      <c r="DTB35" s="14"/>
      <c r="DTC35" s="14"/>
      <c r="DTD35" s="14"/>
      <c r="DTE35" s="14"/>
      <c r="DTF35" s="14"/>
      <c r="DTG35" s="14"/>
      <c r="DTH35" s="14"/>
      <c r="DTI35" s="14"/>
      <c r="DTJ35" s="14"/>
      <c r="DTK35" s="14"/>
      <c r="DTL35" s="14"/>
      <c r="DTM35" s="14"/>
      <c r="DTN35" s="14"/>
      <c r="DTO35" s="14"/>
      <c r="DTP35" s="14"/>
      <c r="DTQ35" s="14"/>
      <c r="DTR35" s="14"/>
      <c r="DTS35" s="14"/>
      <c r="DTT35" s="14"/>
      <c r="DTU35" s="14"/>
      <c r="DTV35" s="14"/>
      <c r="DTW35" s="14"/>
      <c r="DTX35" s="14"/>
      <c r="DTY35" s="14"/>
      <c r="DTZ35" s="14"/>
      <c r="DUA35" s="14"/>
      <c r="DUB35" s="14"/>
      <c r="DUC35" s="14"/>
      <c r="DUD35" s="14"/>
      <c r="DUE35" s="14"/>
      <c r="DUF35" s="14"/>
      <c r="DUG35" s="14"/>
      <c r="DUH35" s="14"/>
      <c r="DUI35" s="14"/>
      <c r="DUJ35" s="14"/>
      <c r="DUK35" s="14"/>
      <c r="DUL35" s="14"/>
      <c r="DUM35" s="14"/>
      <c r="DUN35" s="14"/>
      <c r="DUO35" s="14"/>
      <c r="DUP35" s="14"/>
      <c r="DUQ35" s="14"/>
      <c r="DUR35" s="14"/>
      <c r="DUS35" s="14"/>
      <c r="DUT35" s="14"/>
      <c r="DUU35" s="14"/>
      <c r="DUV35" s="14"/>
      <c r="DUW35" s="14"/>
      <c r="DUX35" s="14"/>
      <c r="DUY35" s="14"/>
      <c r="DUZ35" s="14"/>
      <c r="DVA35" s="14"/>
      <c r="DVB35" s="14"/>
      <c r="DVC35" s="14"/>
      <c r="DVD35" s="14"/>
      <c r="DVE35" s="14"/>
      <c r="DVF35" s="14"/>
      <c r="DVG35" s="14"/>
      <c r="DVH35" s="14"/>
      <c r="DVI35" s="14"/>
      <c r="DVJ35" s="14"/>
      <c r="DVK35" s="14"/>
      <c r="DVL35" s="14"/>
      <c r="DVM35" s="14"/>
      <c r="DVN35" s="14"/>
      <c r="DVO35" s="14"/>
      <c r="DVP35" s="14"/>
      <c r="DVQ35" s="14"/>
      <c r="DVR35" s="14"/>
      <c r="DVS35" s="14"/>
      <c r="DVT35" s="14"/>
      <c r="DVU35" s="14"/>
      <c r="DVV35" s="14"/>
      <c r="DVW35" s="14"/>
      <c r="DVX35" s="14"/>
      <c r="DVY35" s="14"/>
      <c r="DVZ35" s="14"/>
      <c r="DWA35" s="14"/>
      <c r="DWB35" s="14"/>
      <c r="DWC35" s="14"/>
      <c r="DWD35" s="14"/>
      <c r="DWE35" s="14"/>
      <c r="DWF35" s="14"/>
      <c r="DWG35" s="14"/>
      <c r="DWH35" s="14"/>
      <c r="DWI35" s="14"/>
      <c r="DWJ35" s="14"/>
      <c r="DWK35" s="14"/>
      <c r="DWL35" s="14"/>
      <c r="DWM35" s="14"/>
      <c r="DWN35" s="14"/>
      <c r="DWO35" s="14"/>
      <c r="DWP35" s="14"/>
      <c r="DWQ35" s="14"/>
      <c r="DWR35" s="14"/>
      <c r="DWS35" s="14"/>
      <c r="DWT35" s="14"/>
      <c r="DWU35" s="14"/>
      <c r="DWV35" s="14"/>
      <c r="DWW35" s="14"/>
      <c r="DWX35" s="14"/>
      <c r="DWY35" s="14"/>
      <c r="DWZ35" s="14"/>
      <c r="DXA35" s="14"/>
      <c r="DXB35" s="14"/>
      <c r="DXC35" s="14"/>
      <c r="DXD35" s="14"/>
      <c r="DXE35" s="14"/>
      <c r="DXF35" s="14"/>
      <c r="DXG35" s="14"/>
      <c r="DXH35" s="14"/>
      <c r="DXI35" s="14"/>
      <c r="DXJ35" s="14"/>
      <c r="DXK35" s="14"/>
      <c r="DXL35" s="14"/>
      <c r="DXM35" s="14"/>
      <c r="DXN35" s="14"/>
      <c r="DXO35" s="14"/>
      <c r="DXP35" s="14"/>
      <c r="DXQ35" s="14"/>
      <c r="DXR35" s="14"/>
      <c r="DXS35" s="14"/>
      <c r="DXT35" s="14"/>
      <c r="DXU35" s="14"/>
      <c r="DXV35" s="14"/>
      <c r="DXW35" s="14"/>
      <c r="DXX35" s="14"/>
      <c r="DXY35" s="14"/>
      <c r="DXZ35" s="14"/>
      <c r="DYA35" s="14"/>
      <c r="DYB35" s="14"/>
      <c r="DYC35" s="14"/>
      <c r="DYD35" s="14"/>
      <c r="DYE35" s="14"/>
      <c r="DYF35" s="14"/>
      <c r="DYG35" s="14"/>
      <c r="DYH35" s="14"/>
      <c r="DYI35" s="14"/>
      <c r="DYJ35" s="14"/>
      <c r="DYK35" s="14"/>
      <c r="DYL35" s="14"/>
      <c r="DYM35" s="14"/>
      <c r="DYN35" s="14"/>
      <c r="DYO35" s="14"/>
      <c r="DYP35" s="14"/>
      <c r="DYQ35" s="14"/>
      <c r="DYR35" s="14"/>
      <c r="DYS35" s="14"/>
      <c r="DYT35" s="14"/>
      <c r="DYU35" s="14"/>
      <c r="DYV35" s="14"/>
      <c r="DYW35" s="14"/>
      <c r="DYX35" s="14"/>
      <c r="DYY35" s="14"/>
      <c r="DYZ35" s="14"/>
      <c r="DZA35" s="14"/>
      <c r="DZB35" s="14"/>
      <c r="DZC35" s="14"/>
      <c r="DZD35" s="14"/>
      <c r="DZE35" s="14"/>
      <c r="DZF35" s="14"/>
      <c r="DZG35" s="14"/>
      <c r="DZH35" s="14"/>
      <c r="DZI35" s="14"/>
      <c r="DZJ35" s="14"/>
      <c r="DZK35" s="14"/>
      <c r="DZL35" s="14"/>
      <c r="DZM35" s="14"/>
      <c r="DZN35" s="14"/>
      <c r="DZO35" s="14"/>
      <c r="DZP35" s="14"/>
      <c r="DZQ35" s="14"/>
      <c r="DZR35" s="14"/>
      <c r="DZS35" s="14"/>
      <c r="DZT35" s="14"/>
      <c r="DZU35" s="14"/>
      <c r="DZV35" s="14"/>
      <c r="DZW35" s="14"/>
      <c r="DZX35" s="14"/>
      <c r="DZY35" s="14"/>
      <c r="DZZ35" s="14"/>
      <c r="EAA35" s="14"/>
      <c r="EAB35" s="14"/>
      <c r="EAC35" s="14"/>
      <c r="EAD35" s="14"/>
      <c r="EAE35" s="14"/>
      <c r="EAF35" s="14"/>
      <c r="EAG35" s="14"/>
      <c r="EAH35" s="14"/>
      <c r="EAI35" s="14"/>
      <c r="EAJ35" s="14"/>
      <c r="EAK35" s="14"/>
      <c r="EAL35" s="14"/>
      <c r="EAM35" s="14"/>
      <c r="EAN35" s="14"/>
      <c r="EAO35" s="14"/>
      <c r="EAP35" s="14"/>
      <c r="EAQ35" s="14"/>
      <c r="EAR35" s="14"/>
      <c r="EAS35" s="14"/>
      <c r="EAT35" s="14"/>
      <c r="EAU35" s="14"/>
      <c r="EAV35" s="14"/>
      <c r="EAW35" s="14"/>
      <c r="EAX35" s="14"/>
      <c r="EAY35" s="14"/>
      <c r="EAZ35" s="14"/>
      <c r="EBA35" s="14"/>
      <c r="EBB35" s="14"/>
      <c r="EBC35" s="14"/>
      <c r="EBD35" s="14"/>
      <c r="EBE35" s="14"/>
      <c r="EBF35" s="14"/>
      <c r="EBG35" s="14"/>
      <c r="EBH35" s="14"/>
      <c r="EBI35" s="14"/>
      <c r="EBJ35" s="14"/>
      <c r="EBK35" s="14"/>
      <c r="EBL35" s="14"/>
      <c r="EBM35" s="14"/>
      <c r="EBN35" s="14"/>
      <c r="EBO35" s="14"/>
      <c r="EBP35" s="14"/>
      <c r="EBQ35" s="14"/>
      <c r="EBR35" s="14"/>
      <c r="EBS35" s="14"/>
      <c r="EBT35" s="14"/>
      <c r="EBU35" s="14"/>
      <c r="EBV35" s="14"/>
      <c r="EBW35" s="14"/>
      <c r="EBX35" s="14"/>
      <c r="EBY35" s="14"/>
      <c r="EBZ35" s="14"/>
      <c r="ECA35" s="14"/>
      <c r="ECB35" s="14"/>
      <c r="ECC35" s="14"/>
      <c r="ECD35" s="14"/>
      <c r="ECE35" s="14"/>
      <c r="ECF35" s="14"/>
      <c r="ECG35" s="14"/>
      <c r="ECH35" s="14"/>
      <c r="ECI35" s="14"/>
      <c r="ECJ35" s="14"/>
      <c r="ECK35" s="14"/>
      <c r="ECL35" s="14"/>
      <c r="ECM35" s="14"/>
      <c r="ECN35" s="14"/>
      <c r="ECO35" s="14"/>
      <c r="ECP35" s="14"/>
      <c r="ECQ35" s="14"/>
      <c r="ECR35" s="14"/>
      <c r="ECS35" s="14"/>
      <c r="ECT35" s="14"/>
      <c r="ECU35" s="14"/>
      <c r="ECV35" s="14"/>
      <c r="ECW35" s="14"/>
      <c r="ECX35" s="14"/>
      <c r="ECY35" s="14"/>
      <c r="ECZ35" s="14"/>
      <c r="EDA35" s="14"/>
      <c r="EDB35" s="14"/>
      <c r="EDC35" s="14"/>
      <c r="EDD35" s="14"/>
      <c r="EDE35" s="14"/>
      <c r="EDF35" s="14"/>
      <c r="EDG35" s="14"/>
      <c r="EDH35" s="14"/>
      <c r="EDI35" s="14"/>
      <c r="EDJ35" s="14"/>
      <c r="EDK35" s="14"/>
      <c r="EDL35" s="14"/>
      <c r="EDM35" s="14"/>
      <c r="EDN35" s="14"/>
      <c r="EDO35" s="14"/>
      <c r="EDP35" s="14"/>
      <c r="EDQ35" s="14"/>
      <c r="EDR35" s="14"/>
      <c r="EDS35" s="14"/>
      <c r="EDT35" s="14"/>
      <c r="EDU35" s="14"/>
      <c r="EDV35" s="14"/>
      <c r="EDW35" s="14"/>
      <c r="EDX35" s="14"/>
      <c r="EDY35" s="14"/>
      <c r="EDZ35" s="14"/>
      <c r="EEA35" s="14"/>
      <c r="EEB35" s="14"/>
      <c r="EEC35" s="14"/>
      <c r="EED35" s="14"/>
      <c r="EEE35" s="14"/>
      <c r="EEF35" s="14"/>
      <c r="EEG35" s="14"/>
      <c r="EEH35" s="14"/>
      <c r="EEI35" s="14"/>
      <c r="EEJ35" s="14"/>
      <c r="EEK35" s="14"/>
      <c r="EEL35" s="14"/>
      <c r="EEM35" s="14"/>
      <c r="EEN35" s="14"/>
      <c r="EEO35" s="14"/>
      <c r="EEP35" s="14"/>
      <c r="EEQ35" s="14"/>
      <c r="EER35" s="14"/>
      <c r="EES35" s="14"/>
      <c r="EET35" s="14"/>
      <c r="EEU35" s="14"/>
      <c r="EEV35" s="14"/>
      <c r="EEW35" s="14"/>
      <c r="EEX35" s="14"/>
      <c r="EEY35" s="14"/>
      <c r="EEZ35" s="14"/>
      <c r="EFA35" s="14"/>
      <c r="EFB35" s="14"/>
      <c r="EFC35" s="14"/>
      <c r="EFD35" s="14"/>
      <c r="EFE35" s="14"/>
      <c r="EFF35" s="14"/>
      <c r="EFG35" s="14"/>
      <c r="EFH35" s="14"/>
      <c r="EFI35" s="14"/>
      <c r="EFJ35" s="14"/>
      <c r="EFK35" s="14"/>
      <c r="EFL35" s="14"/>
      <c r="EFM35" s="14"/>
      <c r="EFN35" s="14"/>
      <c r="EFO35" s="14"/>
      <c r="EFP35" s="14"/>
      <c r="EFQ35" s="14"/>
      <c r="EFR35" s="14"/>
      <c r="EFS35" s="14"/>
      <c r="EFT35" s="14"/>
      <c r="EFU35" s="14"/>
      <c r="EFV35" s="14"/>
      <c r="EFW35" s="14"/>
      <c r="EFX35" s="14"/>
      <c r="EFY35" s="14"/>
      <c r="EFZ35" s="14"/>
      <c r="EGA35" s="14"/>
      <c r="EGB35" s="14"/>
      <c r="EGC35" s="14"/>
      <c r="EGD35" s="14"/>
      <c r="EGE35" s="14"/>
      <c r="EGF35" s="14"/>
      <c r="EGG35" s="14"/>
      <c r="EGH35" s="14"/>
      <c r="EGI35" s="14"/>
      <c r="EGJ35" s="14"/>
      <c r="EGK35" s="14"/>
      <c r="EGL35" s="14"/>
      <c r="EGM35" s="14"/>
      <c r="EGN35" s="14"/>
      <c r="EGO35" s="14"/>
      <c r="EGP35" s="14"/>
      <c r="EGQ35" s="14"/>
      <c r="EGR35" s="14"/>
      <c r="EGS35" s="14"/>
      <c r="EGT35" s="14"/>
      <c r="EGU35" s="14"/>
      <c r="EGV35" s="14"/>
      <c r="EGW35" s="14"/>
      <c r="EGX35" s="14"/>
      <c r="EGY35" s="14"/>
      <c r="EGZ35" s="14"/>
      <c r="EHA35" s="14"/>
      <c r="EHB35" s="14"/>
      <c r="EHC35" s="14"/>
      <c r="EHD35" s="14"/>
      <c r="EHE35" s="14"/>
      <c r="EHF35" s="14"/>
      <c r="EHG35" s="14"/>
      <c r="EHH35" s="14"/>
      <c r="EHI35" s="14"/>
      <c r="EHJ35" s="14"/>
      <c r="EHK35" s="14"/>
      <c r="EHL35" s="14"/>
      <c r="EHM35" s="14"/>
      <c r="EHN35" s="14"/>
      <c r="EHO35" s="14"/>
      <c r="EHP35" s="14"/>
      <c r="EHQ35" s="14"/>
      <c r="EHR35" s="14"/>
      <c r="EHS35" s="14"/>
      <c r="EHT35" s="14"/>
      <c r="EHU35" s="14"/>
      <c r="EHV35" s="14"/>
      <c r="EHW35" s="14"/>
      <c r="EHX35" s="14"/>
      <c r="EHY35" s="14"/>
      <c r="EHZ35" s="14"/>
      <c r="EIA35" s="14"/>
      <c r="EIB35" s="14"/>
      <c r="EIC35" s="14"/>
      <c r="EID35" s="14"/>
      <c r="EIE35" s="14"/>
      <c r="EIF35" s="14"/>
      <c r="EIG35" s="14"/>
      <c r="EIH35" s="14"/>
      <c r="EII35" s="14"/>
      <c r="EIJ35" s="14"/>
      <c r="EIK35" s="14"/>
      <c r="EIL35" s="14"/>
      <c r="EIM35" s="14"/>
      <c r="EIN35" s="14"/>
      <c r="EIO35" s="14"/>
      <c r="EIP35" s="14"/>
      <c r="EIQ35" s="14"/>
      <c r="EIR35" s="14"/>
      <c r="EIS35" s="14"/>
      <c r="EIT35" s="14"/>
      <c r="EIU35" s="14"/>
      <c r="EIV35" s="14"/>
      <c r="EIW35" s="14"/>
      <c r="EIX35" s="14"/>
      <c r="EIY35" s="14"/>
      <c r="EIZ35" s="14"/>
      <c r="EJA35" s="14"/>
      <c r="EJB35" s="14"/>
      <c r="EJC35" s="14"/>
      <c r="EJD35" s="14"/>
      <c r="EJE35" s="14"/>
      <c r="EJF35" s="14"/>
      <c r="EJG35" s="14"/>
      <c r="EJH35" s="14"/>
      <c r="EJI35" s="14"/>
      <c r="EJJ35" s="14"/>
      <c r="EJK35" s="14"/>
      <c r="EJL35" s="14"/>
      <c r="EJM35" s="14"/>
      <c r="EJN35" s="14"/>
      <c r="EJO35" s="14"/>
      <c r="EJP35" s="14"/>
      <c r="EJQ35" s="14"/>
      <c r="EJR35" s="14"/>
      <c r="EJS35" s="14"/>
      <c r="EJT35" s="14"/>
      <c r="EJU35" s="14"/>
      <c r="EJV35" s="14"/>
      <c r="EJW35" s="14"/>
      <c r="EJX35" s="14"/>
      <c r="EJY35" s="14"/>
      <c r="EJZ35" s="14"/>
      <c r="EKA35" s="14"/>
      <c r="EKB35" s="14"/>
      <c r="EKC35" s="14"/>
      <c r="EKD35" s="14"/>
      <c r="EKE35" s="14"/>
      <c r="EKF35" s="14"/>
      <c r="EKG35" s="14"/>
      <c r="EKH35" s="14"/>
      <c r="EKI35" s="14"/>
      <c r="EKJ35" s="14"/>
      <c r="EKK35" s="14"/>
      <c r="EKL35" s="14"/>
      <c r="EKM35" s="14"/>
      <c r="EKN35" s="14"/>
      <c r="EKO35" s="14"/>
      <c r="EKP35" s="14"/>
      <c r="EKQ35" s="14"/>
      <c r="EKR35" s="14"/>
      <c r="EKS35" s="14"/>
      <c r="EKT35" s="14"/>
      <c r="EKU35" s="14"/>
      <c r="EKV35" s="14"/>
      <c r="EKW35" s="14"/>
      <c r="EKX35" s="14"/>
      <c r="EKY35" s="14"/>
      <c r="EKZ35" s="14"/>
      <c r="ELA35" s="14"/>
      <c r="ELB35" s="14"/>
      <c r="ELC35" s="14"/>
      <c r="ELD35" s="14"/>
      <c r="ELE35" s="14"/>
      <c r="ELF35" s="14"/>
      <c r="ELG35" s="14"/>
      <c r="ELH35" s="14"/>
      <c r="ELI35" s="14"/>
      <c r="ELJ35" s="14"/>
      <c r="ELK35" s="14"/>
      <c r="ELL35" s="14"/>
      <c r="ELM35" s="14"/>
      <c r="ELN35" s="14"/>
      <c r="ELO35" s="14"/>
      <c r="ELP35" s="14"/>
      <c r="ELQ35" s="14"/>
      <c r="ELR35" s="14"/>
      <c r="ELS35" s="14"/>
      <c r="ELT35" s="14"/>
      <c r="ELU35" s="14"/>
      <c r="ELV35" s="14"/>
      <c r="ELW35" s="14"/>
      <c r="ELX35" s="14"/>
      <c r="ELY35" s="14"/>
      <c r="ELZ35" s="14"/>
      <c r="EMA35" s="14"/>
      <c r="EMB35" s="14"/>
      <c r="EMC35" s="14"/>
      <c r="EMD35" s="14"/>
      <c r="EME35" s="14"/>
      <c r="EMF35" s="14"/>
      <c r="EMG35" s="14"/>
      <c r="EMH35" s="14"/>
      <c r="EMI35" s="14"/>
      <c r="EMJ35" s="14"/>
      <c r="EMK35" s="14"/>
      <c r="EML35" s="14"/>
      <c r="EMM35" s="14"/>
      <c r="EMN35" s="14"/>
      <c r="EMO35" s="14"/>
      <c r="EMP35" s="14"/>
      <c r="EMQ35" s="14"/>
      <c r="EMR35" s="14"/>
      <c r="EMS35" s="14"/>
      <c r="EMT35" s="14"/>
      <c r="EMU35" s="14"/>
      <c r="EMV35" s="14"/>
      <c r="EMW35" s="14"/>
      <c r="EMX35" s="14"/>
      <c r="EMY35" s="14"/>
      <c r="EMZ35" s="14"/>
      <c r="ENA35" s="14"/>
      <c r="ENB35" s="14"/>
      <c r="ENC35" s="14"/>
      <c r="END35" s="14"/>
      <c r="ENE35" s="14"/>
      <c r="ENF35" s="14"/>
      <c r="ENG35" s="14"/>
      <c r="ENH35" s="14"/>
      <c r="ENI35" s="14"/>
      <c r="ENJ35" s="14"/>
      <c r="ENK35" s="14"/>
      <c r="ENL35" s="14"/>
      <c r="ENM35" s="14"/>
      <c r="ENN35" s="14"/>
      <c r="ENO35" s="14"/>
      <c r="ENP35" s="14"/>
      <c r="ENQ35" s="14"/>
      <c r="ENR35" s="14"/>
      <c r="ENS35" s="14"/>
      <c r="ENT35" s="14"/>
      <c r="ENU35" s="14"/>
      <c r="ENV35" s="14"/>
      <c r="ENW35" s="14"/>
      <c r="ENX35" s="14"/>
      <c r="ENY35" s="14"/>
      <c r="ENZ35" s="14"/>
      <c r="EOA35" s="14"/>
      <c r="EOB35" s="14"/>
      <c r="EOC35" s="14"/>
      <c r="EOD35" s="14"/>
      <c r="EOE35" s="14"/>
      <c r="EOF35" s="14"/>
      <c r="EOG35" s="14"/>
      <c r="EOH35" s="14"/>
      <c r="EOI35" s="14"/>
      <c r="EOJ35" s="14"/>
      <c r="EOK35" s="14"/>
      <c r="EOL35" s="14"/>
      <c r="EOM35" s="14"/>
      <c r="EON35" s="14"/>
      <c r="EOO35" s="14"/>
      <c r="EOP35" s="14"/>
      <c r="EOQ35" s="14"/>
      <c r="EOR35" s="14"/>
      <c r="EOS35" s="14"/>
      <c r="EOT35" s="14"/>
      <c r="EOU35" s="14"/>
      <c r="EOV35" s="14"/>
      <c r="EOW35" s="14"/>
      <c r="EOX35" s="14"/>
      <c r="EOY35" s="14"/>
      <c r="EOZ35" s="14"/>
      <c r="EPA35" s="14"/>
      <c r="EPB35" s="14"/>
      <c r="EPC35" s="14"/>
      <c r="EPD35" s="14"/>
      <c r="EPE35" s="14"/>
      <c r="EPF35" s="14"/>
      <c r="EPG35" s="14"/>
      <c r="EPH35" s="14"/>
      <c r="EPI35" s="14"/>
      <c r="EPJ35" s="14"/>
      <c r="EPK35" s="14"/>
      <c r="EPL35" s="14"/>
      <c r="EPM35" s="14"/>
      <c r="EPN35" s="14"/>
      <c r="EPO35" s="14"/>
      <c r="EPP35" s="14"/>
      <c r="EPQ35" s="14"/>
      <c r="EPR35" s="14"/>
      <c r="EPS35" s="14"/>
      <c r="EPT35" s="14"/>
      <c r="EPU35" s="14"/>
      <c r="EPV35" s="14"/>
      <c r="EPW35" s="14"/>
      <c r="EPX35" s="14"/>
      <c r="EPY35" s="14"/>
      <c r="EPZ35" s="14"/>
      <c r="EQA35" s="14"/>
      <c r="EQB35" s="14"/>
      <c r="EQC35" s="14"/>
      <c r="EQD35" s="14"/>
      <c r="EQE35" s="14"/>
      <c r="EQF35" s="14"/>
      <c r="EQG35" s="14"/>
      <c r="EQH35" s="14"/>
      <c r="EQI35" s="14"/>
      <c r="EQJ35" s="14"/>
      <c r="EQK35" s="14"/>
      <c r="EQL35" s="14"/>
      <c r="EQM35" s="14"/>
      <c r="EQN35" s="14"/>
      <c r="EQO35" s="14"/>
      <c r="EQP35" s="14"/>
      <c r="EQQ35" s="14"/>
      <c r="EQR35" s="14"/>
      <c r="EQS35" s="14"/>
      <c r="EQT35" s="14"/>
      <c r="EQU35" s="14"/>
      <c r="EQV35" s="14"/>
      <c r="EQW35" s="14"/>
      <c r="EQX35" s="14"/>
      <c r="EQY35" s="14"/>
      <c r="EQZ35" s="14"/>
      <c r="ERA35" s="14"/>
      <c r="ERB35" s="14"/>
      <c r="ERC35" s="14"/>
      <c r="ERD35" s="14"/>
      <c r="ERE35" s="14"/>
      <c r="ERF35" s="14"/>
      <c r="ERG35" s="14"/>
      <c r="ERH35" s="14"/>
      <c r="ERI35" s="14"/>
      <c r="ERJ35" s="14"/>
      <c r="ERK35" s="14"/>
      <c r="ERL35" s="14"/>
      <c r="ERM35" s="14"/>
      <c r="ERN35" s="14"/>
      <c r="ERO35" s="14"/>
      <c r="ERP35" s="14"/>
      <c r="ERQ35" s="14"/>
      <c r="ERR35" s="14"/>
      <c r="ERS35" s="14"/>
      <c r="ERT35" s="14"/>
      <c r="ERU35" s="14"/>
      <c r="ERV35" s="14"/>
      <c r="ERW35" s="14"/>
      <c r="ERX35" s="14"/>
      <c r="ERY35" s="14"/>
      <c r="ERZ35" s="14"/>
      <c r="ESA35" s="14"/>
      <c r="ESB35" s="14"/>
      <c r="ESC35" s="14"/>
      <c r="ESD35" s="14"/>
      <c r="ESE35" s="14"/>
      <c r="ESF35" s="14"/>
      <c r="ESG35" s="14"/>
      <c r="ESH35" s="14"/>
      <c r="ESI35" s="14"/>
      <c r="ESJ35" s="14"/>
      <c r="ESK35" s="14"/>
      <c r="ESL35" s="14"/>
      <c r="ESM35" s="14"/>
      <c r="ESN35" s="14"/>
      <c r="ESO35" s="14"/>
      <c r="ESP35" s="14"/>
      <c r="ESQ35" s="14"/>
      <c r="ESR35" s="14"/>
      <c r="ESS35" s="14"/>
      <c r="EST35" s="14"/>
      <c r="ESU35" s="14"/>
      <c r="ESV35" s="14"/>
      <c r="ESW35" s="14"/>
      <c r="ESX35" s="14"/>
      <c r="ESY35" s="14"/>
      <c r="ESZ35" s="14"/>
      <c r="ETA35" s="14"/>
      <c r="ETB35" s="14"/>
      <c r="ETC35" s="14"/>
      <c r="ETD35" s="14"/>
      <c r="ETE35" s="14"/>
      <c r="ETF35" s="14"/>
      <c r="ETG35" s="14"/>
      <c r="ETH35" s="14"/>
      <c r="ETI35" s="14"/>
      <c r="ETJ35" s="14"/>
      <c r="ETK35" s="14"/>
      <c r="ETL35" s="14"/>
      <c r="ETM35" s="14"/>
      <c r="ETN35" s="14"/>
      <c r="ETO35" s="14"/>
      <c r="ETP35" s="14"/>
      <c r="ETQ35" s="14"/>
      <c r="ETR35" s="14"/>
      <c r="ETS35" s="14"/>
      <c r="ETT35" s="14"/>
      <c r="ETU35" s="14"/>
      <c r="ETV35" s="14"/>
      <c r="ETW35" s="14"/>
      <c r="ETX35" s="14"/>
      <c r="ETY35" s="14"/>
      <c r="ETZ35" s="14"/>
      <c r="EUA35" s="14"/>
      <c r="EUB35" s="14"/>
      <c r="EUC35" s="14"/>
      <c r="EUD35" s="14"/>
      <c r="EUE35" s="14"/>
      <c r="EUF35" s="14"/>
      <c r="EUG35" s="14"/>
      <c r="EUH35" s="14"/>
      <c r="EUI35" s="14"/>
      <c r="EUJ35" s="14"/>
      <c r="EUK35" s="14"/>
      <c r="EUL35" s="14"/>
      <c r="EUM35" s="14"/>
      <c r="EUN35" s="14"/>
      <c r="EUO35" s="14"/>
      <c r="EUP35" s="14"/>
      <c r="EUQ35" s="14"/>
      <c r="EUR35" s="14"/>
      <c r="EUS35" s="14"/>
      <c r="EUT35" s="14"/>
      <c r="EUU35" s="14"/>
      <c r="EUV35" s="14"/>
      <c r="EUW35" s="14"/>
      <c r="EUX35" s="14"/>
      <c r="EUY35" s="14"/>
      <c r="EUZ35" s="14"/>
      <c r="EVA35" s="14"/>
      <c r="EVB35" s="14"/>
      <c r="EVC35" s="14"/>
      <c r="EVD35" s="14"/>
      <c r="EVE35" s="14"/>
      <c r="EVF35" s="14"/>
      <c r="EVG35" s="14"/>
      <c r="EVH35" s="14"/>
      <c r="EVI35" s="14"/>
      <c r="EVJ35" s="14"/>
      <c r="EVK35" s="14"/>
      <c r="EVL35" s="14"/>
      <c r="EVM35" s="14"/>
      <c r="EVN35" s="14"/>
      <c r="EVO35" s="14"/>
      <c r="EVP35" s="14"/>
      <c r="EVQ35" s="14"/>
      <c r="EVR35" s="14"/>
      <c r="EVS35" s="14"/>
      <c r="EVT35" s="14"/>
      <c r="EVU35" s="14"/>
      <c r="EVV35" s="14"/>
      <c r="EVW35" s="14"/>
      <c r="EVX35" s="14"/>
      <c r="EVY35" s="14"/>
      <c r="EVZ35" s="14"/>
      <c r="EWA35" s="14"/>
      <c r="EWB35" s="14"/>
      <c r="EWC35" s="14"/>
      <c r="EWD35" s="14"/>
      <c r="EWE35" s="14"/>
      <c r="EWF35" s="14"/>
      <c r="EWG35" s="14"/>
      <c r="EWH35" s="14"/>
      <c r="EWI35" s="14"/>
      <c r="EWJ35" s="14"/>
      <c r="EWK35" s="14"/>
      <c r="EWL35" s="14"/>
      <c r="EWM35" s="14"/>
      <c r="EWN35" s="14"/>
      <c r="EWO35" s="14"/>
      <c r="EWP35" s="14"/>
      <c r="EWQ35" s="14"/>
      <c r="EWR35" s="14"/>
      <c r="EWS35" s="14"/>
      <c r="EWT35" s="14"/>
      <c r="EWU35" s="14"/>
      <c r="EWV35" s="14"/>
      <c r="EWW35" s="14"/>
      <c r="EWX35" s="14"/>
      <c r="EWY35" s="14"/>
      <c r="EWZ35" s="14"/>
      <c r="EXA35" s="14"/>
      <c r="EXB35" s="14"/>
      <c r="EXC35" s="14"/>
      <c r="EXD35" s="14"/>
      <c r="EXE35" s="14"/>
      <c r="EXF35" s="14"/>
      <c r="EXG35" s="14"/>
      <c r="EXH35" s="14"/>
      <c r="EXI35" s="14"/>
      <c r="EXJ35" s="14"/>
      <c r="EXK35" s="14"/>
      <c r="EXL35" s="14"/>
      <c r="EXM35" s="14"/>
      <c r="EXN35" s="14"/>
      <c r="EXO35" s="14"/>
      <c r="EXP35" s="14"/>
      <c r="EXQ35" s="14"/>
      <c r="EXR35" s="14"/>
      <c r="EXS35" s="14"/>
      <c r="EXT35" s="14"/>
      <c r="EXU35" s="14"/>
      <c r="EXV35" s="14"/>
      <c r="EXW35" s="14"/>
      <c r="EXX35" s="14"/>
      <c r="EXY35" s="14"/>
      <c r="EXZ35" s="14"/>
      <c r="EYA35" s="14"/>
      <c r="EYB35" s="14"/>
      <c r="EYC35" s="14"/>
      <c r="EYD35" s="14"/>
      <c r="EYE35" s="14"/>
      <c r="EYF35" s="14"/>
      <c r="EYG35" s="14"/>
      <c r="EYH35" s="14"/>
      <c r="EYI35" s="14"/>
      <c r="EYJ35" s="14"/>
      <c r="EYK35" s="14"/>
      <c r="EYL35" s="14"/>
      <c r="EYM35" s="14"/>
      <c r="EYN35" s="14"/>
      <c r="EYO35" s="14"/>
      <c r="EYP35" s="14"/>
      <c r="EYQ35" s="14"/>
      <c r="EYR35" s="14"/>
      <c r="EYS35" s="14"/>
      <c r="EYT35" s="14"/>
      <c r="EYU35" s="14"/>
      <c r="EYV35" s="14"/>
      <c r="EYW35" s="14"/>
      <c r="EYX35" s="14"/>
      <c r="EYY35" s="14"/>
      <c r="EYZ35" s="14"/>
      <c r="EZA35" s="14"/>
      <c r="EZB35" s="14"/>
      <c r="EZC35" s="14"/>
      <c r="EZD35" s="14"/>
      <c r="EZE35" s="14"/>
      <c r="EZF35" s="14"/>
      <c r="EZG35" s="14"/>
      <c r="EZH35" s="14"/>
      <c r="EZI35" s="14"/>
      <c r="EZJ35" s="14"/>
      <c r="EZK35" s="14"/>
      <c r="EZL35" s="14"/>
      <c r="EZM35" s="14"/>
      <c r="EZN35" s="14"/>
      <c r="EZO35" s="14"/>
      <c r="EZP35" s="14"/>
      <c r="EZQ35" s="14"/>
      <c r="EZR35" s="14"/>
      <c r="EZS35" s="14"/>
      <c r="EZT35" s="14"/>
      <c r="EZU35" s="14"/>
      <c r="EZV35" s="14"/>
      <c r="EZW35" s="14"/>
      <c r="EZX35" s="14"/>
      <c r="EZY35" s="14"/>
      <c r="EZZ35" s="14"/>
      <c r="FAA35" s="14"/>
      <c r="FAB35" s="14"/>
      <c r="FAC35" s="14"/>
      <c r="FAD35" s="14"/>
      <c r="FAE35" s="14"/>
      <c r="FAF35" s="14"/>
      <c r="FAG35" s="14"/>
      <c r="FAH35" s="14"/>
      <c r="FAI35" s="14"/>
      <c r="FAJ35" s="14"/>
      <c r="FAK35" s="14"/>
      <c r="FAL35" s="14"/>
      <c r="FAM35" s="14"/>
      <c r="FAN35" s="14"/>
      <c r="FAO35" s="14"/>
      <c r="FAP35" s="14"/>
      <c r="FAQ35" s="14"/>
      <c r="FAR35" s="14"/>
      <c r="FAS35" s="14"/>
      <c r="FAT35" s="14"/>
      <c r="FAU35" s="14"/>
      <c r="FAV35" s="14"/>
      <c r="FAW35" s="14"/>
      <c r="FAX35" s="14"/>
      <c r="FAY35" s="14"/>
      <c r="FAZ35" s="14"/>
      <c r="FBA35" s="14"/>
      <c r="FBB35" s="14"/>
      <c r="FBC35" s="14"/>
      <c r="FBD35" s="14"/>
      <c r="FBE35" s="14"/>
      <c r="FBF35" s="14"/>
      <c r="FBG35" s="14"/>
      <c r="FBH35" s="14"/>
      <c r="FBI35" s="14"/>
      <c r="FBJ35" s="14"/>
      <c r="FBK35" s="14"/>
      <c r="FBL35" s="14"/>
      <c r="FBM35" s="14"/>
      <c r="FBN35" s="14"/>
      <c r="FBO35" s="14"/>
      <c r="FBP35" s="14"/>
      <c r="FBQ35" s="14"/>
      <c r="FBR35" s="14"/>
      <c r="FBS35" s="14"/>
      <c r="FBT35" s="14"/>
      <c r="FBU35" s="14"/>
      <c r="FBV35" s="14"/>
      <c r="FBW35" s="14"/>
      <c r="FBX35" s="14"/>
      <c r="FBY35" s="14"/>
      <c r="FBZ35" s="14"/>
      <c r="FCA35" s="14"/>
      <c r="FCB35" s="14"/>
      <c r="FCC35" s="14"/>
      <c r="FCD35" s="14"/>
      <c r="FCE35" s="14"/>
      <c r="FCF35" s="14"/>
      <c r="FCG35" s="14"/>
      <c r="FCH35" s="14"/>
      <c r="FCI35" s="14"/>
      <c r="FCJ35" s="14"/>
      <c r="FCK35" s="14"/>
      <c r="FCL35" s="14"/>
      <c r="FCM35" s="14"/>
      <c r="FCN35" s="14"/>
      <c r="FCO35" s="14"/>
      <c r="FCP35" s="14"/>
      <c r="FCQ35" s="14"/>
      <c r="FCR35" s="14"/>
      <c r="FCS35" s="14"/>
      <c r="FCT35" s="14"/>
      <c r="FCU35" s="14"/>
      <c r="FCV35" s="14"/>
      <c r="FCW35" s="14"/>
      <c r="FCX35" s="14"/>
      <c r="FCY35" s="14"/>
      <c r="FCZ35" s="14"/>
      <c r="FDA35" s="14"/>
      <c r="FDB35" s="14"/>
      <c r="FDC35" s="14"/>
      <c r="FDD35" s="14"/>
      <c r="FDE35" s="14"/>
      <c r="FDF35" s="14"/>
      <c r="FDG35" s="14"/>
      <c r="FDH35" s="14"/>
      <c r="FDI35" s="14"/>
      <c r="FDJ35" s="14"/>
      <c r="FDK35" s="14"/>
      <c r="FDL35" s="14"/>
      <c r="FDM35" s="14"/>
      <c r="FDN35" s="14"/>
      <c r="FDO35" s="14"/>
      <c r="FDP35" s="14"/>
      <c r="FDQ35" s="14"/>
      <c r="FDR35" s="14"/>
      <c r="FDS35" s="14"/>
      <c r="FDT35" s="14"/>
      <c r="FDU35" s="14"/>
      <c r="FDV35" s="14"/>
      <c r="FDW35" s="14"/>
      <c r="FDX35" s="14"/>
      <c r="FDY35" s="14"/>
      <c r="FDZ35" s="14"/>
      <c r="FEA35" s="14"/>
      <c r="FEB35" s="14"/>
      <c r="FEC35" s="14"/>
      <c r="FED35" s="14"/>
      <c r="FEE35" s="14"/>
      <c r="FEF35" s="14"/>
      <c r="FEG35" s="14"/>
      <c r="FEH35" s="14"/>
      <c r="FEI35" s="14"/>
      <c r="FEJ35" s="14"/>
      <c r="FEK35" s="14"/>
      <c r="FEL35" s="14"/>
      <c r="FEM35" s="14"/>
      <c r="FEN35" s="14"/>
      <c r="FEO35" s="14"/>
      <c r="FEP35" s="14"/>
      <c r="FEQ35" s="14"/>
      <c r="FER35" s="14"/>
      <c r="FES35" s="14"/>
      <c r="FET35" s="14"/>
      <c r="FEU35" s="14"/>
      <c r="FEV35" s="14"/>
      <c r="FEW35" s="14"/>
      <c r="FEX35" s="14"/>
      <c r="FEY35" s="14"/>
      <c r="FEZ35" s="14"/>
      <c r="FFA35" s="14"/>
      <c r="FFB35" s="14"/>
      <c r="FFC35" s="14"/>
      <c r="FFD35" s="14"/>
      <c r="FFE35" s="14"/>
      <c r="FFF35" s="14"/>
      <c r="FFG35" s="14"/>
      <c r="FFH35" s="14"/>
      <c r="FFI35" s="14"/>
      <c r="FFJ35" s="14"/>
      <c r="FFK35" s="14"/>
      <c r="FFL35" s="14"/>
      <c r="FFM35" s="14"/>
      <c r="FFN35" s="14"/>
      <c r="FFO35" s="14"/>
      <c r="FFP35" s="14"/>
      <c r="FFQ35" s="14"/>
      <c r="FFR35" s="14"/>
      <c r="FFS35" s="14"/>
      <c r="FFT35" s="14"/>
      <c r="FFU35" s="14"/>
      <c r="FFV35" s="14"/>
      <c r="FFW35" s="14"/>
      <c r="FFX35" s="14"/>
      <c r="FFY35" s="14"/>
      <c r="FFZ35" s="14"/>
      <c r="FGA35" s="14"/>
      <c r="FGB35" s="14"/>
      <c r="FGC35" s="14"/>
      <c r="FGD35" s="14"/>
      <c r="FGE35" s="14"/>
      <c r="FGF35" s="14"/>
      <c r="FGG35" s="14"/>
      <c r="FGH35" s="14"/>
      <c r="FGI35" s="14"/>
      <c r="FGJ35" s="14"/>
      <c r="FGK35" s="14"/>
      <c r="FGL35" s="14"/>
      <c r="FGM35" s="14"/>
      <c r="FGN35" s="14"/>
      <c r="FGO35" s="14"/>
      <c r="FGP35" s="14"/>
      <c r="FGQ35" s="14"/>
      <c r="FGR35" s="14"/>
      <c r="FGS35" s="14"/>
      <c r="FGT35" s="14"/>
      <c r="FGU35" s="14"/>
      <c r="FGV35" s="14"/>
      <c r="FGW35" s="14"/>
      <c r="FGX35" s="14"/>
      <c r="FGY35" s="14"/>
      <c r="FGZ35" s="14"/>
      <c r="FHA35" s="14"/>
      <c r="FHB35" s="14"/>
      <c r="FHC35" s="14"/>
      <c r="FHD35" s="14"/>
      <c r="FHE35" s="14"/>
      <c r="FHF35" s="14"/>
      <c r="FHG35" s="14"/>
      <c r="FHH35" s="14"/>
      <c r="FHI35" s="14"/>
      <c r="FHJ35" s="14"/>
      <c r="FHK35" s="14"/>
      <c r="FHL35" s="14"/>
      <c r="FHM35" s="14"/>
      <c r="FHN35" s="14"/>
      <c r="FHO35" s="14"/>
      <c r="FHP35" s="14"/>
      <c r="FHQ35" s="14"/>
      <c r="FHR35" s="14"/>
      <c r="FHS35" s="14"/>
      <c r="FHT35" s="14"/>
      <c r="FHU35" s="14"/>
      <c r="FHV35" s="14"/>
      <c r="FHW35" s="14"/>
      <c r="FHX35" s="14"/>
      <c r="FHY35" s="14"/>
      <c r="FHZ35" s="14"/>
      <c r="FIA35" s="14"/>
      <c r="FIB35" s="14"/>
      <c r="FIC35" s="14"/>
      <c r="FID35" s="14"/>
      <c r="FIE35" s="14"/>
      <c r="FIF35" s="14"/>
      <c r="FIG35" s="14"/>
      <c r="FIH35" s="14"/>
      <c r="FII35" s="14"/>
      <c r="FIJ35" s="14"/>
      <c r="FIK35" s="14"/>
      <c r="FIL35" s="14"/>
      <c r="FIM35" s="14"/>
      <c r="FIN35" s="14"/>
      <c r="FIO35" s="14"/>
      <c r="FIP35" s="14"/>
      <c r="FIQ35" s="14"/>
      <c r="FIR35" s="14"/>
      <c r="FIS35" s="14"/>
      <c r="FIT35" s="14"/>
      <c r="FIU35" s="14"/>
      <c r="FIV35" s="14"/>
      <c r="FIW35" s="14"/>
      <c r="FIX35" s="14"/>
      <c r="FIY35" s="14"/>
      <c r="FIZ35" s="14"/>
      <c r="FJA35" s="14"/>
      <c r="FJB35" s="14"/>
      <c r="FJC35" s="14"/>
      <c r="FJD35" s="14"/>
      <c r="FJE35" s="14"/>
      <c r="FJF35" s="14"/>
      <c r="FJG35" s="14"/>
      <c r="FJH35" s="14"/>
      <c r="FJI35" s="14"/>
      <c r="FJJ35" s="14"/>
      <c r="FJK35" s="14"/>
      <c r="FJL35" s="14"/>
      <c r="FJM35" s="14"/>
      <c r="FJN35" s="14"/>
      <c r="FJO35" s="14"/>
      <c r="FJP35" s="14"/>
      <c r="FJQ35" s="14"/>
      <c r="FJR35" s="14"/>
      <c r="FJS35" s="14"/>
      <c r="FJT35" s="14"/>
      <c r="FJU35" s="14"/>
      <c r="FJV35" s="14"/>
      <c r="FJW35" s="14"/>
      <c r="FJX35" s="14"/>
      <c r="FJY35" s="14"/>
      <c r="FJZ35" s="14"/>
      <c r="FKA35" s="14"/>
      <c r="FKB35" s="14"/>
      <c r="FKC35" s="14"/>
      <c r="FKD35" s="14"/>
      <c r="FKE35" s="14"/>
      <c r="FKF35" s="14"/>
      <c r="FKG35" s="14"/>
      <c r="FKH35" s="14"/>
      <c r="FKI35" s="14"/>
      <c r="FKJ35" s="14"/>
      <c r="FKK35" s="14"/>
      <c r="FKL35" s="14"/>
      <c r="FKM35" s="14"/>
      <c r="FKN35" s="14"/>
      <c r="FKO35" s="14"/>
      <c r="FKP35" s="14"/>
      <c r="FKQ35" s="14"/>
      <c r="FKR35" s="14"/>
      <c r="FKS35" s="14"/>
      <c r="FKT35" s="14"/>
      <c r="FKU35" s="14"/>
      <c r="FKV35" s="14"/>
      <c r="FKW35" s="14"/>
      <c r="FKX35" s="14"/>
      <c r="FKY35" s="14"/>
      <c r="FKZ35" s="14"/>
      <c r="FLA35" s="14"/>
      <c r="FLB35" s="14"/>
      <c r="FLC35" s="14"/>
      <c r="FLD35" s="14"/>
      <c r="FLE35" s="14"/>
      <c r="FLF35" s="14"/>
      <c r="FLG35" s="14"/>
      <c r="FLH35" s="14"/>
      <c r="FLI35" s="14"/>
      <c r="FLJ35" s="14"/>
      <c r="FLK35" s="14"/>
      <c r="FLL35" s="14"/>
      <c r="FLM35" s="14"/>
      <c r="FLN35" s="14"/>
      <c r="FLO35" s="14"/>
      <c r="FLP35" s="14"/>
      <c r="FLQ35" s="14"/>
      <c r="FLR35" s="14"/>
      <c r="FLS35" s="14"/>
      <c r="FLT35" s="14"/>
      <c r="FLU35" s="14"/>
      <c r="FLV35" s="14"/>
      <c r="FLW35" s="14"/>
      <c r="FLX35" s="14"/>
      <c r="FLY35" s="14"/>
      <c r="FLZ35" s="14"/>
      <c r="FMA35" s="14"/>
      <c r="FMB35" s="14"/>
      <c r="FMC35" s="14"/>
      <c r="FMD35" s="14"/>
      <c r="FME35" s="14"/>
      <c r="FMF35" s="14"/>
      <c r="FMG35" s="14"/>
      <c r="FMH35" s="14"/>
      <c r="FMI35" s="14"/>
      <c r="FMJ35" s="14"/>
      <c r="FMK35" s="14"/>
      <c r="FML35" s="14"/>
      <c r="FMM35" s="14"/>
      <c r="FMN35" s="14"/>
      <c r="FMO35" s="14"/>
      <c r="FMP35" s="14"/>
      <c r="FMQ35" s="14"/>
      <c r="FMR35" s="14"/>
      <c r="FMS35" s="14"/>
      <c r="FMT35" s="14"/>
      <c r="FMU35" s="14"/>
      <c r="FMV35" s="14"/>
      <c r="FMW35" s="14"/>
      <c r="FMX35" s="14"/>
      <c r="FMY35" s="14"/>
      <c r="FMZ35" s="14"/>
      <c r="FNA35" s="14"/>
      <c r="FNB35" s="14"/>
      <c r="FNC35" s="14"/>
      <c r="FND35" s="14"/>
      <c r="FNE35" s="14"/>
      <c r="FNF35" s="14"/>
      <c r="FNG35" s="14"/>
      <c r="FNH35" s="14"/>
      <c r="FNI35" s="14"/>
      <c r="FNJ35" s="14"/>
      <c r="FNK35" s="14"/>
      <c r="FNL35" s="14"/>
      <c r="FNM35" s="14"/>
      <c r="FNN35" s="14"/>
      <c r="FNO35" s="14"/>
      <c r="FNP35" s="14"/>
      <c r="FNQ35" s="14"/>
      <c r="FNR35" s="14"/>
      <c r="FNS35" s="14"/>
      <c r="FNT35" s="14"/>
      <c r="FNU35" s="14"/>
      <c r="FNV35" s="14"/>
      <c r="FNW35" s="14"/>
      <c r="FNX35" s="14"/>
      <c r="FNY35" s="14"/>
      <c r="FNZ35" s="14"/>
      <c r="FOA35" s="14"/>
      <c r="FOB35" s="14"/>
      <c r="FOC35" s="14"/>
      <c r="FOD35" s="14"/>
      <c r="FOE35" s="14"/>
      <c r="FOF35" s="14"/>
      <c r="FOG35" s="14"/>
      <c r="FOH35" s="14"/>
      <c r="FOI35" s="14"/>
      <c r="FOJ35" s="14"/>
      <c r="FOK35" s="14"/>
      <c r="FOL35" s="14"/>
      <c r="FOM35" s="14"/>
      <c r="FON35" s="14"/>
      <c r="FOO35" s="14"/>
      <c r="FOP35" s="14"/>
      <c r="FOQ35" s="14"/>
      <c r="FOR35" s="14"/>
      <c r="FOS35" s="14"/>
      <c r="FOT35" s="14"/>
      <c r="FOU35" s="14"/>
      <c r="FOV35" s="14"/>
      <c r="FOW35" s="14"/>
      <c r="FOX35" s="14"/>
      <c r="FOY35" s="14"/>
      <c r="FOZ35" s="14"/>
      <c r="FPA35" s="14"/>
      <c r="FPB35" s="14"/>
      <c r="FPC35" s="14"/>
      <c r="FPD35" s="14"/>
      <c r="FPE35" s="14"/>
      <c r="FPF35" s="14"/>
      <c r="FPG35" s="14"/>
      <c r="FPH35" s="14"/>
      <c r="FPI35" s="14"/>
      <c r="FPJ35" s="14"/>
      <c r="FPK35" s="14"/>
      <c r="FPL35" s="14"/>
      <c r="FPM35" s="14"/>
      <c r="FPN35" s="14"/>
      <c r="FPO35" s="14"/>
      <c r="FPP35" s="14"/>
      <c r="FPQ35" s="14"/>
      <c r="FPR35" s="14"/>
      <c r="FPS35" s="14"/>
      <c r="FPT35" s="14"/>
      <c r="FPU35" s="14"/>
      <c r="FPV35" s="14"/>
      <c r="FPW35" s="14"/>
      <c r="FPX35" s="14"/>
      <c r="FPY35" s="14"/>
      <c r="FPZ35" s="14"/>
      <c r="FQA35" s="14"/>
      <c r="FQB35" s="14"/>
      <c r="FQC35" s="14"/>
      <c r="FQD35" s="14"/>
      <c r="FQE35" s="14"/>
      <c r="FQF35" s="14"/>
      <c r="FQG35" s="14"/>
      <c r="FQH35" s="14"/>
      <c r="FQI35" s="14"/>
      <c r="FQJ35" s="14"/>
      <c r="FQK35" s="14"/>
      <c r="FQL35" s="14"/>
      <c r="FQM35" s="14"/>
      <c r="FQN35" s="14"/>
      <c r="FQO35" s="14"/>
      <c r="FQP35" s="14"/>
      <c r="FQQ35" s="14"/>
      <c r="FQR35" s="14"/>
      <c r="FQS35" s="14"/>
      <c r="FQT35" s="14"/>
      <c r="FQU35" s="14"/>
      <c r="FQV35" s="14"/>
      <c r="FQW35" s="14"/>
      <c r="FQX35" s="14"/>
      <c r="FQY35" s="14"/>
      <c r="FQZ35" s="14"/>
      <c r="FRA35" s="14"/>
      <c r="FRB35" s="14"/>
      <c r="FRC35" s="14"/>
      <c r="FRD35" s="14"/>
      <c r="FRE35" s="14"/>
      <c r="FRF35" s="14"/>
      <c r="FRG35" s="14"/>
      <c r="FRH35" s="14"/>
      <c r="FRI35" s="14"/>
      <c r="FRJ35" s="14"/>
      <c r="FRK35" s="14"/>
      <c r="FRL35" s="14"/>
      <c r="FRM35" s="14"/>
      <c r="FRN35" s="14"/>
      <c r="FRO35" s="14"/>
      <c r="FRP35" s="14"/>
      <c r="FRQ35" s="14"/>
      <c r="FRR35" s="14"/>
      <c r="FRS35" s="14"/>
      <c r="FRT35" s="14"/>
      <c r="FRU35" s="14"/>
      <c r="FRV35" s="14"/>
      <c r="FRW35" s="14"/>
      <c r="FRX35" s="14"/>
      <c r="FRY35" s="14"/>
      <c r="FRZ35" s="14"/>
      <c r="FSA35" s="14"/>
      <c r="FSB35" s="14"/>
      <c r="FSC35" s="14"/>
      <c r="FSD35" s="14"/>
      <c r="FSE35" s="14"/>
      <c r="FSF35" s="14"/>
      <c r="FSG35" s="14"/>
      <c r="FSH35" s="14"/>
      <c r="FSI35" s="14"/>
      <c r="FSJ35" s="14"/>
      <c r="FSK35" s="14"/>
      <c r="FSL35" s="14"/>
      <c r="FSM35" s="14"/>
      <c r="FSN35" s="14"/>
      <c r="FSO35" s="14"/>
      <c r="FSP35" s="14"/>
      <c r="FSQ35" s="14"/>
      <c r="FSR35" s="14"/>
      <c r="FSS35" s="14"/>
      <c r="FST35" s="14"/>
      <c r="FSU35" s="14"/>
      <c r="FSV35" s="14"/>
      <c r="FSW35" s="14"/>
      <c r="FSX35" s="14"/>
      <c r="FSY35" s="14"/>
      <c r="FSZ35" s="14"/>
      <c r="FTA35" s="14"/>
      <c r="FTB35" s="14"/>
      <c r="FTC35" s="14"/>
      <c r="FTD35" s="14"/>
      <c r="FTE35" s="14"/>
      <c r="FTF35" s="14"/>
      <c r="FTG35" s="14"/>
      <c r="FTH35" s="14"/>
      <c r="FTI35" s="14"/>
      <c r="FTJ35" s="14"/>
      <c r="FTK35" s="14"/>
      <c r="FTL35" s="14"/>
      <c r="FTM35" s="14"/>
      <c r="FTN35" s="14"/>
      <c r="FTO35" s="14"/>
      <c r="FTP35" s="14"/>
      <c r="FTQ35" s="14"/>
      <c r="FTR35" s="14"/>
      <c r="FTS35" s="14"/>
      <c r="FTT35" s="14"/>
      <c r="FTU35" s="14"/>
      <c r="FTV35" s="14"/>
      <c r="FTW35" s="14"/>
      <c r="FTX35" s="14"/>
      <c r="FTY35" s="14"/>
      <c r="FTZ35" s="14"/>
      <c r="FUA35" s="14"/>
      <c r="FUB35" s="14"/>
      <c r="FUC35" s="14"/>
      <c r="FUD35" s="14"/>
      <c r="FUE35" s="14"/>
      <c r="FUF35" s="14"/>
      <c r="FUG35" s="14"/>
      <c r="FUH35" s="14"/>
      <c r="FUI35" s="14"/>
      <c r="FUJ35" s="14"/>
      <c r="FUK35" s="14"/>
      <c r="FUL35" s="14"/>
      <c r="FUM35" s="14"/>
      <c r="FUN35" s="14"/>
      <c r="FUO35" s="14"/>
      <c r="FUP35" s="14"/>
      <c r="FUQ35" s="14"/>
      <c r="FUR35" s="14"/>
      <c r="FUS35" s="14"/>
      <c r="FUT35" s="14"/>
      <c r="FUU35" s="14"/>
      <c r="FUV35" s="14"/>
      <c r="FUW35" s="14"/>
      <c r="FUX35" s="14"/>
      <c r="FUY35" s="14"/>
      <c r="FUZ35" s="14"/>
      <c r="FVA35" s="14"/>
      <c r="FVB35" s="14"/>
      <c r="FVC35" s="14"/>
      <c r="FVD35" s="14"/>
      <c r="FVE35" s="14"/>
      <c r="FVF35" s="14"/>
      <c r="FVG35" s="14"/>
      <c r="FVH35" s="14"/>
      <c r="FVI35" s="14"/>
      <c r="FVJ35" s="14"/>
      <c r="FVK35" s="14"/>
      <c r="FVL35" s="14"/>
      <c r="FVM35" s="14"/>
      <c r="FVN35" s="14"/>
      <c r="FVO35" s="14"/>
      <c r="FVP35" s="14"/>
      <c r="FVQ35" s="14"/>
      <c r="FVR35" s="14"/>
      <c r="FVS35" s="14"/>
      <c r="FVT35" s="14"/>
      <c r="FVU35" s="14"/>
      <c r="FVV35" s="14"/>
      <c r="FVW35" s="14"/>
      <c r="FVX35" s="14"/>
      <c r="FVY35" s="14"/>
      <c r="FVZ35" s="14"/>
      <c r="FWA35" s="14"/>
      <c r="FWB35" s="14"/>
      <c r="FWC35" s="14"/>
      <c r="FWD35" s="14"/>
      <c r="FWE35" s="14"/>
      <c r="FWF35" s="14"/>
      <c r="FWG35" s="14"/>
      <c r="FWH35" s="14"/>
      <c r="FWI35" s="14"/>
      <c r="FWJ35" s="14"/>
      <c r="FWK35" s="14"/>
      <c r="FWL35" s="14"/>
      <c r="FWM35" s="14"/>
      <c r="FWN35" s="14"/>
      <c r="FWO35" s="14"/>
      <c r="FWP35" s="14"/>
      <c r="FWQ35" s="14"/>
      <c r="FWR35" s="14"/>
      <c r="FWS35" s="14"/>
      <c r="FWT35" s="14"/>
      <c r="FWU35" s="14"/>
      <c r="FWV35" s="14"/>
      <c r="FWW35" s="14"/>
      <c r="FWX35" s="14"/>
      <c r="FWY35" s="14"/>
      <c r="FWZ35" s="14"/>
      <c r="FXA35" s="14"/>
      <c r="FXB35" s="14"/>
      <c r="FXC35" s="14"/>
      <c r="FXD35" s="14"/>
      <c r="FXE35" s="14"/>
      <c r="FXF35" s="14"/>
      <c r="FXG35" s="14"/>
      <c r="FXH35" s="14"/>
      <c r="FXI35" s="14"/>
      <c r="FXJ35" s="14"/>
      <c r="FXK35" s="14"/>
      <c r="FXL35" s="14"/>
      <c r="FXM35" s="14"/>
      <c r="FXN35" s="14"/>
      <c r="FXO35" s="14"/>
      <c r="FXP35" s="14"/>
      <c r="FXQ35" s="14"/>
      <c r="FXR35" s="14"/>
      <c r="FXS35" s="14"/>
      <c r="FXT35" s="14"/>
      <c r="FXU35" s="14"/>
      <c r="FXV35" s="14"/>
      <c r="FXW35" s="14"/>
      <c r="FXX35" s="14"/>
      <c r="FXY35" s="14"/>
      <c r="FXZ35" s="14"/>
      <c r="FYA35" s="14"/>
      <c r="FYB35" s="14"/>
      <c r="FYC35" s="14"/>
      <c r="FYD35" s="14"/>
      <c r="FYE35" s="14"/>
      <c r="FYF35" s="14"/>
      <c r="FYG35" s="14"/>
      <c r="FYH35" s="14"/>
      <c r="FYI35" s="14"/>
      <c r="FYJ35" s="14"/>
      <c r="FYK35" s="14"/>
      <c r="FYL35" s="14"/>
      <c r="FYM35" s="14"/>
      <c r="FYN35" s="14"/>
      <c r="FYO35" s="14"/>
      <c r="FYP35" s="14"/>
      <c r="FYQ35" s="14"/>
      <c r="FYR35" s="14"/>
      <c r="FYS35" s="14"/>
      <c r="FYT35" s="14"/>
      <c r="FYU35" s="14"/>
      <c r="FYV35" s="14"/>
      <c r="FYW35" s="14"/>
      <c r="FYX35" s="14"/>
      <c r="FYY35" s="14"/>
      <c r="FYZ35" s="14"/>
      <c r="FZA35" s="14"/>
      <c r="FZB35" s="14"/>
      <c r="FZC35" s="14"/>
      <c r="FZD35" s="14"/>
      <c r="FZE35" s="14"/>
      <c r="FZF35" s="14"/>
      <c r="FZG35" s="14"/>
      <c r="FZH35" s="14"/>
      <c r="FZI35" s="14"/>
      <c r="FZJ35" s="14"/>
      <c r="FZK35" s="14"/>
      <c r="FZL35" s="14"/>
      <c r="FZM35" s="14"/>
      <c r="FZN35" s="14"/>
      <c r="FZO35" s="14"/>
      <c r="FZP35" s="14"/>
      <c r="FZQ35" s="14"/>
      <c r="FZR35" s="14"/>
      <c r="FZS35" s="14"/>
      <c r="FZT35" s="14"/>
      <c r="FZU35" s="14"/>
      <c r="FZV35" s="14"/>
      <c r="FZW35" s="14"/>
      <c r="FZX35" s="14"/>
      <c r="FZY35" s="14"/>
      <c r="FZZ35" s="14"/>
      <c r="GAA35" s="14"/>
      <c r="GAB35" s="14"/>
      <c r="GAC35" s="14"/>
      <c r="GAD35" s="14"/>
      <c r="GAE35" s="14"/>
      <c r="GAF35" s="14"/>
      <c r="GAG35" s="14"/>
      <c r="GAH35" s="14"/>
      <c r="GAI35" s="14"/>
      <c r="GAJ35" s="14"/>
      <c r="GAK35" s="14"/>
      <c r="GAL35" s="14"/>
      <c r="GAM35" s="14"/>
      <c r="GAN35" s="14"/>
      <c r="GAO35" s="14"/>
      <c r="GAP35" s="14"/>
      <c r="GAQ35" s="14"/>
      <c r="GAR35" s="14"/>
      <c r="GAS35" s="14"/>
      <c r="GAT35" s="14"/>
      <c r="GAU35" s="14"/>
      <c r="GAV35" s="14"/>
      <c r="GAW35" s="14"/>
      <c r="GAX35" s="14"/>
      <c r="GAY35" s="14"/>
      <c r="GAZ35" s="14"/>
      <c r="GBA35" s="14"/>
      <c r="GBB35" s="14"/>
      <c r="GBC35" s="14"/>
      <c r="GBD35" s="14"/>
      <c r="GBE35" s="14"/>
      <c r="GBF35" s="14"/>
      <c r="GBG35" s="14"/>
      <c r="GBH35" s="14"/>
      <c r="GBI35" s="14"/>
      <c r="GBJ35" s="14"/>
      <c r="GBK35" s="14"/>
      <c r="GBL35" s="14"/>
      <c r="GBM35" s="14"/>
      <c r="GBN35" s="14"/>
      <c r="GBO35" s="14"/>
      <c r="GBP35" s="14"/>
      <c r="GBQ35" s="14"/>
      <c r="GBR35" s="14"/>
      <c r="GBS35" s="14"/>
      <c r="GBT35" s="14"/>
      <c r="GBU35" s="14"/>
      <c r="GBV35" s="14"/>
      <c r="GBW35" s="14"/>
      <c r="GBX35" s="14"/>
      <c r="GBY35" s="14"/>
      <c r="GBZ35" s="14"/>
      <c r="GCA35" s="14"/>
      <c r="GCB35" s="14"/>
      <c r="GCC35" s="14"/>
      <c r="GCD35" s="14"/>
      <c r="GCE35" s="14"/>
      <c r="GCF35" s="14"/>
      <c r="GCG35" s="14"/>
      <c r="GCH35" s="14"/>
      <c r="GCI35" s="14"/>
      <c r="GCJ35" s="14"/>
      <c r="GCK35" s="14"/>
      <c r="GCL35" s="14"/>
      <c r="GCM35" s="14"/>
      <c r="GCN35" s="14"/>
      <c r="GCO35" s="14"/>
      <c r="GCP35" s="14"/>
      <c r="GCQ35" s="14"/>
      <c r="GCR35" s="14"/>
      <c r="GCS35" s="14"/>
      <c r="GCT35" s="14"/>
      <c r="GCU35" s="14"/>
      <c r="GCV35" s="14"/>
      <c r="GCW35" s="14"/>
      <c r="GCX35" s="14"/>
      <c r="GCY35" s="14"/>
      <c r="GCZ35" s="14"/>
      <c r="GDA35" s="14"/>
      <c r="GDB35" s="14"/>
      <c r="GDC35" s="14"/>
      <c r="GDD35" s="14"/>
      <c r="GDE35" s="14"/>
      <c r="GDF35" s="14"/>
      <c r="GDG35" s="14"/>
      <c r="GDH35" s="14"/>
      <c r="GDI35" s="14"/>
      <c r="GDJ35" s="14"/>
      <c r="GDK35" s="14"/>
      <c r="GDL35" s="14"/>
      <c r="GDM35" s="14"/>
      <c r="GDN35" s="14"/>
      <c r="GDO35" s="14"/>
      <c r="GDP35" s="14"/>
      <c r="GDQ35" s="14"/>
      <c r="GDR35" s="14"/>
      <c r="GDS35" s="14"/>
      <c r="GDT35" s="14"/>
      <c r="GDU35" s="14"/>
      <c r="GDV35" s="14"/>
      <c r="GDW35" s="14"/>
      <c r="GDX35" s="14"/>
      <c r="GDY35" s="14"/>
      <c r="GDZ35" s="14"/>
      <c r="GEA35" s="14"/>
      <c r="GEB35" s="14"/>
      <c r="GEC35" s="14"/>
      <c r="GED35" s="14"/>
      <c r="GEE35" s="14"/>
      <c r="GEF35" s="14"/>
      <c r="GEG35" s="14"/>
      <c r="GEH35" s="14"/>
      <c r="GEI35" s="14"/>
      <c r="GEJ35" s="14"/>
      <c r="GEK35" s="14"/>
      <c r="GEL35" s="14"/>
      <c r="GEM35" s="14"/>
      <c r="GEN35" s="14"/>
      <c r="GEO35" s="14"/>
      <c r="GEP35" s="14"/>
      <c r="GEQ35" s="14"/>
      <c r="GER35" s="14"/>
      <c r="GES35" s="14"/>
      <c r="GET35" s="14"/>
      <c r="GEU35" s="14"/>
      <c r="GEV35" s="14"/>
      <c r="GEW35" s="14"/>
      <c r="GEX35" s="14"/>
      <c r="GEY35" s="14"/>
      <c r="GEZ35" s="14"/>
      <c r="GFA35" s="14"/>
      <c r="GFB35" s="14"/>
      <c r="GFC35" s="14"/>
      <c r="GFD35" s="14"/>
      <c r="GFE35" s="14"/>
      <c r="GFF35" s="14"/>
      <c r="GFG35" s="14"/>
      <c r="GFH35" s="14"/>
      <c r="GFI35" s="14"/>
      <c r="GFJ35" s="14"/>
      <c r="GFK35" s="14"/>
      <c r="GFL35" s="14"/>
      <c r="GFM35" s="14"/>
      <c r="GFN35" s="14"/>
      <c r="GFO35" s="14"/>
      <c r="GFP35" s="14"/>
      <c r="GFQ35" s="14"/>
      <c r="GFR35" s="14"/>
      <c r="GFS35" s="14"/>
      <c r="GFT35" s="14"/>
      <c r="GFU35" s="14"/>
      <c r="GFV35" s="14"/>
      <c r="GFW35" s="14"/>
      <c r="GFX35" s="14"/>
      <c r="GFY35" s="14"/>
      <c r="GFZ35" s="14"/>
      <c r="GGA35" s="14"/>
      <c r="GGB35" s="14"/>
      <c r="GGC35" s="14"/>
      <c r="GGD35" s="14"/>
      <c r="GGE35" s="14"/>
      <c r="GGF35" s="14"/>
      <c r="GGG35" s="14"/>
      <c r="GGH35" s="14"/>
      <c r="GGI35" s="14"/>
      <c r="GGJ35" s="14"/>
      <c r="GGK35" s="14"/>
      <c r="GGL35" s="14"/>
      <c r="GGM35" s="14"/>
      <c r="GGN35" s="14"/>
      <c r="GGO35" s="14"/>
      <c r="GGP35" s="14"/>
      <c r="GGQ35" s="14"/>
      <c r="GGR35" s="14"/>
      <c r="GGS35" s="14"/>
      <c r="GGT35" s="14"/>
      <c r="GGU35" s="14"/>
      <c r="GGV35" s="14"/>
      <c r="GGW35" s="14"/>
      <c r="GGX35" s="14"/>
      <c r="GGY35" s="14"/>
      <c r="GGZ35" s="14"/>
      <c r="GHA35" s="14"/>
      <c r="GHB35" s="14"/>
      <c r="GHC35" s="14"/>
      <c r="GHD35" s="14"/>
      <c r="GHE35" s="14"/>
      <c r="GHF35" s="14"/>
      <c r="GHG35" s="14"/>
      <c r="GHH35" s="14"/>
      <c r="GHI35" s="14"/>
      <c r="GHJ35" s="14"/>
      <c r="GHK35" s="14"/>
      <c r="GHL35" s="14"/>
      <c r="GHM35" s="14"/>
      <c r="GHN35" s="14"/>
      <c r="GHO35" s="14"/>
      <c r="GHP35" s="14"/>
      <c r="GHQ35" s="14"/>
      <c r="GHR35" s="14"/>
      <c r="GHS35" s="14"/>
      <c r="GHT35" s="14"/>
      <c r="GHU35" s="14"/>
      <c r="GHV35" s="14"/>
      <c r="GHW35" s="14"/>
      <c r="GHX35" s="14"/>
      <c r="GHY35" s="14"/>
      <c r="GHZ35" s="14"/>
      <c r="GIA35" s="14"/>
      <c r="GIB35" s="14"/>
      <c r="GIC35" s="14"/>
      <c r="GID35" s="14"/>
      <c r="GIE35" s="14"/>
      <c r="GIF35" s="14"/>
      <c r="GIG35" s="14"/>
      <c r="GIH35" s="14"/>
      <c r="GII35" s="14"/>
      <c r="GIJ35" s="14"/>
      <c r="GIK35" s="14"/>
      <c r="GIL35" s="14"/>
      <c r="GIM35" s="14"/>
      <c r="GIN35" s="14"/>
      <c r="GIO35" s="14"/>
      <c r="GIP35" s="14"/>
      <c r="GIQ35" s="14"/>
      <c r="GIR35" s="14"/>
      <c r="GIS35" s="14"/>
      <c r="GIT35" s="14"/>
      <c r="GIU35" s="14"/>
      <c r="GIV35" s="14"/>
      <c r="GIW35" s="14"/>
      <c r="GIX35" s="14"/>
      <c r="GIY35" s="14"/>
      <c r="GIZ35" s="14"/>
      <c r="GJA35" s="14"/>
      <c r="GJB35" s="14"/>
      <c r="GJC35" s="14"/>
      <c r="GJD35" s="14"/>
      <c r="GJE35" s="14"/>
      <c r="GJF35" s="14"/>
      <c r="GJG35" s="14"/>
      <c r="GJH35" s="14"/>
      <c r="GJI35" s="14"/>
      <c r="GJJ35" s="14"/>
      <c r="GJK35" s="14"/>
      <c r="GJL35" s="14"/>
      <c r="GJM35" s="14"/>
      <c r="GJN35" s="14"/>
      <c r="GJO35" s="14"/>
      <c r="GJP35" s="14"/>
      <c r="GJQ35" s="14"/>
      <c r="GJR35" s="14"/>
      <c r="GJS35" s="14"/>
      <c r="GJT35" s="14"/>
      <c r="GJU35" s="14"/>
      <c r="GJV35" s="14"/>
      <c r="GJW35" s="14"/>
      <c r="GJX35" s="14"/>
      <c r="GJY35" s="14"/>
      <c r="GJZ35" s="14"/>
      <c r="GKA35" s="14"/>
      <c r="GKB35" s="14"/>
      <c r="GKC35" s="14"/>
      <c r="GKD35" s="14"/>
      <c r="GKE35" s="14"/>
      <c r="GKF35" s="14"/>
      <c r="GKG35" s="14"/>
      <c r="GKH35" s="14"/>
      <c r="GKI35" s="14"/>
      <c r="GKJ35" s="14"/>
      <c r="GKK35" s="14"/>
      <c r="GKL35" s="14"/>
      <c r="GKM35" s="14"/>
      <c r="GKN35" s="14"/>
      <c r="GKO35" s="14"/>
      <c r="GKP35" s="14"/>
      <c r="GKQ35" s="14"/>
      <c r="GKR35" s="14"/>
      <c r="GKS35" s="14"/>
      <c r="GKT35" s="14"/>
      <c r="GKU35" s="14"/>
      <c r="GKV35" s="14"/>
      <c r="GKW35" s="14"/>
      <c r="GKX35" s="14"/>
      <c r="GKY35" s="14"/>
      <c r="GKZ35" s="14"/>
      <c r="GLA35" s="14"/>
      <c r="GLB35" s="14"/>
      <c r="GLC35" s="14"/>
      <c r="GLD35" s="14"/>
      <c r="GLE35" s="14"/>
      <c r="GLF35" s="14"/>
      <c r="GLG35" s="14"/>
      <c r="GLH35" s="14"/>
      <c r="GLI35" s="14"/>
      <c r="GLJ35" s="14"/>
      <c r="GLK35" s="14"/>
      <c r="GLL35" s="14"/>
      <c r="GLM35" s="14"/>
      <c r="GLN35" s="14"/>
      <c r="GLO35" s="14"/>
      <c r="GLP35" s="14"/>
      <c r="GLQ35" s="14"/>
      <c r="GLR35" s="14"/>
      <c r="GLS35" s="14"/>
      <c r="GLT35" s="14"/>
      <c r="GLU35" s="14"/>
      <c r="GLV35" s="14"/>
      <c r="GLW35" s="14"/>
      <c r="GLX35" s="14"/>
      <c r="GLY35" s="14"/>
      <c r="GLZ35" s="14"/>
      <c r="GMA35" s="14"/>
      <c r="GMB35" s="14"/>
      <c r="GMC35" s="14"/>
      <c r="GMD35" s="14"/>
      <c r="GME35" s="14"/>
      <c r="GMF35" s="14"/>
      <c r="GMG35" s="14"/>
      <c r="GMH35" s="14"/>
      <c r="GMI35" s="14"/>
      <c r="GMJ35" s="14"/>
      <c r="GMK35" s="14"/>
      <c r="GML35" s="14"/>
      <c r="GMM35" s="14"/>
      <c r="GMN35" s="14"/>
      <c r="GMO35" s="14"/>
      <c r="GMP35" s="14"/>
      <c r="GMQ35" s="14"/>
      <c r="GMR35" s="14"/>
      <c r="GMS35" s="14"/>
      <c r="GMT35" s="14"/>
      <c r="GMU35" s="14"/>
      <c r="GMV35" s="14"/>
      <c r="GMW35" s="14"/>
      <c r="GMX35" s="14"/>
      <c r="GMY35" s="14"/>
      <c r="GMZ35" s="14"/>
      <c r="GNA35" s="14"/>
      <c r="GNB35" s="14"/>
      <c r="GNC35" s="14"/>
      <c r="GND35" s="14"/>
      <c r="GNE35" s="14"/>
      <c r="GNF35" s="14"/>
      <c r="GNG35" s="14"/>
      <c r="GNH35" s="14"/>
      <c r="GNI35" s="14"/>
      <c r="GNJ35" s="14"/>
      <c r="GNK35" s="14"/>
      <c r="GNL35" s="14"/>
      <c r="GNM35" s="14"/>
      <c r="GNN35" s="14"/>
      <c r="GNO35" s="14"/>
      <c r="GNP35" s="14"/>
      <c r="GNQ35" s="14"/>
      <c r="GNR35" s="14"/>
      <c r="GNS35" s="14"/>
      <c r="GNT35" s="14"/>
      <c r="GNU35" s="14"/>
      <c r="GNV35" s="14"/>
      <c r="GNW35" s="14"/>
      <c r="GNX35" s="14"/>
      <c r="GNY35" s="14"/>
      <c r="GNZ35" s="14"/>
      <c r="GOA35" s="14"/>
      <c r="GOB35" s="14"/>
      <c r="GOC35" s="14"/>
      <c r="GOD35" s="14"/>
      <c r="GOE35" s="14"/>
      <c r="GOF35" s="14"/>
      <c r="GOG35" s="14"/>
      <c r="GOH35" s="14"/>
      <c r="GOI35" s="14"/>
      <c r="GOJ35" s="14"/>
      <c r="GOK35" s="14"/>
      <c r="GOL35" s="14"/>
      <c r="GOM35" s="14"/>
      <c r="GON35" s="14"/>
      <c r="GOO35" s="14"/>
      <c r="GOP35" s="14"/>
      <c r="GOQ35" s="14"/>
      <c r="GOR35" s="14"/>
      <c r="GOS35" s="14"/>
      <c r="GOT35" s="14"/>
      <c r="GOU35" s="14"/>
      <c r="GOV35" s="14"/>
      <c r="GOW35" s="14"/>
      <c r="GOX35" s="14"/>
      <c r="GOY35" s="14"/>
      <c r="GOZ35" s="14"/>
      <c r="GPA35" s="14"/>
      <c r="GPB35" s="14"/>
      <c r="GPC35" s="14"/>
      <c r="GPD35" s="14"/>
      <c r="GPE35" s="14"/>
      <c r="GPF35" s="14"/>
      <c r="GPG35" s="14"/>
      <c r="GPH35" s="14"/>
      <c r="GPI35" s="14"/>
      <c r="GPJ35" s="14"/>
      <c r="GPK35" s="14"/>
      <c r="GPL35" s="14"/>
      <c r="GPM35" s="14"/>
      <c r="GPN35" s="14"/>
      <c r="GPO35" s="14"/>
      <c r="GPP35" s="14"/>
      <c r="GPQ35" s="14"/>
      <c r="GPR35" s="14"/>
      <c r="GPS35" s="14"/>
      <c r="GPT35" s="14"/>
      <c r="GPU35" s="14"/>
      <c r="GPV35" s="14"/>
      <c r="GPW35" s="14"/>
      <c r="GPX35" s="14"/>
      <c r="GPY35" s="14"/>
      <c r="GPZ35" s="14"/>
      <c r="GQA35" s="14"/>
      <c r="GQB35" s="14"/>
      <c r="GQC35" s="14"/>
      <c r="GQD35" s="14"/>
      <c r="GQE35" s="14"/>
      <c r="GQF35" s="14"/>
      <c r="GQG35" s="14"/>
      <c r="GQH35" s="14"/>
      <c r="GQI35" s="14"/>
      <c r="GQJ35" s="14"/>
      <c r="GQK35" s="14"/>
      <c r="GQL35" s="14"/>
      <c r="GQM35" s="14"/>
      <c r="GQN35" s="14"/>
      <c r="GQO35" s="14"/>
      <c r="GQP35" s="14"/>
      <c r="GQQ35" s="14"/>
      <c r="GQR35" s="14"/>
      <c r="GQS35" s="14"/>
      <c r="GQT35" s="14"/>
      <c r="GQU35" s="14"/>
      <c r="GQV35" s="14"/>
      <c r="GQW35" s="14"/>
      <c r="GQX35" s="14"/>
      <c r="GQY35" s="14"/>
      <c r="GQZ35" s="14"/>
      <c r="GRA35" s="14"/>
      <c r="GRB35" s="14"/>
      <c r="GRC35" s="14"/>
      <c r="GRD35" s="14"/>
      <c r="GRE35" s="14"/>
      <c r="GRF35" s="14"/>
      <c r="GRG35" s="14"/>
      <c r="GRH35" s="14"/>
      <c r="GRI35" s="14"/>
      <c r="GRJ35" s="14"/>
      <c r="GRK35" s="14"/>
      <c r="GRL35" s="14"/>
      <c r="GRM35" s="14"/>
      <c r="GRN35" s="14"/>
      <c r="GRO35" s="14"/>
      <c r="GRP35" s="14"/>
      <c r="GRQ35" s="14"/>
      <c r="GRR35" s="14"/>
      <c r="GRS35" s="14"/>
      <c r="GRT35" s="14"/>
      <c r="GRU35" s="14"/>
      <c r="GRV35" s="14"/>
      <c r="GRW35" s="14"/>
      <c r="GRX35" s="14"/>
      <c r="GRY35" s="14"/>
      <c r="GRZ35" s="14"/>
      <c r="GSA35" s="14"/>
      <c r="GSB35" s="14"/>
      <c r="GSC35" s="14"/>
      <c r="GSD35" s="14"/>
      <c r="GSE35" s="14"/>
      <c r="GSF35" s="14"/>
      <c r="GSG35" s="14"/>
      <c r="GSH35" s="14"/>
      <c r="GSI35" s="14"/>
      <c r="GSJ35" s="14"/>
      <c r="GSK35" s="14"/>
      <c r="GSL35" s="14"/>
      <c r="GSM35" s="14"/>
      <c r="GSN35" s="14"/>
      <c r="GSO35" s="14"/>
      <c r="GSP35" s="14"/>
      <c r="GSQ35" s="14"/>
      <c r="GSR35" s="14"/>
      <c r="GSS35" s="14"/>
      <c r="GST35" s="14"/>
      <c r="GSU35" s="14"/>
      <c r="GSV35" s="14"/>
      <c r="GSW35" s="14"/>
      <c r="GSX35" s="14"/>
      <c r="GSY35" s="14"/>
      <c r="GSZ35" s="14"/>
      <c r="GTA35" s="14"/>
      <c r="GTB35" s="14"/>
      <c r="GTC35" s="14"/>
      <c r="GTD35" s="14"/>
      <c r="GTE35" s="14"/>
      <c r="GTF35" s="14"/>
      <c r="GTG35" s="14"/>
      <c r="GTH35" s="14"/>
      <c r="GTI35" s="14"/>
      <c r="GTJ35" s="14"/>
      <c r="GTK35" s="14"/>
      <c r="GTL35" s="14"/>
      <c r="GTM35" s="14"/>
      <c r="GTN35" s="14"/>
      <c r="GTO35" s="14"/>
      <c r="GTP35" s="14"/>
      <c r="GTQ35" s="14"/>
      <c r="GTR35" s="14"/>
      <c r="GTS35" s="14"/>
      <c r="GTT35" s="14"/>
      <c r="GTU35" s="14"/>
      <c r="GTV35" s="14"/>
      <c r="GTW35" s="14"/>
      <c r="GTX35" s="14"/>
      <c r="GTY35" s="14"/>
      <c r="GTZ35" s="14"/>
      <c r="GUA35" s="14"/>
      <c r="GUB35" s="14"/>
      <c r="GUC35" s="14"/>
      <c r="GUD35" s="14"/>
      <c r="GUE35" s="14"/>
      <c r="GUF35" s="14"/>
      <c r="GUG35" s="14"/>
      <c r="GUH35" s="14"/>
      <c r="GUI35" s="14"/>
      <c r="GUJ35" s="14"/>
      <c r="GUK35" s="14"/>
      <c r="GUL35" s="14"/>
      <c r="GUM35" s="14"/>
      <c r="GUN35" s="14"/>
      <c r="GUO35" s="14"/>
      <c r="GUP35" s="14"/>
      <c r="GUQ35" s="14"/>
      <c r="GUR35" s="14"/>
      <c r="GUS35" s="14"/>
      <c r="GUT35" s="14"/>
      <c r="GUU35" s="14"/>
      <c r="GUV35" s="14"/>
      <c r="GUW35" s="14"/>
      <c r="GUX35" s="14"/>
      <c r="GUY35" s="14"/>
      <c r="GUZ35" s="14"/>
      <c r="GVA35" s="14"/>
      <c r="GVB35" s="14"/>
      <c r="GVC35" s="14"/>
      <c r="GVD35" s="14"/>
      <c r="GVE35" s="14"/>
      <c r="GVF35" s="14"/>
      <c r="GVG35" s="14"/>
      <c r="GVH35" s="14"/>
      <c r="GVI35" s="14"/>
      <c r="GVJ35" s="14"/>
      <c r="GVK35" s="14"/>
      <c r="GVL35" s="14"/>
      <c r="GVM35" s="14"/>
      <c r="GVN35" s="14"/>
      <c r="GVO35" s="14"/>
      <c r="GVP35" s="14"/>
      <c r="GVQ35" s="14"/>
      <c r="GVR35" s="14"/>
      <c r="GVS35" s="14"/>
      <c r="GVT35" s="14"/>
      <c r="GVU35" s="14"/>
      <c r="GVV35" s="14"/>
      <c r="GVW35" s="14"/>
      <c r="GVX35" s="14"/>
      <c r="GVY35" s="14"/>
      <c r="GVZ35" s="14"/>
      <c r="GWA35" s="14"/>
      <c r="GWB35" s="14"/>
      <c r="GWC35" s="14"/>
      <c r="GWD35" s="14"/>
      <c r="GWE35" s="14"/>
      <c r="GWF35" s="14"/>
      <c r="GWG35" s="14"/>
      <c r="GWH35" s="14"/>
      <c r="GWI35" s="14"/>
      <c r="GWJ35" s="14"/>
      <c r="GWK35" s="14"/>
      <c r="GWL35" s="14"/>
      <c r="GWM35" s="14"/>
      <c r="GWN35" s="14"/>
      <c r="GWO35" s="14"/>
      <c r="GWP35" s="14"/>
      <c r="GWQ35" s="14"/>
      <c r="GWR35" s="14"/>
      <c r="GWS35" s="14"/>
      <c r="GWT35" s="14"/>
      <c r="GWU35" s="14"/>
      <c r="GWV35" s="14"/>
      <c r="GWW35" s="14"/>
      <c r="GWX35" s="14"/>
      <c r="GWY35" s="14"/>
      <c r="GWZ35" s="14"/>
      <c r="GXA35" s="14"/>
      <c r="GXB35" s="14"/>
      <c r="GXC35" s="14"/>
      <c r="GXD35" s="14"/>
      <c r="GXE35" s="14"/>
      <c r="GXF35" s="14"/>
      <c r="GXG35" s="14"/>
      <c r="GXH35" s="14"/>
      <c r="GXI35" s="14"/>
      <c r="GXJ35" s="14"/>
      <c r="GXK35" s="14"/>
      <c r="GXL35" s="14"/>
      <c r="GXM35" s="14"/>
      <c r="GXN35" s="14"/>
      <c r="GXO35" s="14"/>
      <c r="GXP35" s="14"/>
      <c r="GXQ35" s="14"/>
      <c r="GXR35" s="14"/>
      <c r="GXS35" s="14"/>
      <c r="GXT35" s="14"/>
      <c r="GXU35" s="14"/>
      <c r="GXV35" s="14"/>
      <c r="GXW35" s="14"/>
      <c r="GXX35" s="14"/>
      <c r="GXY35" s="14"/>
      <c r="GXZ35" s="14"/>
      <c r="GYA35" s="14"/>
      <c r="GYB35" s="14"/>
      <c r="GYC35" s="14"/>
      <c r="GYD35" s="14"/>
      <c r="GYE35" s="14"/>
      <c r="GYF35" s="14"/>
      <c r="GYG35" s="14"/>
      <c r="GYH35" s="14"/>
      <c r="GYI35" s="14"/>
      <c r="GYJ35" s="14"/>
      <c r="GYK35" s="14"/>
      <c r="GYL35" s="14"/>
      <c r="GYM35" s="14"/>
      <c r="GYN35" s="14"/>
      <c r="GYO35" s="14"/>
      <c r="GYP35" s="14"/>
      <c r="GYQ35" s="14"/>
      <c r="GYR35" s="14"/>
      <c r="GYS35" s="14"/>
      <c r="GYT35" s="14"/>
      <c r="GYU35" s="14"/>
      <c r="GYV35" s="14"/>
      <c r="GYW35" s="14"/>
      <c r="GYX35" s="14"/>
      <c r="GYY35" s="14"/>
      <c r="GYZ35" s="14"/>
      <c r="GZA35" s="14"/>
      <c r="GZB35" s="14"/>
      <c r="GZC35" s="14"/>
      <c r="GZD35" s="14"/>
      <c r="GZE35" s="14"/>
      <c r="GZF35" s="14"/>
      <c r="GZG35" s="14"/>
      <c r="GZH35" s="14"/>
      <c r="GZI35" s="14"/>
      <c r="GZJ35" s="14"/>
      <c r="GZK35" s="14"/>
      <c r="GZL35" s="14"/>
      <c r="GZM35" s="14"/>
      <c r="GZN35" s="14"/>
      <c r="GZO35" s="14"/>
      <c r="GZP35" s="14"/>
      <c r="GZQ35" s="14"/>
      <c r="GZR35" s="14"/>
      <c r="GZS35" s="14"/>
      <c r="GZT35" s="14"/>
      <c r="GZU35" s="14"/>
      <c r="GZV35" s="14"/>
      <c r="GZW35" s="14"/>
      <c r="GZX35" s="14"/>
      <c r="GZY35" s="14"/>
      <c r="GZZ35" s="14"/>
      <c r="HAA35" s="14"/>
      <c r="HAB35" s="14"/>
      <c r="HAC35" s="14"/>
      <c r="HAD35" s="14"/>
      <c r="HAE35" s="14"/>
      <c r="HAF35" s="14"/>
      <c r="HAG35" s="14"/>
      <c r="HAH35" s="14"/>
      <c r="HAI35" s="14"/>
      <c r="HAJ35" s="14"/>
      <c r="HAK35" s="14"/>
      <c r="HAL35" s="14"/>
      <c r="HAM35" s="14"/>
      <c r="HAN35" s="14"/>
      <c r="HAO35" s="14"/>
      <c r="HAP35" s="14"/>
      <c r="HAQ35" s="14"/>
      <c r="HAR35" s="14"/>
      <c r="HAS35" s="14"/>
      <c r="HAT35" s="14"/>
      <c r="HAU35" s="14"/>
      <c r="HAV35" s="14"/>
      <c r="HAW35" s="14"/>
      <c r="HAX35" s="14"/>
      <c r="HAY35" s="14"/>
      <c r="HAZ35" s="14"/>
      <c r="HBA35" s="14"/>
      <c r="HBB35" s="14"/>
      <c r="HBC35" s="14"/>
      <c r="HBD35" s="14"/>
      <c r="HBE35" s="14"/>
      <c r="HBF35" s="14"/>
      <c r="HBG35" s="14"/>
      <c r="HBH35" s="14"/>
      <c r="HBI35" s="14"/>
      <c r="HBJ35" s="14"/>
      <c r="HBK35" s="14"/>
      <c r="HBL35" s="14"/>
      <c r="HBM35" s="14"/>
      <c r="HBN35" s="14"/>
      <c r="HBO35" s="14"/>
      <c r="HBP35" s="14"/>
      <c r="HBQ35" s="14"/>
      <c r="HBR35" s="14"/>
      <c r="HBS35" s="14"/>
      <c r="HBT35" s="14"/>
      <c r="HBU35" s="14"/>
      <c r="HBV35" s="14"/>
      <c r="HBW35" s="14"/>
      <c r="HBX35" s="14"/>
      <c r="HBY35" s="14"/>
      <c r="HBZ35" s="14"/>
      <c r="HCA35" s="14"/>
      <c r="HCB35" s="14"/>
      <c r="HCC35" s="14"/>
      <c r="HCD35" s="14"/>
      <c r="HCE35" s="14"/>
      <c r="HCF35" s="14"/>
      <c r="HCG35" s="14"/>
      <c r="HCH35" s="14"/>
      <c r="HCI35" s="14"/>
      <c r="HCJ35" s="14"/>
      <c r="HCK35" s="14"/>
      <c r="HCL35" s="14"/>
      <c r="HCM35" s="14"/>
      <c r="HCN35" s="14"/>
      <c r="HCO35" s="14"/>
      <c r="HCP35" s="14"/>
      <c r="HCQ35" s="14"/>
      <c r="HCR35" s="14"/>
      <c r="HCS35" s="14"/>
      <c r="HCT35" s="14"/>
      <c r="HCU35" s="14"/>
      <c r="HCV35" s="14"/>
      <c r="HCW35" s="14"/>
      <c r="HCX35" s="14"/>
      <c r="HCY35" s="14"/>
      <c r="HCZ35" s="14"/>
      <c r="HDA35" s="14"/>
      <c r="HDB35" s="14"/>
      <c r="HDC35" s="14"/>
      <c r="HDD35" s="14"/>
      <c r="HDE35" s="14"/>
      <c r="HDF35" s="14"/>
      <c r="HDG35" s="14"/>
      <c r="HDH35" s="14"/>
      <c r="HDI35" s="14"/>
      <c r="HDJ35" s="14"/>
      <c r="HDK35" s="14"/>
      <c r="HDL35" s="14"/>
      <c r="HDM35" s="14"/>
      <c r="HDN35" s="14"/>
      <c r="HDO35" s="14"/>
      <c r="HDP35" s="14"/>
      <c r="HDQ35" s="14"/>
      <c r="HDR35" s="14"/>
      <c r="HDS35" s="14"/>
      <c r="HDT35" s="14"/>
      <c r="HDU35" s="14"/>
      <c r="HDV35" s="14"/>
      <c r="HDW35" s="14"/>
      <c r="HDX35" s="14"/>
      <c r="HDY35" s="14"/>
      <c r="HDZ35" s="14"/>
      <c r="HEA35" s="14"/>
      <c r="HEB35" s="14"/>
      <c r="HEC35" s="14"/>
      <c r="HED35" s="14"/>
      <c r="HEE35" s="14"/>
      <c r="HEF35" s="14"/>
      <c r="HEG35" s="14"/>
      <c r="HEH35" s="14"/>
      <c r="HEI35" s="14"/>
      <c r="HEJ35" s="14"/>
      <c r="HEK35" s="14"/>
      <c r="HEL35" s="14"/>
      <c r="HEM35" s="14"/>
      <c r="HEN35" s="14"/>
      <c r="HEO35" s="14"/>
      <c r="HEP35" s="14"/>
      <c r="HEQ35" s="14"/>
      <c r="HER35" s="14"/>
      <c r="HES35" s="14"/>
      <c r="HET35" s="14"/>
      <c r="HEU35" s="14"/>
      <c r="HEV35" s="14"/>
      <c r="HEW35" s="14"/>
      <c r="HEX35" s="14"/>
      <c r="HEY35" s="14"/>
      <c r="HEZ35" s="14"/>
      <c r="HFA35" s="14"/>
      <c r="HFB35" s="14"/>
      <c r="HFC35" s="14"/>
      <c r="HFD35" s="14"/>
      <c r="HFE35" s="14"/>
      <c r="HFF35" s="14"/>
      <c r="HFG35" s="14"/>
      <c r="HFH35" s="14"/>
      <c r="HFI35" s="14"/>
      <c r="HFJ35" s="14"/>
      <c r="HFK35" s="14"/>
      <c r="HFL35" s="14"/>
      <c r="HFM35" s="14"/>
      <c r="HFN35" s="14"/>
      <c r="HFO35" s="14"/>
      <c r="HFP35" s="14"/>
      <c r="HFQ35" s="14"/>
      <c r="HFR35" s="14"/>
      <c r="HFS35" s="14"/>
      <c r="HFT35" s="14"/>
      <c r="HFU35" s="14"/>
      <c r="HFV35" s="14"/>
      <c r="HFW35" s="14"/>
      <c r="HFX35" s="14"/>
      <c r="HFY35" s="14"/>
      <c r="HFZ35" s="14"/>
      <c r="HGA35" s="14"/>
      <c r="HGB35" s="14"/>
      <c r="HGC35" s="14"/>
      <c r="HGD35" s="14"/>
      <c r="HGE35" s="14"/>
      <c r="HGF35" s="14"/>
      <c r="HGG35" s="14"/>
      <c r="HGH35" s="14"/>
      <c r="HGI35" s="14"/>
      <c r="HGJ35" s="14"/>
      <c r="HGK35" s="14"/>
      <c r="HGL35" s="14"/>
      <c r="HGM35" s="14"/>
      <c r="HGN35" s="14"/>
      <c r="HGO35" s="14"/>
      <c r="HGP35" s="14"/>
      <c r="HGQ35" s="14"/>
      <c r="HGR35" s="14"/>
      <c r="HGS35" s="14"/>
      <c r="HGT35" s="14"/>
      <c r="HGU35" s="14"/>
      <c r="HGV35" s="14"/>
      <c r="HGW35" s="14"/>
      <c r="HGX35" s="14"/>
      <c r="HGY35" s="14"/>
      <c r="HGZ35" s="14"/>
      <c r="HHA35" s="14"/>
      <c r="HHB35" s="14"/>
      <c r="HHC35" s="14"/>
      <c r="HHD35" s="14"/>
      <c r="HHE35" s="14"/>
      <c r="HHF35" s="14"/>
      <c r="HHG35" s="14"/>
      <c r="HHH35" s="14"/>
      <c r="HHI35" s="14"/>
      <c r="HHJ35" s="14"/>
      <c r="HHK35" s="14"/>
      <c r="HHL35" s="14"/>
      <c r="HHM35" s="14"/>
      <c r="HHN35" s="14"/>
      <c r="HHO35" s="14"/>
      <c r="HHP35" s="14"/>
      <c r="HHQ35" s="14"/>
      <c r="HHR35" s="14"/>
      <c r="HHS35" s="14"/>
      <c r="HHT35" s="14"/>
      <c r="HHU35" s="14"/>
      <c r="HHV35" s="14"/>
      <c r="HHW35" s="14"/>
      <c r="HHX35" s="14"/>
      <c r="HHY35" s="14"/>
      <c r="HHZ35" s="14"/>
      <c r="HIA35" s="14"/>
      <c r="HIB35" s="14"/>
      <c r="HIC35" s="14"/>
      <c r="HID35" s="14"/>
      <c r="HIE35" s="14"/>
      <c r="HIF35" s="14"/>
      <c r="HIG35" s="14"/>
      <c r="HIH35" s="14"/>
      <c r="HII35" s="14"/>
      <c r="HIJ35" s="14"/>
      <c r="HIK35" s="14"/>
      <c r="HIL35" s="14"/>
      <c r="HIM35" s="14"/>
      <c r="HIN35" s="14"/>
      <c r="HIO35" s="14"/>
      <c r="HIP35" s="14"/>
      <c r="HIQ35" s="14"/>
      <c r="HIR35" s="14"/>
      <c r="HIS35" s="14"/>
      <c r="HIT35" s="14"/>
      <c r="HIU35" s="14"/>
      <c r="HIV35" s="14"/>
      <c r="HIW35" s="14"/>
      <c r="HIX35" s="14"/>
      <c r="HIY35" s="14"/>
      <c r="HIZ35" s="14"/>
      <c r="HJA35" s="14"/>
      <c r="HJB35" s="14"/>
      <c r="HJC35" s="14"/>
      <c r="HJD35" s="14"/>
      <c r="HJE35" s="14"/>
      <c r="HJF35" s="14"/>
      <c r="HJG35" s="14"/>
      <c r="HJH35" s="14"/>
      <c r="HJI35" s="14"/>
      <c r="HJJ35" s="14"/>
      <c r="HJK35" s="14"/>
      <c r="HJL35" s="14"/>
      <c r="HJM35" s="14"/>
      <c r="HJN35" s="14"/>
      <c r="HJO35" s="14"/>
      <c r="HJP35" s="14"/>
      <c r="HJQ35" s="14"/>
      <c r="HJR35" s="14"/>
      <c r="HJS35" s="14"/>
      <c r="HJT35" s="14"/>
      <c r="HJU35" s="14"/>
      <c r="HJV35" s="14"/>
      <c r="HJW35" s="14"/>
      <c r="HJX35" s="14"/>
      <c r="HJY35" s="14"/>
      <c r="HJZ35" s="14"/>
      <c r="HKA35" s="14"/>
      <c r="HKB35" s="14"/>
      <c r="HKC35" s="14"/>
      <c r="HKD35" s="14"/>
      <c r="HKE35" s="14"/>
      <c r="HKF35" s="14"/>
      <c r="HKG35" s="14"/>
      <c r="HKH35" s="14"/>
      <c r="HKI35" s="14"/>
      <c r="HKJ35" s="14"/>
      <c r="HKK35" s="14"/>
      <c r="HKL35" s="14"/>
      <c r="HKM35" s="14"/>
      <c r="HKN35" s="14"/>
      <c r="HKO35" s="14"/>
      <c r="HKP35" s="14"/>
      <c r="HKQ35" s="14"/>
      <c r="HKR35" s="14"/>
      <c r="HKS35" s="14"/>
      <c r="HKT35" s="14"/>
      <c r="HKU35" s="14"/>
      <c r="HKV35" s="14"/>
      <c r="HKW35" s="14"/>
      <c r="HKX35" s="14"/>
      <c r="HKY35" s="14"/>
      <c r="HKZ35" s="14"/>
      <c r="HLA35" s="14"/>
      <c r="HLB35" s="14"/>
      <c r="HLC35" s="14"/>
      <c r="HLD35" s="14"/>
      <c r="HLE35" s="14"/>
      <c r="HLF35" s="14"/>
      <c r="HLG35" s="14"/>
      <c r="HLH35" s="14"/>
      <c r="HLI35" s="14"/>
      <c r="HLJ35" s="14"/>
      <c r="HLK35" s="14"/>
      <c r="HLL35" s="14"/>
      <c r="HLM35" s="14"/>
      <c r="HLN35" s="14"/>
      <c r="HLO35" s="14"/>
      <c r="HLP35" s="14"/>
      <c r="HLQ35" s="14"/>
      <c r="HLR35" s="14"/>
      <c r="HLS35" s="14"/>
      <c r="HLT35" s="14"/>
      <c r="HLU35" s="14"/>
      <c r="HLV35" s="14"/>
      <c r="HLW35" s="14"/>
      <c r="HLX35" s="14"/>
      <c r="HLY35" s="14"/>
      <c r="HLZ35" s="14"/>
      <c r="HMA35" s="14"/>
      <c r="HMB35" s="14"/>
      <c r="HMC35" s="14"/>
      <c r="HMD35" s="14"/>
      <c r="HME35" s="14"/>
      <c r="HMF35" s="14"/>
      <c r="HMG35" s="14"/>
      <c r="HMH35" s="14"/>
      <c r="HMI35" s="14"/>
      <c r="HMJ35" s="14"/>
      <c r="HMK35" s="14"/>
      <c r="HML35" s="14"/>
      <c r="HMM35" s="14"/>
      <c r="HMN35" s="14"/>
      <c r="HMO35" s="14"/>
      <c r="HMP35" s="14"/>
      <c r="HMQ35" s="14"/>
      <c r="HMR35" s="14"/>
      <c r="HMS35" s="14"/>
      <c r="HMT35" s="14"/>
      <c r="HMU35" s="14"/>
      <c r="HMV35" s="14"/>
      <c r="HMW35" s="14"/>
      <c r="HMX35" s="14"/>
      <c r="HMY35" s="14"/>
      <c r="HMZ35" s="14"/>
      <c r="HNA35" s="14"/>
      <c r="HNB35" s="14"/>
      <c r="HNC35" s="14"/>
      <c r="HND35" s="14"/>
      <c r="HNE35" s="14"/>
      <c r="HNF35" s="14"/>
      <c r="HNG35" s="14"/>
      <c r="HNH35" s="14"/>
      <c r="HNI35" s="14"/>
      <c r="HNJ35" s="14"/>
      <c r="HNK35" s="14"/>
      <c r="HNL35" s="14"/>
      <c r="HNM35" s="14"/>
      <c r="HNN35" s="14"/>
      <c r="HNO35" s="14"/>
      <c r="HNP35" s="14"/>
      <c r="HNQ35" s="14"/>
      <c r="HNR35" s="14"/>
      <c r="HNS35" s="14"/>
      <c r="HNT35" s="14"/>
      <c r="HNU35" s="14"/>
      <c r="HNV35" s="14"/>
      <c r="HNW35" s="14"/>
      <c r="HNX35" s="14"/>
      <c r="HNY35" s="14"/>
      <c r="HNZ35" s="14"/>
      <c r="HOA35" s="14"/>
      <c r="HOB35" s="14"/>
      <c r="HOC35" s="14"/>
      <c r="HOD35" s="14"/>
      <c r="HOE35" s="14"/>
      <c r="HOF35" s="14"/>
      <c r="HOG35" s="14"/>
      <c r="HOH35" s="14"/>
      <c r="HOI35" s="14"/>
      <c r="HOJ35" s="14"/>
      <c r="HOK35" s="14"/>
      <c r="HOL35" s="14"/>
      <c r="HOM35" s="14"/>
      <c r="HON35" s="14"/>
      <c r="HOO35" s="14"/>
      <c r="HOP35" s="14"/>
      <c r="HOQ35" s="14"/>
      <c r="HOR35" s="14"/>
      <c r="HOS35" s="14"/>
      <c r="HOT35" s="14"/>
      <c r="HOU35" s="14"/>
      <c r="HOV35" s="14"/>
      <c r="HOW35" s="14"/>
      <c r="HOX35" s="14"/>
      <c r="HOY35" s="14"/>
      <c r="HOZ35" s="14"/>
      <c r="HPA35" s="14"/>
      <c r="HPB35" s="14"/>
      <c r="HPC35" s="14"/>
      <c r="HPD35" s="14"/>
      <c r="HPE35" s="14"/>
      <c r="HPF35" s="14"/>
      <c r="HPG35" s="14"/>
      <c r="HPH35" s="14"/>
      <c r="HPI35" s="14"/>
      <c r="HPJ35" s="14"/>
      <c r="HPK35" s="14"/>
      <c r="HPL35" s="14"/>
      <c r="HPM35" s="14"/>
      <c r="HPN35" s="14"/>
      <c r="HPO35" s="14"/>
      <c r="HPP35" s="14"/>
      <c r="HPQ35" s="14"/>
      <c r="HPR35" s="14"/>
      <c r="HPS35" s="14"/>
      <c r="HPT35" s="14"/>
      <c r="HPU35" s="14"/>
      <c r="HPV35" s="14"/>
      <c r="HPW35" s="14"/>
      <c r="HPX35" s="14"/>
      <c r="HPY35" s="14"/>
      <c r="HPZ35" s="14"/>
      <c r="HQA35" s="14"/>
      <c r="HQB35" s="14"/>
      <c r="HQC35" s="14"/>
      <c r="HQD35" s="14"/>
      <c r="HQE35" s="14"/>
      <c r="HQF35" s="14"/>
      <c r="HQG35" s="14"/>
      <c r="HQH35" s="14"/>
      <c r="HQI35" s="14"/>
      <c r="HQJ35" s="14"/>
      <c r="HQK35" s="14"/>
      <c r="HQL35" s="14"/>
      <c r="HQM35" s="14"/>
      <c r="HQN35" s="14"/>
      <c r="HQO35" s="14"/>
      <c r="HQP35" s="14"/>
      <c r="HQQ35" s="14"/>
      <c r="HQR35" s="14"/>
      <c r="HQS35" s="14"/>
      <c r="HQT35" s="14"/>
      <c r="HQU35" s="14"/>
      <c r="HQV35" s="14"/>
      <c r="HQW35" s="14"/>
      <c r="HQX35" s="14"/>
      <c r="HQY35" s="14"/>
      <c r="HQZ35" s="14"/>
      <c r="HRA35" s="14"/>
      <c r="HRB35" s="14"/>
      <c r="HRC35" s="14"/>
      <c r="HRD35" s="14"/>
      <c r="HRE35" s="14"/>
      <c r="HRF35" s="14"/>
      <c r="HRG35" s="14"/>
      <c r="HRH35" s="14"/>
      <c r="HRI35" s="14"/>
      <c r="HRJ35" s="14"/>
      <c r="HRK35" s="14"/>
      <c r="HRL35" s="14"/>
      <c r="HRM35" s="14"/>
      <c r="HRN35" s="14"/>
      <c r="HRO35" s="14"/>
      <c r="HRP35" s="14"/>
      <c r="HRQ35" s="14"/>
      <c r="HRR35" s="14"/>
      <c r="HRS35" s="14"/>
      <c r="HRT35" s="14"/>
      <c r="HRU35" s="14"/>
      <c r="HRV35" s="14"/>
      <c r="HRW35" s="14"/>
      <c r="HRX35" s="14"/>
      <c r="HRY35" s="14"/>
      <c r="HRZ35" s="14"/>
      <c r="HSA35" s="14"/>
      <c r="HSB35" s="14"/>
      <c r="HSC35" s="14"/>
      <c r="HSD35" s="14"/>
      <c r="HSE35" s="14"/>
      <c r="HSF35" s="14"/>
      <c r="HSG35" s="14"/>
      <c r="HSH35" s="14"/>
      <c r="HSI35" s="14"/>
      <c r="HSJ35" s="14"/>
      <c r="HSK35" s="14"/>
      <c r="HSL35" s="14"/>
      <c r="HSM35" s="14"/>
      <c r="HSN35" s="14"/>
      <c r="HSO35" s="14"/>
      <c r="HSP35" s="14"/>
      <c r="HSQ35" s="14"/>
      <c r="HSR35" s="14"/>
      <c r="HSS35" s="14"/>
      <c r="HST35" s="14"/>
      <c r="HSU35" s="14"/>
      <c r="HSV35" s="14"/>
      <c r="HSW35" s="14"/>
      <c r="HSX35" s="14"/>
      <c r="HSY35" s="14"/>
      <c r="HSZ35" s="14"/>
      <c r="HTA35" s="14"/>
      <c r="HTB35" s="14"/>
      <c r="HTC35" s="14"/>
      <c r="HTD35" s="14"/>
      <c r="HTE35" s="14"/>
      <c r="HTF35" s="14"/>
      <c r="HTG35" s="14"/>
      <c r="HTH35" s="14"/>
      <c r="HTI35" s="14"/>
      <c r="HTJ35" s="14"/>
      <c r="HTK35" s="14"/>
      <c r="HTL35" s="14"/>
      <c r="HTM35" s="14"/>
      <c r="HTN35" s="14"/>
      <c r="HTO35" s="14"/>
      <c r="HTP35" s="14"/>
      <c r="HTQ35" s="14"/>
      <c r="HTR35" s="14"/>
      <c r="HTS35" s="14"/>
      <c r="HTT35" s="14"/>
      <c r="HTU35" s="14"/>
      <c r="HTV35" s="14"/>
      <c r="HTW35" s="14"/>
      <c r="HTX35" s="14"/>
      <c r="HTY35" s="14"/>
      <c r="HTZ35" s="14"/>
      <c r="HUA35" s="14"/>
      <c r="HUB35" s="14"/>
      <c r="HUC35" s="14"/>
      <c r="HUD35" s="14"/>
      <c r="HUE35" s="14"/>
      <c r="HUF35" s="14"/>
      <c r="HUG35" s="14"/>
      <c r="HUH35" s="14"/>
      <c r="HUI35" s="14"/>
      <c r="HUJ35" s="14"/>
      <c r="HUK35" s="14"/>
      <c r="HUL35" s="14"/>
      <c r="HUM35" s="14"/>
      <c r="HUN35" s="14"/>
      <c r="HUO35" s="14"/>
      <c r="HUP35" s="14"/>
      <c r="HUQ35" s="14"/>
      <c r="HUR35" s="14"/>
      <c r="HUS35" s="14"/>
      <c r="HUT35" s="14"/>
      <c r="HUU35" s="14"/>
      <c r="HUV35" s="14"/>
      <c r="HUW35" s="14"/>
      <c r="HUX35" s="14"/>
      <c r="HUY35" s="14"/>
      <c r="HUZ35" s="14"/>
      <c r="HVA35" s="14"/>
      <c r="HVB35" s="14"/>
      <c r="HVC35" s="14"/>
      <c r="HVD35" s="14"/>
      <c r="HVE35" s="14"/>
      <c r="HVF35" s="14"/>
      <c r="HVG35" s="14"/>
      <c r="HVH35" s="14"/>
      <c r="HVI35" s="14"/>
      <c r="HVJ35" s="14"/>
      <c r="HVK35" s="14"/>
      <c r="HVL35" s="14"/>
      <c r="HVM35" s="14"/>
      <c r="HVN35" s="14"/>
      <c r="HVO35" s="14"/>
      <c r="HVP35" s="14"/>
      <c r="HVQ35" s="14"/>
      <c r="HVR35" s="14"/>
      <c r="HVS35" s="14"/>
      <c r="HVT35" s="14"/>
      <c r="HVU35" s="14"/>
      <c r="HVV35" s="14"/>
      <c r="HVW35" s="14"/>
      <c r="HVX35" s="14"/>
      <c r="HVY35" s="14"/>
      <c r="HVZ35" s="14"/>
      <c r="HWA35" s="14"/>
      <c r="HWB35" s="14"/>
      <c r="HWC35" s="14"/>
      <c r="HWD35" s="14"/>
      <c r="HWE35" s="14"/>
      <c r="HWF35" s="14"/>
      <c r="HWG35" s="14"/>
      <c r="HWH35" s="14"/>
      <c r="HWI35" s="14"/>
      <c r="HWJ35" s="14"/>
      <c r="HWK35" s="14"/>
      <c r="HWL35" s="14"/>
      <c r="HWM35" s="14"/>
      <c r="HWN35" s="14"/>
      <c r="HWO35" s="14"/>
      <c r="HWP35" s="14"/>
      <c r="HWQ35" s="14"/>
      <c r="HWR35" s="14"/>
      <c r="HWS35" s="14"/>
      <c r="HWT35" s="14"/>
      <c r="HWU35" s="14"/>
      <c r="HWV35" s="14"/>
      <c r="HWW35" s="14"/>
      <c r="HWX35" s="14"/>
      <c r="HWY35" s="14"/>
      <c r="HWZ35" s="14"/>
      <c r="HXA35" s="14"/>
      <c r="HXB35" s="14"/>
      <c r="HXC35" s="14"/>
      <c r="HXD35" s="14"/>
      <c r="HXE35" s="14"/>
      <c r="HXF35" s="14"/>
      <c r="HXG35" s="14"/>
      <c r="HXH35" s="14"/>
      <c r="HXI35" s="14"/>
      <c r="HXJ35" s="14"/>
      <c r="HXK35" s="14"/>
      <c r="HXL35" s="14"/>
      <c r="HXM35" s="14"/>
      <c r="HXN35" s="14"/>
      <c r="HXO35" s="14"/>
      <c r="HXP35" s="14"/>
      <c r="HXQ35" s="14"/>
      <c r="HXR35" s="14"/>
      <c r="HXS35" s="14"/>
      <c r="HXT35" s="14"/>
      <c r="HXU35" s="14"/>
      <c r="HXV35" s="14"/>
      <c r="HXW35" s="14"/>
      <c r="HXX35" s="14"/>
      <c r="HXY35" s="14"/>
      <c r="HXZ35" s="14"/>
      <c r="HYA35" s="14"/>
      <c r="HYB35" s="14"/>
      <c r="HYC35" s="14"/>
      <c r="HYD35" s="14"/>
      <c r="HYE35" s="14"/>
      <c r="HYF35" s="14"/>
      <c r="HYG35" s="14"/>
      <c r="HYH35" s="14"/>
      <c r="HYI35" s="14"/>
      <c r="HYJ35" s="14"/>
      <c r="HYK35" s="14"/>
      <c r="HYL35" s="14"/>
      <c r="HYM35" s="14"/>
      <c r="HYN35" s="14"/>
      <c r="HYO35" s="14"/>
      <c r="HYP35" s="14"/>
      <c r="HYQ35" s="14"/>
      <c r="HYR35" s="14"/>
      <c r="HYS35" s="14"/>
      <c r="HYT35" s="14"/>
      <c r="HYU35" s="14"/>
      <c r="HYV35" s="14"/>
      <c r="HYW35" s="14"/>
      <c r="HYX35" s="14"/>
      <c r="HYY35" s="14"/>
      <c r="HYZ35" s="14"/>
      <c r="HZA35" s="14"/>
      <c r="HZB35" s="14"/>
      <c r="HZC35" s="14"/>
      <c r="HZD35" s="14"/>
      <c r="HZE35" s="14"/>
      <c r="HZF35" s="14"/>
      <c r="HZG35" s="14"/>
      <c r="HZH35" s="14"/>
      <c r="HZI35" s="14"/>
      <c r="HZJ35" s="14"/>
      <c r="HZK35" s="14"/>
      <c r="HZL35" s="14"/>
      <c r="HZM35" s="14"/>
      <c r="HZN35" s="14"/>
      <c r="HZO35" s="14"/>
      <c r="HZP35" s="14"/>
      <c r="HZQ35" s="14"/>
      <c r="HZR35" s="14"/>
      <c r="HZS35" s="14"/>
      <c r="HZT35" s="14"/>
      <c r="HZU35" s="14"/>
      <c r="HZV35" s="14"/>
      <c r="HZW35" s="14"/>
      <c r="HZX35" s="14"/>
      <c r="HZY35" s="14"/>
      <c r="HZZ35" s="14"/>
      <c r="IAA35" s="14"/>
      <c r="IAB35" s="14"/>
      <c r="IAC35" s="14"/>
      <c r="IAD35" s="14"/>
      <c r="IAE35" s="14"/>
      <c r="IAF35" s="14"/>
      <c r="IAG35" s="14"/>
      <c r="IAH35" s="14"/>
      <c r="IAI35" s="14"/>
      <c r="IAJ35" s="14"/>
      <c r="IAK35" s="14"/>
      <c r="IAL35" s="14"/>
      <c r="IAM35" s="14"/>
      <c r="IAN35" s="14"/>
      <c r="IAO35" s="14"/>
      <c r="IAP35" s="14"/>
      <c r="IAQ35" s="14"/>
      <c r="IAR35" s="14"/>
      <c r="IAS35" s="14"/>
      <c r="IAT35" s="14"/>
      <c r="IAU35" s="14"/>
      <c r="IAV35" s="14"/>
      <c r="IAW35" s="14"/>
      <c r="IAX35" s="14"/>
      <c r="IAY35" s="14"/>
      <c r="IAZ35" s="14"/>
      <c r="IBA35" s="14"/>
      <c r="IBB35" s="14"/>
      <c r="IBC35" s="14"/>
      <c r="IBD35" s="14"/>
      <c r="IBE35" s="14"/>
      <c r="IBF35" s="14"/>
      <c r="IBG35" s="14"/>
      <c r="IBH35" s="14"/>
      <c r="IBI35" s="14"/>
      <c r="IBJ35" s="14"/>
      <c r="IBK35" s="14"/>
      <c r="IBL35" s="14"/>
      <c r="IBM35" s="14"/>
      <c r="IBN35" s="14"/>
      <c r="IBO35" s="14"/>
      <c r="IBP35" s="14"/>
      <c r="IBQ35" s="14"/>
      <c r="IBR35" s="14"/>
      <c r="IBS35" s="14"/>
      <c r="IBT35" s="14"/>
      <c r="IBU35" s="14"/>
      <c r="IBV35" s="14"/>
      <c r="IBW35" s="14"/>
      <c r="IBX35" s="14"/>
      <c r="IBY35" s="14"/>
      <c r="IBZ35" s="14"/>
      <c r="ICA35" s="14"/>
      <c r="ICB35" s="14"/>
      <c r="ICC35" s="14"/>
      <c r="ICD35" s="14"/>
      <c r="ICE35" s="14"/>
      <c r="ICF35" s="14"/>
      <c r="ICG35" s="14"/>
      <c r="ICH35" s="14"/>
      <c r="ICI35" s="14"/>
      <c r="ICJ35" s="14"/>
      <c r="ICK35" s="14"/>
      <c r="ICL35" s="14"/>
      <c r="ICM35" s="14"/>
      <c r="ICN35" s="14"/>
      <c r="ICO35" s="14"/>
      <c r="ICP35" s="14"/>
      <c r="ICQ35" s="14"/>
      <c r="ICR35" s="14"/>
      <c r="ICS35" s="14"/>
      <c r="ICT35" s="14"/>
      <c r="ICU35" s="14"/>
      <c r="ICV35" s="14"/>
      <c r="ICW35" s="14"/>
      <c r="ICX35" s="14"/>
      <c r="ICY35" s="14"/>
      <c r="ICZ35" s="14"/>
      <c r="IDA35" s="14"/>
      <c r="IDB35" s="14"/>
      <c r="IDC35" s="14"/>
      <c r="IDD35" s="14"/>
      <c r="IDE35" s="14"/>
      <c r="IDF35" s="14"/>
      <c r="IDG35" s="14"/>
      <c r="IDH35" s="14"/>
      <c r="IDI35" s="14"/>
      <c r="IDJ35" s="14"/>
      <c r="IDK35" s="14"/>
      <c r="IDL35" s="14"/>
      <c r="IDM35" s="14"/>
      <c r="IDN35" s="14"/>
      <c r="IDO35" s="14"/>
      <c r="IDP35" s="14"/>
      <c r="IDQ35" s="14"/>
      <c r="IDR35" s="14"/>
      <c r="IDS35" s="14"/>
      <c r="IDT35" s="14"/>
      <c r="IDU35" s="14"/>
      <c r="IDV35" s="14"/>
      <c r="IDW35" s="14"/>
      <c r="IDX35" s="14"/>
      <c r="IDY35" s="14"/>
      <c r="IDZ35" s="14"/>
      <c r="IEA35" s="14"/>
      <c r="IEB35" s="14"/>
      <c r="IEC35" s="14"/>
      <c r="IED35" s="14"/>
      <c r="IEE35" s="14"/>
      <c r="IEF35" s="14"/>
      <c r="IEG35" s="14"/>
      <c r="IEH35" s="14"/>
      <c r="IEI35" s="14"/>
      <c r="IEJ35" s="14"/>
      <c r="IEK35" s="14"/>
      <c r="IEL35" s="14"/>
      <c r="IEM35" s="14"/>
      <c r="IEN35" s="14"/>
      <c r="IEO35" s="14"/>
      <c r="IEP35" s="14"/>
      <c r="IEQ35" s="14"/>
      <c r="IER35" s="14"/>
      <c r="IES35" s="14"/>
      <c r="IET35" s="14"/>
      <c r="IEU35" s="14"/>
      <c r="IEV35" s="14"/>
      <c r="IEW35" s="14"/>
      <c r="IEX35" s="14"/>
      <c r="IEY35" s="14"/>
      <c r="IEZ35" s="14"/>
      <c r="IFA35" s="14"/>
      <c r="IFB35" s="14"/>
      <c r="IFC35" s="14"/>
      <c r="IFD35" s="14"/>
      <c r="IFE35" s="14"/>
      <c r="IFF35" s="14"/>
      <c r="IFG35" s="14"/>
      <c r="IFH35" s="14"/>
      <c r="IFI35" s="14"/>
      <c r="IFJ35" s="14"/>
      <c r="IFK35" s="14"/>
      <c r="IFL35" s="14"/>
      <c r="IFM35" s="14"/>
      <c r="IFN35" s="14"/>
      <c r="IFO35" s="14"/>
      <c r="IFP35" s="14"/>
      <c r="IFQ35" s="14"/>
      <c r="IFR35" s="14"/>
      <c r="IFS35" s="14"/>
      <c r="IFT35" s="14"/>
      <c r="IFU35" s="14"/>
      <c r="IFV35" s="14"/>
      <c r="IFW35" s="14"/>
      <c r="IFX35" s="14"/>
      <c r="IFY35" s="14"/>
      <c r="IFZ35" s="14"/>
      <c r="IGA35" s="14"/>
      <c r="IGB35" s="14"/>
      <c r="IGC35" s="14"/>
      <c r="IGD35" s="14"/>
      <c r="IGE35" s="14"/>
      <c r="IGF35" s="14"/>
      <c r="IGG35" s="14"/>
      <c r="IGH35" s="14"/>
      <c r="IGI35" s="14"/>
      <c r="IGJ35" s="14"/>
      <c r="IGK35" s="14"/>
      <c r="IGL35" s="14"/>
      <c r="IGM35" s="14"/>
      <c r="IGN35" s="14"/>
      <c r="IGO35" s="14"/>
      <c r="IGP35" s="14"/>
      <c r="IGQ35" s="14"/>
      <c r="IGR35" s="14"/>
      <c r="IGS35" s="14"/>
      <c r="IGT35" s="14"/>
      <c r="IGU35" s="14"/>
      <c r="IGV35" s="14"/>
      <c r="IGW35" s="14"/>
      <c r="IGX35" s="14"/>
      <c r="IGY35" s="14"/>
      <c r="IGZ35" s="14"/>
      <c r="IHA35" s="14"/>
      <c r="IHB35" s="14"/>
      <c r="IHC35" s="14"/>
      <c r="IHD35" s="14"/>
      <c r="IHE35" s="14"/>
      <c r="IHF35" s="14"/>
      <c r="IHG35" s="14"/>
      <c r="IHH35" s="14"/>
      <c r="IHI35" s="14"/>
      <c r="IHJ35" s="14"/>
      <c r="IHK35" s="14"/>
      <c r="IHL35" s="14"/>
      <c r="IHM35" s="14"/>
      <c r="IHN35" s="14"/>
      <c r="IHO35" s="14"/>
      <c r="IHP35" s="14"/>
      <c r="IHQ35" s="14"/>
      <c r="IHR35" s="14"/>
      <c r="IHS35" s="14"/>
      <c r="IHT35" s="14"/>
      <c r="IHU35" s="14"/>
      <c r="IHV35" s="14"/>
      <c r="IHW35" s="14"/>
      <c r="IHX35" s="14"/>
      <c r="IHY35" s="14"/>
      <c r="IHZ35" s="14"/>
      <c r="IIA35" s="14"/>
      <c r="IIB35" s="14"/>
      <c r="IIC35" s="14"/>
      <c r="IID35" s="14"/>
      <c r="IIE35" s="14"/>
      <c r="IIF35" s="14"/>
      <c r="IIG35" s="14"/>
      <c r="IIH35" s="14"/>
      <c r="III35" s="14"/>
      <c r="IIJ35" s="14"/>
      <c r="IIK35" s="14"/>
      <c r="IIL35" s="14"/>
      <c r="IIM35" s="14"/>
      <c r="IIN35" s="14"/>
      <c r="IIO35" s="14"/>
      <c r="IIP35" s="14"/>
      <c r="IIQ35" s="14"/>
      <c r="IIR35" s="14"/>
      <c r="IIS35" s="14"/>
      <c r="IIT35" s="14"/>
      <c r="IIU35" s="14"/>
      <c r="IIV35" s="14"/>
      <c r="IIW35" s="14"/>
      <c r="IIX35" s="14"/>
      <c r="IIY35" s="14"/>
      <c r="IIZ35" s="14"/>
      <c r="IJA35" s="14"/>
      <c r="IJB35" s="14"/>
      <c r="IJC35" s="14"/>
      <c r="IJD35" s="14"/>
      <c r="IJE35" s="14"/>
      <c r="IJF35" s="14"/>
      <c r="IJG35" s="14"/>
      <c r="IJH35" s="14"/>
      <c r="IJI35" s="14"/>
      <c r="IJJ35" s="14"/>
      <c r="IJK35" s="14"/>
      <c r="IJL35" s="14"/>
      <c r="IJM35" s="14"/>
      <c r="IJN35" s="14"/>
      <c r="IJO35" s="14"/>
      <c r="IJP35" s="14"/>
      <c r="IJQ35" s="14"/>
      <c r="IJR35" s="14"/>
      <c r="IJS35" s="14"/>
      <c r="IJT35" s="14"/>
      <c r="IJU35" s="14"/>
      <c r="IJV35" s="14"/>
      <c r="IJW35" s="14"/>
      <c r="IJX35" s="14"/>
      <c r="IJY35" s="14"/>
      <c r="IJZ35" s="14"/>
      <c r="IKA35" s="14"/>
      <c r="IKB35" s="14"/>
      <c r="IKC35" s="14"/>
      <c r="IKD35" s="14"/>
      <c r="IKE35" s="14"/>
      <c r="IKF35" s="14"/>
      <c r="IKG35" s="14"/>
      <c r="IKH35" s="14"/>
      <c r="IKI35" s="14"/>
      <c r="IKJ35" s="14"/>
      <c r="IKK35" s="14"/>
      <c r="IKL35" s="14"/>
      <c r="IKM35" s="14"/>
      <c r="IKN35" s="14"/>
      <c r="IKO35" s="14"/>
      <c r="IKP35" s="14"/>
      <c r="IKQ35" s="14"/>
      <c r="IKR35" s="14"/>
      <c r="IKS35" s="14"/>
      <c r="IKT35" s="14"/>
      <c r="IKU35" s="14"/>
      <c r="IKV35" s="14"/>
      <c r="IKW35" s="14"/>
      <c r="IKX35" s="14"/>
      <c r="IKY35" s="14"/>
      <c r="IKZ35" s="14"/>
      <c r="ILA35" s="14"/>
      <c r="ILB35" s="14"/>
      <c r="ILC35" s="14"/>
      <c r="ILD35" s="14"/>
      <c r="ILE35" s="14"/>
      <c r="ILF35" s="14"/>
      <c r="ILG35" s="14"/>
      <c r="ILH35" s="14"/>
      <c r="ILI35" s="14"/>
      <c r="ILJ35" s="14"/>
      <c r="ILK35" s="14"/>
      <c r="ILL35" s="14"/>
      <c r="ILM35" s="14"/>
      <c r="ILN35" s="14"/>
      <c r="ILO35" s="14"/>
      <c r="ILP35" s="14"/>
      <c r="ILQ35" s="14"/>
      <c r="ILR35" s="14"/>
      <c r="ILS35" s="14"/>
      <c r="ILT35" s="14"/>
      <c r="ILU35" s="14"/>
      <c r="ILV35" s="14"/>
      <c r="ILW35" s="14"/>
      <c r="ILX35" s="14"/>
      <c r="ILY35" s="14"/>
      <c r="ILZ35" s="14"/>
      <c r="IMA35" s="14"/>
      <c r="IMB35" s="14"/>
      <c r="IMC35" s="14"/>
      <c r="IMD35" s="14"/>
      <c r="IME35" s="14"/>
      <c r="IMF35" s="14"/>
      <c r="IMG35" s="14"/>
      <c r="IMH35" s="14"/>
      <c r="IMI35" s="14"/>
      <c r="IMJ35" s="14"/>
      <c r="IMK35" s="14"/>
      <c r="IML35" s="14"/>
      <c r="IMM35" s="14"/>
      <c r="IMN35" s="14"/>
      <c r="IMO35" s="14"/>
      <c r="IMP35" s="14"/>
      <c r="IMQ35" s="14"/>
      <c r="IMR35" s="14"/>
      <c r="IMS35" s="14"/>
      <c r="IMT35" s="14"/>
      <c r="IMU35" s="14"/>
      <c r="IMV35" s="14"/>
      <c r="IMW35" s="14"/>
      <c r="IMX35" s="14"/>
      <c r="IMY35" s="14"/>
      <c r="IMZ35" s="14"/>
      <c r="INA35" s="14"/>
      <c r="INB35" s="14"/>
      <c r="INC35" s="14"/>
      <c r="IND35" s="14"/>
      <c r="INE35" s="14"/>
      <c r="INF35" s="14"/>
      <c r="ING35" s="14"/>
      <c r="INH35" s="14"/>
      <c r="INI35" s="14"/>
      <c r="INJ35" s="14"/>
      <c r="INK35" s="14"/>
      <c r="INL35" s="14"/>
      <c r="INM35" s="14"/>
      <c r="INN35" s="14"/>
      <c r="INO35" s="14"/>
      <c r="INP35" s="14"/>
      <c r="INQ35" s="14"/>
      <c r="INR35" s="14"/>
      <c r="INS35" s="14"/>
      <c r="INT35" s="14"/>
      <c r="INU35" s="14"/>
      <c r="INV35" s="14"/>
      <c r="INW35" s="14"/>
      <c r="INX35" s="14"/>
      <c r="INY35" s="14"/>
      <c r="INZ35" s="14"/>
      <c r="IOA35" s="14"/>
      <c r="IOB35" s="14"/>
      <c r="IOC35" s="14"/>
      <c r="IOD35" s="14"/>
      <c r="IOE35" s="14"/>
      <c r="IOF35" s="14"/>
      <c r="IOG35" s="14"/>
      <c r="IOH35" s="14"/>
      <c r="IOI35" s="14"/>
      <c r="IOJ35" s="14"/>
      <c r="IOK35" s="14"/>
      <c r="IOL35" s="14"/>
      <c r="IOM35" s="14"/>
      <c r="ION35" s="14"/>
      <c r="IOO35" s="14"/>
      <c r="IOP35" s="14"/>
      <c r="IOQ35" s="14"/>
      <c r="IOR35" s="14"/>
      <c r="IOS35" s="14"/>
      <c r="IOT35" s="14"/>
      <c r="IOU35" s="14"/>
      <c r="IOV35" s="14"/>
      <c r="IOW35" s="14"/>
      <c r="IOX35" s="14"/>
      <c r="IOY35" s="14"/>
      <c r="IOZ35" s="14"/>
      <c r="IPA35" s="14"/>
      <c r="IPB35" s="14"/>
      <c r="IPC35" s="14"/>
      <c r="IPD35" s="14"/>
      <c r="IPE35" s="14"/>
      <c r="IPF35" s="14"/>
      <c r="IPG35" s="14"/>
      <c r="IPH35" s="14"/>
      <c r="IPI35" s="14"/>
      <c r="IPJ35" s="14"/>
      <c r="IPK35" s="14"/>
      <c r="IPL35" s="14"/>
      <c r="IPM35" s="14"/>
      <c r="IPN35" s="14"/>
      <c r="IPO35" s="14"/>
      <c r="IPP35" s="14"/>
      <c r="IPQ35" s="14"/>
      <c r="IPR35" s="14"/>
      <c r="IPS35" s="14"/>
      <c r="IPT35" s="14"/>
      <c r="IPU35" s="14"/>
      <c r="IPV35" s="14"/>
      <c r="IPW35" s="14"/>
      <c r="IPX35" s="14"/>
      <c r="IPY35" s="14"/>
      <c r="IPZ35" s="14"/>
      <c r="IQA35" s="14"/>
      <c r="IQB35" s="14"/>
      <c r="IQC35" s="14"/>
      <c r="IQD35" s="14"/>
      <c r="IQE35" s="14"/>
      <c r="IQF35" s="14"/>
      <c r="IQG35" s="14"/>
      <c r="IQH35" s="14"/>
      <c r="IQI35" s="14"/>
      <c r="IQJ35" s="14"/>
      <c r="IQK35" s="14"/>
      <c r="IQL35" s="14"/>
      <c r="IQM35" s="14"/>
      <c r="IQN35" s="14"/>
      <c r="IQO35" s="14"/>
      <c r="IQP35" s="14"/>
      <c r="IQQ35" s="14"/>
      <c r="IQR35" s="14"/>
      <c r="IQS35" s="14"/>
      <c r="IQT35" s="14"/>
      <c r="IQU35" s="14"/>
      <c r="IQV35" s="14"/>
      <c r="IQW35" s="14"/>
      <c r="IQX35" s="14"/>
      <c r="IQY35" s="14"/>
      <c r="IQZ35" s="14"/>
      <c r="IRA35" s="14"/>
      <c r="IRB35" s="14"/>
      <c r="IRC35" s="14"/>
      <c r="IRD35" s="14"/>
      <c r="IRE35" s="14"/>
      <c r="IRF35" s="14"/>
      <c r="IRG35" s="14"/>
      <c r="IRH35" s="14"/>
      <c r="IRI35" s="14"/>
      <c r="IRJ35" s="14"/>
      <c r="IRK35" s="14"/>
      <c r="IRL35" s="14"/>
      <c r="IRM35" s="14"/>
      <c r="IRN35" s="14"/>
      <c r="IRO35" s="14"/>
      <c r="IRP35" s="14"/>
      <c r="IRQ35" s="14"/>
      <c r="IRR35" s="14"/>
      <c r="IRS35" s="14"/>
      <c r="IRT35" s="14"/>
      <c r="IRU35" s="14"/>
      <c r="IRV35" s="14"/>
      <c r="IRW35" s="14"/>
      <c r="IRX35" s="14"/>
      <c r="IRY35" s="14"/>
      <c r="IRZ35" s="14"/>
      <c r="ISA35" s="14"/>
      <c r="ISB35" s="14"/>
      <c r="ISC35" s="14"/>
      <c r="ISD35" s="14"/>
      <c r="ISE35" s="14"/>
      <c r="ISF35" s="14"/>
      <c r="ISG35" s="14"/>
      <c r="ISH35" s="14"/>
      <c r="ISI35" s="14"/>
      <c r="ISJ35" s="14"/>
      <c r="ISK35" s="14"/>
      <c r="ISL35" s="14"/>
      <c r="ISM35" s="14"/>
      <c r="ISN35" s="14"/>
      <c r="ISO35" s="14"/>
      <c r="ISP35" s="14"/>
      <c r="ISQ35" s="14"/>
      <c r="ISR35" s="14"/>
      <c r="ISS35" s="14"/>
      <c r="IST35" s="14"/>
      <c r="ISU35" s="14"/>
      <c r="ISV35" s="14"/>
      <c r="ISW35" s="14"/>
      <c r="ISX35" s="14"/>
      <c r="ISY35" s="14"/>
      <c r="ISZ35" s="14"/>
      <c r="ITA35" s="14"/>
      <c r="ITB35" s="14"/>
      <c r="ITC35" s="14"/>
      <c r="ITD35" s="14"/>
      <c r="ITE35" s="14"/>
      <c r="ITF35" s="14"/>
      <c r="ITG35" s="14"/>
      <c r="ITH35" s="14"/>
      <c r="ITI35" s="14"/>
      <c r="ITJ35" s="14"/>
      <c r="ITK35" s="14"/>
      <c r="ITL35" s="14"/>
      <c r="ITM35" s="14"/>
      <c r="ITN35" s="14"/>
      <c r="ITO35" s="14"/>
      <c r="ITP35" s="14"/>
      <c r="ITQ35" s="14"/>
      <c r="ITR35" s="14"/>
      <c r="ITS35" s="14"/>
      <c r="ITT35" s="14"/>
      <c r="ITU35" s="14"/>
      <c r="ITV35" s="14"/>
      <c r="ITW35" s="14"/>
      <c r="ITX35" s="14"/>
      <c r="ITY35" s="14"/>
      <c r="ITZ35" s="14"/>
      <c r="IUA35" s="14"/>
      <c r="IUB35" s="14"/>
      <c r="IUC35" s="14"/>
      <c r="IUD35" s="14"/>
      <c r="IUE35" s="14"/>
      <c r="IUF35" s="14"/>
      <c r="IUG35" s="14"/>
      <c r="IUH35" s="14"/>
      <c r="IUI35" s="14"/>
      <c r="IUJ35" s="14"/>
      <c r="IUK35" s="14"/>
      <c r="IUL35" s="14"/>
      <c r="IUM35" s="14"/>
      <c r="IUN35" s="14"/>
      <c r="IUO35" s="14"/>
      <c r="IUP35" s="14"/>
      <c r="IUQ35" s="14"/>
      <c r="IUR35" s="14"/>
      <c r="IUS35" s="14"/>
      <c r="IUT35" s="14"/>
      <c r="IUU35" s="14"/>
      <c r="IUV35" s="14"/>
      <c r="IUW35" s="14"/>
      <c r="IUX35" s="14"/>
      <c r="IUY35" s="14"/>
      <c r="IUZ35" s="14"/>
      <c r="IVA35" s="14"/>
      <c r="IVB35" s="14"/>
      <c r="IVC35" s="14"/>
      <c r="IVD35" s="14"/>
      <c r="IVE35" s="14"/>
      <c r="IVF35" s="14"/>
      <c r="IVG35" s="14"/>
      <c r="IVH35" s="14"/>
      <c r="IVI35" s="14"/>
      <c r="IVJ35" s="14"/>
      <c r="IVK35" s="14"/>
      <c r="IVL35" s="14"/>
      <c r="IVM35" s="14"/>
      <c r="IVN35" s="14"/>
      <c r="IVO35" s="14"/>
      <c r="IVP35" s="14"/>
      <c r="IVQ35" s="14"/>
      <c r="IVR35" s="14"/>
      <c r="IVS35" s="14"/>
      <c r="IVT35" s="14"/>
      <c r="IVU35" s="14"/>
      <c r="IVV35" s="14"/>
      <c r="IVW35" s="14"/>
      <c r="IVX35" s="14"/>
      <c r="IVY35" s="14"/>
      <c r="IVZ35" s="14"/>
      <c r="IWA35" s="14"/>
      <c r="IWB35" s="14"/>
      <c r="IWC35" s="14"/>
      <c r="IWD35" s="14"/>
      <c r="IWE35" s="14"/>
      <c r="IWF35" s="14"/>
      <c r="IWG35" s="14"/>
      <c r="IWH35" s="14"/>
      <c r="IWI35" s="14"/>
      <c r="IWJ35" s="14"/>
      <c r="IWK35" s="14"/>
      <c r="IWL35" s="14"/>
      <c r="IWM35" s="14"/>
      <c r="IWN35" s="14"/>
      <c r="IWO35" s="14"/>
      <c r="IWP35" s="14"/>
      <c r="IWQ35" s="14"/>
      <c r="IWR35" s="14"/>
      <c r="IWS35" s="14"/>
      <c r="IWT35" s="14"/>
      <c r="IWU35" s="14"/>
      <c r="IWV35" s="14"/>
      <c r="IWW35" s="14"/>
      <c r="IWX35" s="14"/>
      <c r="IWY35" s="14"/>
      <c r="IWZ35" s="14"/>
      <c r="IXA35" s="14"/>
      <c r="IXB35" s="14"/>
      <c r="IXC35" s="14"/>
      <c r="IXD35" s="14"/>
      <c r="IXE35" s="14"/>
      <c r="IXF35" s="14"/>
      <c r="IXG35" s="14"/>
      <c r="IXH35" s="14"/>
      <c r="IXI35" s="14"/>
      <c r="IXJ35" s="14"/>
      <c r="IXK35" s="14"/>
      <c r="IXL35" s="14"/>
      <c r="IXM35" s="14"/>
      <c r="IXN35" s="14"/>
      <c r="IXO35" s="14"/>
      <c r="IXP35" s="14"/>
      <c r="IXQ35" s="14"/>
      <c r="IXR35" s="14"/>
      <c r="IXS35" s="14"/>
      <c r="IXT35" s="14"/>
      <c r="IXU35" s="14"/>
      <c r="IXV35" s="14"/>
      <c r="IXW35" s="14"/>
      <c r="IXX35" s="14"/>
      <c r="IXY35" s="14"/>
      <c r="IXZ35" s="14"/>
      <c r="IYA35" s="14"/>
      <c r="IYB35" s="14"/>
      <c r="IYC35" s="14"/>
      <c r="IYD35" s="14"/>
      <c r="IYE35" s="14"/>
      <c r="IYF35" s="14"/>
      <c r="IYG35" s="14"/>
      <c r="IYH35" s="14"/>
      <c r="IYI35" s="14"/>
      <c r="IYJ35" s="14"/>
      <c r="IYK35" s="14"/>
      <c r="IYL35" s="14"/>
      <c r="IYM35" s="14"/>
      <c r="IYN35" s="14"/>
      <c r="IYO35" s="14"/>
      <c r="IYP35" s="14"/>
      <c r="IYQ35" s="14"/>
      <c r="IYR35" s="14"/>
      <c r="IYS35" s="14"/>
      <c r="IYT35" s="14"/>
      <c r="IYU35" s="14"/>
      <c r="IYV35" s="14"/>
      <c r="IYW35" s="14"/>
      <c r="IYX35" s="14"/>
      <c r="IYY35" s="14"/>
      <c r="IYZ35" s="14"/>
      <c r="IZA35" s="14"/>
      <c r="IZB35" s="14"/>
      <c r="IZC35" s="14"/>
      <c r="IZD35" s="14"/>
      <c r="IZE35" s="14"/>
      <c r="IZF35" s="14"/>
      <c r="IZG35" s="14"/>
      <c r="IZH35" s="14"/>
      <c r="IZI35" s="14"/>
      <c r="IZJ35" s="14"/>
      <c r="IZK35" s="14"/>
      <c r="IZL35" s="14"/>
      <c r="IZM35" s="14"/>
      <c r="IZN35" s="14"/>
      <c r="IZO35" s="14"/>
      <c r="IZP35" s="14"/>
      <c r="IZQ35" s="14"/>
      <c r="IZR35" s="14"/>
      <c r="IZS35" s="14"/>
      <c r="IZT35" s="14"/>
      <c r="IZU35" s="14"/>
      <c r="IZV35" s="14"/>
      <c r="IZW35" s="14"/>
      <c r="IZX35" s="14"/>
      <c r="IZY35" s="14"/>
      <c r="IZZ35" s="14"/>
      <c r="JAA35" s="14"/>
      <c r="JAB35" s="14"/>
      <c r="JAC35" s="14"/>
      <c r="JAD35" s="14"/>
      <c r="JAE35" s="14"/>
      <c r="JAF35" s="14"/>
      <c r="JAG35" s="14"/>
      <c r="JAH35" s="14"/>
      <c r="JAI35" s="14"/>
      <c r="JAJ35" s="14"/>
      <c r="JAK35" s="14"/>
      <c r="JAL35" s="14"/>
      <c r="JAM35" s="14"/>
      <c r="JAN35" s="14"/>
      <c r="JAO35" s="14"/>
      <c r="JAP35" s="14"/>
      <c r="JAQ35" s="14"/>
      <c r="JAR35" s="14"/>
      <c r="JAS35" s="14"/>
      <c r="JAT35" s="14"/>
      <c r="JAU35" s="14"/>
      <c r="JAV35" s="14"/>
      <c r="JAW35" s="14"/>
      <c r="JAX35" s="14"/>
      <c r="JAY35" s="14"/>
      <c r="JAZ35" s="14"/>
      <c r="JBA35" s="14"/>
      <c r="JBB35" s="14"/>
      <c r="JBC35" s="14"/>
      <c r="JBD35" s="14"/>
      <c r="JBE35" s="14"/>
      <c r="JBF35" s="14"/>
      <c r="JBG35" s="14"/>
      <c r="JBH35" s="14"/>
      <c r="JBI35" s="14"/>
      <c r="JBJ35" s="14"/>
      <c r="JBK35" s="14"/>
      <c r="JBL35" s="14"/>
      <c r="JBM35" s="14"/>
      <c r="JBN35" s="14"/>
      <c r="JBO35" s="14"/>
      <c r="JBP35" s="14"/>
      <c r="JBQ35" s="14"/>
      <c r="JBR35" s="14"/>
      <c r="JBS35" s="14"/>
      <c r="JBT35" s="14"/>
      <c r="JBU35" s="14"/>
      <c r="JBV35" s="14"/>
      <c r="JBW35" s="14"/>
      <c r="JBX35" s="14"/>
      <c r="JBY35" s="14"/>
      <c r="JBZ35" s="14"/>
      <c r="JCA35" s="14"/>
      <c r="JCB35" s="14"/>
      <c r="JCC35" s="14"/>
      <c r="JCD35" s="14"/>
      <c r="JCE35" s="14"/>
      <c r="JCF35" s="14"/>
      <c r="JCG35" s="14"/>
      <c r="JCH35" s="14"/>
      <c r="JCI35" s="14"/>
      <c r="JCJ35" s="14"/>
      <c r="JCK35" s="14"/>
      <c r="JCL35" s="14"/>
      <c r="JCM35" s="14"/>
      <c r="JCN35" s="14"/>
      <c r="JCO35" s="14"/>
      <c r="JCP35" s="14"/>
      <c r="JCQ35" s="14"/>
      <c r="JCR35" s="14"/>
      <c r="JCS35" s="14"/>
      <c r="JCT35" s="14"/>
      <c r="JCU35" s="14"/>
      <c r="JCV35" s="14"/>
      <c r="JCW35" s="14"/>
      <c r="JCX35" s="14"/>
      <c r="JCY35" s="14"/>
      <c r="JCZ35" s="14"/>
      <c r="JDA35" s="14"/>
      <c r="JDB35" s="14"/>
      <c r="JDC35" s="14"/>
      <c r="JDD35" s="14"/>
      <c r="JDE35" s="14"/>
      <c r="JDF35" s="14"/>
      <c r="JDG35" s="14"/>
      <c r="JDH35" s="14"/>
      <c r="JDI35" s="14"/>
      <c r="JDJ35" s="14"/>
      <c r="JDK35" s="14"/>
      <c r="JDL35" s="14"/>
      <c r="JDM35" s="14"/>
      <c r="JDN35" s="14"/>
      <c r="JDO35" s="14"/>
      <c r="JDP35" s="14"/>
      <c r="JDQ35" s="14"/>
      <c r="JDR35" s="14"/>
      <c r="JDS35" s="14"/>
      <c r="JDT35" s="14"/>
      <c r="JDU35" s="14"/>
      <c r="JDV35" s="14"/>
      <c r="JDW35" s="14"/>
      <c r="JDX35" s="14"/>
      <c r="JDY35" s="14"/>
      <c r="JDZ35" s="14"/>
      <c r="JEA35" s="14"/>
      <c r="JEB35" s="14"/>
      <c r="JEC35" s="14"/>
      <c r="JED35" s="14"/>
      <c r="JEE35" s="14"/>
      <c r="JEF35" s="14"/>
      <c r="JEG35" s="14"/>
      <c r="JEH35" s="14"/>
      <c r="JEI35" s="14"/>
      <c r="JEJ35" s="14"/>
      <c r="JEK35" s="14"/>
      <c r="JEL35" s="14"/>
      <c r="JEM35" s="14"/>
      <c r="JEN35" s="14"/>
      <c r="JEO35" s="14"/>
      <c r="JEP35" s="14"/>
      <c r="JEQ35" s="14"/>
      <c r="JER35" s="14"/>
      <c r="JES35" s="14"/>
      <c r="JET35" s="14"/>
      <c r="JEU35" s="14"/>
      <c r="JEV35" s="14"/>
      <c r="JEW35" s="14"/>
      <c r="JEX35" s="14"/>
      <c r="JEY35" s="14"/>
      <c r="JEZ35" s="14"/>
      <c r="JFA35" s="14"/>
      <c r="JFB35" s="14"/>
      <c r="JFC35" s="14"/>
      <c r="JFD35" s="14"/>
      <c r="JFE35" s="14"/>
      <c r="JFF35" s="14"/>
      <c r="JFG35" s="14"/>
      <c r="JFH35" s="14"/>
      <c r="JFI35" s="14"/>
      <c r="JFJ35" s="14"/>
      <c r="JFK35" s="14"/>
      <c r="JFL35" s="14"/>
      <c r="JFM35" s="14"/>
      <c r="JFN35" s="14"/>
      <c r="JFO35" s="14"/>
      <c r="JFP35" s="14"/>
      <c r="JFQ35" s="14"/>
      <c r="JFR35" s="14"/>
      <c r="JFS35" s="14"/>
      <c r="JFT35" s="14"/>
      <c r="JFU35" s="14"/>
      <c r="JFV35" s="14"/>
      <c r="JFW35" s="14"/>
      <c r="JFX35" s="14"/>
      <c r="JFY35" s="14"/>
      <c r="JFZ35" s="14"/>
      <c r="JGA35" s="14"/>
      <c r="JGB35" s="14"/>
      <c r="JGC35" s="14"/>
      <c r="JGD35" s="14"/>
      <c r="JGE35" s="14"/>
      <c r="JGF35" s="14"/>
      <c r="JGG35" s="14"/>
      <c r="JGH35" s="14"/>
      <c r="JGI35" s="14"/>
      <c r="JGJ35" s="14"/>
      <c r="JGK35" s="14"/>
      <c r="JGL35" s="14"/>
      <c r="JGM35" s="14"/>
      <c r="JGN35" s="14"/>
      <c r="JGO35" s="14"/>
      <c r="JGP35" s="14"/>
      <c r="JGQ35" s="14"/>
      <c r="JGR35" s="14"/>
      <c r="JGS35" s="14"/>
      <c r="JGT35" s="14"/>
      <c r="JGU35" s="14"/>
      <c r="JGV35" s="14"/>
      <c r="JGW35" s="14"/>
      <c r="JGX35" s="14"/>
      <c r="JGY35" s="14"/>
      <c r="JGZ35" s="14"/>
      <c r="JHA35" s="14"/>
      <c r="JHB35" s="14"/>
      <c r="JHC35" s="14"/>
      <c r="JHD35" s="14"/>
      <c r="JHE35" s="14"/>
      <c r="JHF35" s="14"/>
      <c r="JHG35" s="14"/>
      <c r="JHH35" s="14"/>
      <c r="JHI35" s="14"/>
      <c r="JHJ35" s="14"/>
      <c r="JHK35" s="14"/>
      <c r="JHL35" s="14"/>
      <c r="JHM35" s="14"/>
      <c r="JHN35" s="14"/>
      <c r="JHO35" s="14"/>
      <c r="JHP35" s="14"/>
      <c r="JHQ35" s="14"/>
      <c r="JHR35" s="14"/>
      <c r="JHS35" s="14"/>
      <c r="JHT35" s="14"/>
      <c r="JHU35" s="14"/>
      <c r="JHV35" s="14"/>
      <c r="JHW35" s="14"/>
      <c r="JHX35" s="14"/>
      <c r="JHY35" s="14"/>
      <c r="JHZ35" s="14"/>
      <c r="JIA35" s="14"/>
      <c r="JIB35" s="14"/>
      <c r="JIC35" s="14"/>
      <c r="JID35" s="14"/>
      <c r="JIE35" s="14"/>
      <c r="JIF35" s="14"/>
      <c r="JIG35" s="14"/>
      <c r="JIH35" s="14"/>
      <c r="JII35" s="14"/>
      <c r="JIJ35" s="14"/>
      <c r="JIK35" s="14"/>
      <c r="JIL35" s="14"/>
      <c r="JIM35" s="14"/>
      <c r="JIN35" s="14"/>
      <c r="JIO35" s="14"/>
      <c r="JIP35" s="14"/>
      <c r="JIQ35" s="14"/>
      <c r="JIR35" s="14"/>
      <c r="JIS35" s="14"/>
      <c r="JIT35" s="14"/>
      <c r="JIU35" s="14"/>
      <c r="JIV35" s="14"/>
      <c r="JIW35" s="14"/>
      <c r="JIX35" s="14"/>
      <c r="JIY35" s="14"/>
      <c r="JIZ35" s="14"/>
      <c r="JJA35" s="14"/>
      <c r="JJB35" s="14"/>
      <c r="JJC35" s="14"/>
      <c r="JJD35" s="14"/>
      <c r="JJE35" s="14"/>
      <c r="JJF35" s="14"/>
      <c r="JJG35" s="14"/>
      <c r="JJH35" s="14"/>
      <c r="JJI35" s="14"/>
      <c r="JJJ35" s="14"/>
      <c r="JJK35" s="14"/>
      <c r="JJL35" s="14"/>
      <c r="JJM35" s="14"/>
      <c r="JJN35" s="14"/>
      <c r="JJO35" s="14"/>
      <c r="JJP35" s="14"/>
      <c r="JJQ35" s="14"/>
      <c r="JJR35" s="14"/>
      <c r="JJS35" s="14"/>
      <c r="JJT35" s="14"/>
      <c r="JJU35" s="14"/>
      <c r="JJV35" s="14"/>
      <c r="JJW35" s="14"/>
      <c r="JJX35" s="14"/>
      <c r="JJY35" s="14"/>
      <c r="JJZ35" s="14"/>
      <c r="JKA35" s="14"/>
      <c r="JKB35" s="14"/>
      <c r="JKC35" s="14"/>
      <c r="JKD35" s="14"/>
      <c r="JKE35" s="14"/>
      <c r="JKF35" s="14"/>
      <c r="JKG35" s="14"/>
      <c r="JKH35" s="14"/>
      <c r="JKI35" s="14"/>
      <c r="JKJ35" s="14"/>
      <c r="JKK35" s="14"/>
      <c r="JKL35" s="14"/>
      <c r="JKM35" s="14"/>
      <c r="JKN35" s="14"/>
      <c r="JKO35" s="14"/>
      <c r="JKP35" s="14"/>
      <c r="JKQ35" s="14"/>
      <c r="JKR35" s="14"/>
      <c r="JKS35" s="14"/>
      <c r="JKT35" s="14"/>
      <c r="JKU35" s="14"/>
      <c r="JKV35" s="14"/>
      <c r="JKW35" s="14"/>
      <c r="JKX35" s="14"/>
      <c r="JKY35" s="14"/>
      <c r="JKZ35" s="14"/>
      <c r="JLA35" s="14"/>
      <c r="JLB35" s="14"/>
      <c r="JLC35" s="14"/>
      <c r="JLD35" s="14"/>
      <c r="JLE35" s="14"/>
      <c r="JLF35" s="14"/>
      <c r="JLG35" s="14"/>
      <c r="JLH35" s="14"/>
      <c r="JLI35" s="14"/>
      <c r="JLJ35" s="14"/>
      <c r="JLK35" s="14"/>
      <c r="JLL35" s="14"/>
      <c r="JLM35" s="14"/>
      <c r="JLN35" s="14"/>
      <c r="JLO35" s="14"/>
      <c r="JLP35" s="14"/>
      <c r="JLQ35" s="14"/>
      <c r="JLR35" s="14"/>
      <c r="JLS35" s="14"/>
      <c r="JLT35" s="14"/>
      <c r="JLU35" s="14"/>
      <c r="JLV35" s="14"/>
      <c r="JLW35" s="14"/>
      <c r="JLX35" s="14"/>
      <c r="JLY35" s="14"/>
      <c r="JLZ35" s="14"/>
      <c r="JMA35" s="14"/>
      <c r="JMB35" s="14"/>
      <c r="JMC35" s="14"/>
      <c r="JMD35" s="14"/>
      <c r="JME35" s="14"/>
      <c r="JMF35" s="14"/>
      <c r="JMG35" s="14"/>
      <c r="JMH35" s="14"/>
      <c r="JMI35" s="14"/>
      <c r="JMJ35" s="14"/>
      <c r="JMK35" s="14"/>
      <c r="JML35" s="14"/>
      <c r="JMM35" s="14"/>
      <c r="JMN35" s="14"/>
      <c r="JMO35" s="14"/>
      <c r="JMP35" s="14"/>
      <c r="JMQ35" s="14"/>
      <c r="JMR35" s="14"/>
      <c r="JMS35" s="14"/>
      <c r="JMT35" s="14"/>
      <c r="JMU35" s="14"/>
      <c r="JMV35" s="14"/>
      <c r="JMW35" s="14"/>
      <c r="JMX35" s="14"/>
      <c r="JMY35" s="14"/>
      <c r="JMZ35" s="14"/>
      <c r="JNA35" s="14"/>
      <c r="JNB35" s="14"/>
      <c r="JNC35" s="14"/>
      <c r="JND35" s="14"/>
      <c r="JNE35" s="14"/>
      <c r="JNF35" s="14"/>
      <c r="JNG35" s="14"/>
      <c r="JNH35" s="14"/>
      <c r="JNI35" s="14"/>
      <c r="JNJ35" s="14"/>
      <c r="JNK35" s="14"/>
      <c r="JNL35" s="14"/>
      <c r="JNM35" s="14"/>
      <c r="JNN35" s="14"/>
      <c r="JNO35" s="14"/>
      <c r="JNP35" s="14"/>
      <c r="JNQ35" s="14"/>
      <c r="JNR35" s="14"/>
      <c r="JNS35" s="14"/>
      <c r="JNT35" s="14"/>
      <c r="JNU35" s="14"/>
      <c r="JNV35" s="14"/>
      <c r="JNW35" s="14"/>
      <c r="JNX35" s="14"/>
      <c r="JNY35" s="14"/>
      <c r="JNZ35" s="14"/>
      <c r="JOA35" s="14"/>
      <c r="JOB35" s="14"/>
      <c r="JOC35" s="14"/>
      <c r="JOD35" s="14"/>
      <c r="JOE35" s="14"/>
      <c r="JOF35" s="14"/>
      <c r="JOG35" s="14"/>
      <c r="JOH35" s="14"/>
      <c r="JOI35" s="14"/>
      <c r="JOJ35" s="14"/>
      <c r="JOK35" s="14"/>
      <c r="JOL35" s="14"/>
      <c r="JOM35" s="14"/>
      <c r="JON35" s="14"/>
      <c r="JOO35" s="14"/>
      <c r="JOP35" s="14"/>
      <c r="JOQ35" s="14"/>
      <c r="JOR35" s="14"/>
      <c r="JOS35" s="14"/>
      <c r="JOT35" s="14"/>
      <c r="JOU35" s="14"/>
      <c r="JOV35" s="14"/>
      <c r="JOW35" s="14"/>
      <c r="JOX35" s="14"/>
      <c r="JOY35" s="14"/>
      <c r="JOZ35" s="14"/>
      <c r="JPA35" s="14"/>
      <c r="JPB35" s="14"/>
      <c r="JPC35" s="14"/>
      <c r="JPD35" s="14"/>
      <c r="JPE35" s="14"/>
      <c r="JPF35" s="14"/>
      <c r="JPG35" s="14"/>
      <c r="JPH35" s="14"/>
      <c r="JPI35" s="14"/>
      <c r="JPJ35" s="14"/>
      <c r="JPK35" s="14"/>
      <c r="JPL35" s="14"/>
      <c r="JPM35" s="14"/>
      <c r="JPN35" s="14"/>
      <c r="JPO35" s="14"/>
      <c r="JPP35" s="14"/>
      <c r="JPQ35" s="14"/>
      <c r="JPR35" s="14"/>
      <c r="JPS35" s="14"/>
      <c r="JPT35" s="14"/>
      <c r="JPU35" s="14"/>
      <c r="JPV35" s="14"/>
      <c r="JPW35" s="14"/>
      <c r="JPX35" s="14"/>
      <c r="JPY35" s="14"/>
      <c r="JPZ35" s="14"/>
      <c r="JQA35" s="14"/>
      <c r="JQB35" s="14"/>
      <c r="JQC35" s="14"/>
      <c r="JQD35" s="14"/>
      <c r="JQE35" s="14"/>
      <c r="JQF35" s="14"/>
      <c r="JQG35" s="14"/>
      <c r="JQH35" s="14"/>
      <c r="JQI35" s="14"/>
      <c r="JQJ35" s="14"/>
      <c r="JQK35" s="14"/>
      <c r="JQL35" s="14"/>
      <c r="JQM35" s="14"/>
      <c r="JQN35" s="14"/>
      <c r="JQO35" s="14"/>
      <c r="JQP35" s="14"/>
      <c r="JQQ35" s="14"/>
      <c r="JQR35" s="14"/>
      <c r="JQS35" s="14"/>
      <c r="JQT35" s="14"/>
      <c r="JQU35" s="14"/>
      <c r="JQV35" s="14"/>
      <c r="JQW35" s="14"/>
      <c r="JQX35" s="14"/>
      <c r="JQY35" s="14"/>
      <c r="JQZ35" s="14"/>
      <c r="JRA35" s="14"/>
      <c r="JRB35" s="14"/>
      <c r="JRC35" s="14"/>
      <c r="JRD35" s="14"/>
      <c r="JRE35" s="14"/>
      <c r="JRF35" s="14"/>
      <c r="JRG35" s="14"/>
      <c r="JRH35" s="14"/>
      <c r="JRI35" s="14"/>
      <c r="JRJ35" s="14"/>
      <c r="JRK35" s="14"/>
      <c r="JRL35" s="14"/>
      <c r="JRM35" s="14"/>
      <c r="JRN35" s="14"/>
      <c r="JRO35" s="14"/>
      <c r="JRP35" s="14"/>
      <c r="JRQ35" s="14"/>
      <c r="JRR35" s="14"/>
      <c r="JRS35" s="14"/>
      <c r="JRT35" s="14"/>
      <c r="JRU35" s="14"/>
      <c r="JRV35" s="14"/>
      <c r="JRW35" s="14"/>
      <c r="JRX35" s="14"/>
      <c r="JRY35" s="14"/>
      <c r="JRZ35" s="14"/>
      <c r="JSA35" s="14"/>
      <c r="JSB35" s="14"/>
      <c r="JSC35" s="14"/>
      <c r="JSD35" s="14"/>
      <c r="JSE35" s="14"/>
      <c r="JSF35" s="14"/>
      <c r="JSG35" s="14"/>
      <c r="JSH35" s="14"/>
      <c r="JSI35" s="14"/>
      <c r="JSJ35" s="14"/>
      <c r="JSK35" s="14"/>
      <c r="JSL35" s="14"/>
      <c r="JSM35" s="14"/>
      <c r="JSN35" s="14"/>
      <c r="JSO35" s="14"/>
      <c r="JSP35" s="14"/>
      <c r="JSQ35" s="14"/>
      <c r="JSR35" s="14"/>
      <c r="JSS35" s="14"/>
      <c r="JST35" s="14"/>
      <c r="JSU35" s="14"/>
      <c r="JSV35" s="14"/>
      <c r="JSW35" s="14"/>
      <c r="JSX35" s="14"/>
      <c r="JSY35" s="14"/>
      <c r="JSZ35" s="14"/>
      <c r="JTA35" s="14"/>
      <c r="JTB35" s="14"/>
      <c r="JTC35" s="14"/>
      <c r="JTD35" s="14"/>
      <c r="JTE35" s="14"/>
      <c r="JTF35" s="14"/>
      <c r="JTG35" s="14"/>
      <c r="JTH35" s="14"/>
      <c r="JTI35" s="14"/>
      <c r="JTJ35" s="14"/>
      <c r="JTK35" s="14"/>
      <c r="JTL35" s="14"/>
      <c r="JTM35" s="14"/>
      <c r="JTN35" s="14"/>
      <c r="JTO35" s="14"/>
      <c r="JTP35" s="14"/>
      <c r="JTQ35" s="14"/>
      <c r="JTR35" s="14"/>
      <c r="JTS35" s="14"/>
      <c r="JTT35" s="14"/>
      <c r="JTU35" s="14"/>
      <c r="JTV35" s="14"/>
      <c r="JTW35" s="14"/>
      <c r="JTX35" s="14"/>
      <c r="JTY35" s="14"/>
      <c r="JTZ35" s="14"/>
      <c r="JUA35" s="14"/>
      <c r="JUB35" s="14"/>
      <c r="JUC35" s="14"/>
      <c r="JUD35" s="14"/>
      <c r="JUE35" s="14"/>
      <c r="JUF35" s="14"/>
      <c r="JUG35" s="14"/>
      <c r="JUH35" s="14"/>
      <c r="JUI35" s="14"/>
      <c r="JUJ35" s="14"/>
      <c r="JUK35" s="14"/>
      <c r="JUL35" s="14"/>
      <c r="JUM35" s="14"/>
      <c r="JUN35" s="14"/>
      <c r="JUO35" s="14"/>
      <c r="JUP35" s="14"/>
      <c r="JUQ35" s="14"/>
      <c r="JUR35" s="14"/>
      <c r="JUS35" s="14"/>
      <c r="JUT35" s="14"/>
      <c r="JUU35" s="14"/>
      <c r="JUV35" s="14"/>
      <c r="JUW35" s="14"/>
      <c r="JUX35" s="14"/>
      <c r="JUY35" s="14"/>
      <c r="JUZ35" s="14"/>
      <c r="JVA35" s="14"/>
      <c r="JVB35" s="14"/>
      <c r="JVC35" s="14"/>
      <c r="JVD35" s="14"/>
      <c r="JVE35" s="14"/>
      <c r="JVF35" s="14"/>
      <c r="JVG35" s="14"/>
      <c r="JVH35" s="14"/>
      <c r="JVI35" s="14"/>
      <c r="JVJ35" s="14"/>
      <c r="JVK35" s="14"/>
      <c r="JVL35" s="14"/>
      <c r="JVM35" s="14"/>
      <c r="JVN35" s="14"/>
      <c r="JVO35" s="14"/>
      <c r="JVP35" s="14"/>
      <c r="JVQ35" s="14"/>
      <c r="JVR35" s="14"/>
      <c r="JVS35" s="14"/>
      <c r="JVT35" s="14"/>
      <c r="JVU35" s="14"/>
      <c r="JVV35" s="14"/>
      <c r="JVW35" s="14"/>
      <c r="JVX35" s="14"/>
      <c r="JVY35" s="14"/>
      <c r="JVZ35" s="14"/>
      <c r="JWA35" s="14"/>
      <c r="JWB35" s="14"/>
      <c r="JWC35" s="14"/>
      <c r="JWD35" s="14"/>
      <c r="JWE35" s="14"/>
      <c r="JWF35" s="14"/>
      <c r="JWG35" s="14"/>
      <c r="JWH35" s="14"/>
      <c r="JWI35" s="14"/>
      <c r="JWJ35" s="14"/>
      <c r="JWK35" s="14"/>
      <c r="JWL35" s="14"/>
      <c r="JWM35" s="14"/>
      <c r="JWN35" s="14"/>
      <c r="JWO35" s="14"/>
      <c r="JWP35" s="14"/>
      <c r="JWQ35" s="14"/>
      <c r="JWR35" s="14"/>
      <c r="JWS35" s="14"/>
      <c r="JWT35" s="14"/>
      <c r="JWU35" s="14"/>
      <c r="JWV35" s="14"/>
      <c r="JWW35" s="14"/>
      <c r="JWX35" s="14"/>
      <c r="JWY35" s="14"/>
      <c r="JWZ35" s="14"/>
      <c r="JXA35" s="14"/>
      <c r="JXB35" s="14"/>
      <c r="JXC35" s="14"/>
      <c r="JXD35" s="14"/>
      <c r="JXE35" s="14"/>
      <c r="JXF35" s="14"/>
      <c r="JXG35" s="14"/>
      <c r="JXH35" s="14"/>
      <c r="JXI35" s="14"/>
      <c r="JXJ35" s="14"/>
      <c r="JXK35" s="14"/>
      <c r="JXL35" s="14"/>
      <c r="JXM35" s="14"/>
      <c r="JXN35" s="14"/>
      <c r="JXO35" s="14"/>
      <c r="JXP35" s="14"/>
      <c r="JXQ35" s="14"/>
      <c r="JXR35" s="14"/>
      <c r="JXS35" s="14"/>
      <c r="JXT35" s="14"/>
      <c r="JXU35" s="14"/>
      <c r="JXV35" s="14"/>
      <c r="JXW35" s="14"/>
      <c r="JXX35" s="14"/>
      <c r="JXY35" s="14"/>
      <c r="JXZ35" s="14"/>
      <c r="JYA35" s="14"/>
      <c r="JYB35" s="14"/>
      <c r="JYC35" s="14"/>
      <c r="JYD35" s="14"/>
      <c r="JYE35" s="14"/>
      <c r="JYF35" s="14"/>
      <c r="JYG35" s="14"/>
      <c r="JYH35" s="14"/>
      <c r="JYI35" s="14"/>
      <c r="JYJ35" s="14"/>
      <c r="JYK35" s="14"/>
      <c r="JYL35" s="14"/>
      <c r="JYM35" s="14"/>
      <c r="JYN35" s="14"/>
      <c r="JYO35" s="14"/>
      <c r="JYP35" s="14"/>
      <c r="JYQ35" s="14"/>
      <c r="JYR35" s="14"/>
      <c r="JYS35" s="14"/>
      <c r="JYT35" s="14"/>
      <c r="JYU35" s="14"/>
      <c r="JYV35" s="14"/>
      <c r="JYW35" s="14"/>
      <c r="JYX35" s="14"/>
      <c r="JYY35" s="14"/>
      <c r="JYZ35" s="14"/>
      <c r="JZA35" s="14"/>
      <c r="JZB35" s="14"/>
      <c r="JZC35" s="14"/>
      <c r="JZD35" s="14"/>
      <c r="JZE35" s="14"/>
      <c r="JZF35" s="14"/>
      <c r="JZG35" s="14"/>
      <c r="JZH35" s="14"/>
      <c r="JZI35" s="14"/>
      <c r="JZJ35" s="14"/>
      <c r="JZK35" s="14"/>
      <c r="JZL35" s="14"/>
      <c r="JZM35" s="14"/>
      <c r="JZN35" s="14"/>
      <c r="JZO35" s="14"/>
      <c r="JZP35" s="14"/>
      <c r="JZQ35" s="14"/>
      <c r="JZR35" s="14"/>
      <c r="JZS35" s="14"/>
      <c r="JZT35" s="14"/>
      <c r="JZU35" s="14"/>
      <c r="JZV35" s="14"/>
      <c r="JZW35" s="14"/>
      <c r="JZX35" s="14"/>
      <c r="JZY35" s="14"/>
      <c r="JZZ35" s="14"/>
      <c r="KAA35" s="14"/>
      <c r="KAB35" s="14"/>
      <c r="KAC35" s="14"/>
      <c r="KAD35" s="14"/>
      <c r="KAE35" s="14"/>
      <c r="KAF35" s="14"/>
      <c r="KAG35" s="14"/>
      <c r="KAH35" s="14"/>
      <c r="KAI35" s="14"/>
      <c r="KAJ35" s="14"/>
      <c r="KAK35" s="14"/>
      <c r="KAL35" s="14"/>
      <c r="KAM35" s="14"/>
      <c r="KAN35" s="14"/>
      <c r="KAO35" s="14"/>
      <c r="KAP35" s="14"/>
      <c r="KAQ35" s="14"/>
      <c r="KAR35" s="14"/>
      <c r="KAS35" s="14"/>
      <c r="KAT35" s="14"/>
      <c r="KAU35" s="14"/>
      <c r="KAV35" s="14"/>
      <c r="KAW35" s="14"/>
      <c r="KAX35" s="14"/>
      <c r="KAY35" s="14"/>
      <c r="KAZ35" s="14"/>
      <c r="KBA35" s="14"/>
      <c r="KBB35" s="14"/>
      <c r="KBC35" s="14"/>
      <c r="KBD35" s="14"/>
      <c r="KBE35" s="14"/>
      <c r="KBF35" s="14"/>
      <c r="KBG35" s="14"/>
      <c r="KBH35" s="14"/>
      <c r="KBI35" s="14"/>
      <c r="KBJ35" s="14"/>
      <c r="KBK35" s="14"/>
      <c r="KBL35" s="14"/>
      <c r="KBM35" s="14"/>
      <c r="KBN35" s="14"/>
      <c r="KBO35" s="14"/>
      <c r="KBP35" s="14"/>
      <c r="KBQ35" s="14"/>
      <c r="KBR35" s="14"/>
      <c r="KBS35" s="14"/>
      <c r="KBT35" s="14"/>
      <c r="KBU35" s="14"/>
      <c r="KBV35" s="14"/>
      <c r="KBW35" s="14"/>
      <c r="KBX35" s="14"/>
      <c r="KBY35" s="14"/>
      <c r="KBZ35" s="14"/>
      <c r="KCA35" s="14"/>
      <c r="KCB35" s="14"/>
      <c r="KCC35" s="14"/>
      <c r="KCD35" s="14"/>
      <c r="KCE35" s="14"/>
      <c r="KCF35" s="14"/>
      <c r="KCG35" s="14"/>
      <c r="KCH35" s="14"/>
      <c r="KCI35" s="14"/>
      <c r="KCJ35" s="14"/>
      <c r="KCK35" s="14"/>
      <c r="KCL35" s="14"/>
      <c r="KCM35" s="14"/>
      <c r="KCN35" s="14"/>
      <c r="KCO35" s="14"/>
      <c r="KCP35" s="14"/>
      <c r="KCQ35" s="14"/>
      <c r="KCR35" s="14"/>
      <c r="KCS35" s="14"/>
      <c r="KCT35" s="14"/>
      <c r="KCU35" s="14"/>
      <c r="KCV35" s="14"/>
      <c r="KCW35" s="14"/>
      <c r="KCX35" s="14"/>
      <c r="KCY35" s="14"/>
      <c r="KCZ35" s="14"/>
      <c r="KDA35" s="14"/>
      <c r="KDB35" s="14"/>
      <c r="KDC35" s="14"/>
      <c r="KDD35" s="14"/>
      <c r="KDE35" s="14"/>
      <c r="KDF35" s="14"/>
      <c r="KDG35" s="14"/>
      <c r="KDH35" s="14"/>
      <c r="KDI35" s="14"/>
      <c r="KDJ35" s="14"/>
      <c r="KDK35" s="14"/>
      <c r="KDL35" s="14"/>
      <c r="KDM35" s="14"/>
      <c r="KDN35" s="14"/>
      <c r="KDO35" s="14"/>
      <c r="KDP35" s="14"/>
      <c r="KDQ35" s="14"/>
      <c r="KDR35" s="14"/>
      <c r="KDS35" s="14"/>
      <c r="KDT35" s="14"/>
      <c r="KDU35" s="14"/>
      <c r="KDV35" s="14"/>
      <c r="KDW35" s="14"/>
      <c r="KDX35" s="14"/>
      <c r="KDY35" s="14"/>
      <c r="KDZ35" s="14"/>
      <c r="KEA35" s="14"/>
      <c r="KEB35" s="14"/>
      <c r="KEC35" s="14"/>
      <c r="KED35" s="14"/>
      <c r="KEE35" s="14"/>
      <c r="KEF35" s="14"/>
      <c r="KEG35" s="14"/>
      <c r="KEH35" s="14"/>
      <c r="KEI35" s="14"/>
      <c r="KEJ35" s="14"/>
      <c r="KEK35" s="14"/>
      <c r="KEL35" s="14"/>
      <c r="KEM35" s="14"/>
      <c r="KEN35" s="14"/>
      <c r="KEO35" s="14"/>
      <c r="KEP35" s="14"/>
      <c r="KEQ35" s="14"/>
      <c r="KER35" s="14"/>
      <c r="KES35" s="14"/>
      <c r="KET35" s="14"/>
      <c r="KEU35" s="14"/>
      <c r="KEV35" s="14"/>
      <c r="KEW35" s="14"/>
      <c r="KEX35" s="14"/>
      <c r="KEY35" s="14"/>
      <c r="KEZ35" s="14"/>
      <c r="KFA35" s="14"/>
      <c r="KFB35" s="14"/>
      <c r="KFC35" s="14"/>
      <c r="KFD35" s="14"/>
      <c r="KFE35" s="14"/>
      <c r="KFF35" s="14"/>
      <c r="KFG35" s="14"/>
      <c r="KFH35" s="14"/>
      <c r="KFI35" s="14"/>
      <c r="KFJ35" s="14"/>
      <c r="KFK35" s="14"/>
      <c r="KFL35" s="14"/>
      <c r="KFM35" s="14"/>
      <c r="KFN35" s="14"/>
      <c r="KFO35" s="14"/>
      <c r="KFP35" s="14"/>
      <c r="KFQ35" s="14"/>
      <c r="KFR35" s="14"/>
      <c r="KFS35" s="14"/>
      <c r="KFT35" s="14"/>
      <c r="KFU35" s="14"/>
      <c r="KFV35" s="14"/>
      <c r="KFW35" s="14"/>
      <c r="KFX35" s="14"/>
      <c r="KFY35" s="14"/>
      <c r="KFZ35" s="14"/>
      <c r="KGA35" s="14"/>
      <c r="KGB35" s="14"/>
      <c r="KGC35" s="14"/>
      <c r="KGD35" s="14"/>
      <c r="KGE35" s="14"/>
      <c r="KGF35" s="14"/>
      <c r="KGG35" s="14"/>
      <c r="KGH35" s="14"/>
      <c r="KGI35" s="14"/>
      <c r="KGJ35" s="14"/>
      <c r="KGK35" s="14"/>
      <c r="KGL35" s="14"/>
      <c r="KGM35" s="14"/>
      <c r="KGN35" s="14"/>
      <c r="KGO35" s="14"/>
      <c r="KGP35" s="14"/>
      <c r="KGQ35" s="14"/>
      <c r="KGR35" s="14"/>
      <c r="KGS35" s="14"/>
      <c r="KGT35" s="14"/>
      <c r="KGU35" s="14"/>
      <c r="KGV35" s="14"/>
      <c r="KGW35" s="14"/>
      <c r="KGX35" s="14"/>
      <c r="KGY35" s="14"/>
      <c r="KGZ35" s="14"/>
      <c r="KHA35" s="14"/>
      <c r="KHB35" s="14"/>
      <c r="KHC35" s="14"/>
      <c r="KHD35" s="14"/>
      <c r="KHE35" s="14"/>
      <c r="KHF35" s="14"/>
      <c r="KHG35" s="14"/>
      <c r="KHH35" s="14"/>
      <c r="KHI35" s="14"/>
      <c r="KHJ35" s="14"/>
      <c r="KHK35" s="14"/>
      <c r="KHL35" s="14"/>
      <c r="KHM35" s="14"/>
      <c r="KHN35" s="14"/>
      <c r="KHO35" s="14"/>
      <c r="KHP35" s="14"/>
      <c r="KHQ35" s="14"/>
      <c r="KHR35" s="14"/>
      <c r="KHS35" s="14"/>
      <c r="KHT35" s="14"/>
      <c r="KHU35" s="14"/>
      <c r="KHV35" s="14"/>
      <c r="KHW35" s="14"/>
      <c r="KHX35" s="14"/>
      <c r="KHY35" s="14"/>
      <c r="KHZ35" s="14"/>
      <c r="KIA35" s="14"/>
      <c r="KIB35" s="14"/>
      <c r="KIC35" s="14"/>
      <c r="KID35" s="14"/>
      <c r="KIE35" s="14"/>
      <c r="KIF35" s="14"/>
      <c r="KIG35" s="14"/>
      <c r="KIH35" s="14"/>
      <c r="KII35" s="14"/>
      <c r="KIJ35" s="14"/>
      <c r="KIK35" s="14"/>
      <c r="KIL35" s="14"/>
      <c r="KIM35" s="14"/>
      <c r="KIN35" s="14"/>
      <c r="KIO35" s="14"/>
      <c r="KIP35" s="14"/>
      <c r="KIQ35" s="14"/>
      <c r="KIR35" s="14"/>
      <c r="KIS35" s="14"/>
      <c r="KIT35" s="14"/>
      <c r="KIU35" s="14"/>
      <c r="KIV35" s="14"/>
      <c r="KIW35" s="14"/>
      <c r="KIX35" s="14"/>
      <c r="KIY35" s="14"/>
      <c r="KIZ35" s="14"/>
      <c r="KJA35" s="14"/>
      <c r="KJB35" s="14"/>
      <c r="KJC35" s="14"/>
      <c r="KJD35" s="14"/>
      <c r="KJE35" s="14"/>
      <c r="KJF35" s="14"/>
      <c r="KJG35" s="14"/>
      <c r="KJH35" s="14"/>
      <c r="KJI35" s="14"/>
      <c r="KJJ35" s="14"/>
      <c r="KJK35" s="14"/>
      <c r="KJL35" s="14"/>
      <c r="KJM35" s="14"/>
      <c r="KJN35" s="14"/>
      <c r="KJO35" s="14"/>
      <c r="KJP35" s="14"/>
      <c r="KJQ35" s="14"/>
      <c r="KJR35" s="14"/>
      <c r="KJS35" s="14"/>
      <c r="KJT35" s="14"/>
      <c r="KJU35" s="14"/>
      <c r="KJV35" s="14"/>
      <c r="KJW35" s="14"/>
      <c r="KJX35" s="14"/>
      <c r="KJY35" s="14"/>
      <c r="KJZ35" s="14"/>
      <c r="KKA35" s="14"/>
      <c r="KKB35" s="14"/>
      <c r="KKC35" s="14"/>
      <c r="KKD35" s="14"/>
      <c r="KKE35" s="14"/>
      <c r="KKF35" s="14"/>
      <c r="KKG35" s="14"/>
      <c r="KKH35" s="14"/>
      <c r="KKI35" s="14"/>
      <c r="KKJ35" s="14"/>
      <c r="KKK35" s="14"/>
      <c r="KKL35" s="14"/>
      <c r="KKM35" s="14"/>
      <c r="KKN35" s="14"/>
      <c r="KKO35" s="14"/>
      <c r="KKP35" s="14"/>
      <c r="KKQ35" s="14"/>
      <c r="KKR35" s="14"/>
      <c r="KKS35" s="14"/>
      <c r="KKT35" s="14"/>
      <c r="KKU35" s="14"/>
      <c r="KKV35" s="14"/>
      <c r="KKW35" s="14"/>
      <c r="KKX35" s="14"/>
      <c r="KKY35" s="14"/>
      <c r="KKZ35" s="14"/>
      <c r="KLA35" s="14"/>
      <c r="KLB35" s="14"/>
      <c r="KLC35" s="14"/>
      <c r="KLD35" s="14"/>
      <c r="KLE35" s="14"/>
      <c r="KLF35" s="14"/>
      <c r="KLG35" s="14"/>
      <c r="KLH35" s="14"/>
      <c r="KLI35" s="14"/>
      <c r="KLJ35" s="14"/>
      <c r="KLK35" s="14"/>
      <c r="KLL35" s="14"/>
      <c r="KLM35" s="14"/>
      <c r="KLN35" s="14"/>
      <c r="KLO35" s="14"/>
      <c r="KLP35" s="14"/>
      <c r="KLQ35" s="14"/>
      <c r="KLR35" s="14"/>
      <c r="KLS35" s="14"/>
      <c r="KLT35" s="14"/>
      <c r="KLU35" s="14"/>
      <c r="KLV35" s="14"/>
      <c r="KLW35" s="14"/>
      <c r="KLX35" s="14"/>
      <c r="KLY35" s="14"/>
      <c r="KLZ35" s="14"/>
      <c r="KMA35" s="14"/>
      <c r="KMB35" s="14"/>
      <c r="KMC35" s="14"/>
      <c r="KMD35" s="14"/>
      <c r="KME35" s="14"/>
      <c r="KMF35" s="14"/>
      <c r="KMG35" s="14"/>
      <c r="KMH35" s="14"/>
      <c r="KMI35" s="14"/>
      <c r="KMJ35" s="14"/>
      <c r="KMK35" s="14"/>
      <c r="KML35" s="14"/>
      <c r="KMM35" s="14"/>
      <c r="KMN35" s="14"/>
      <c r="KMO35" s="14"/>
      <c r="KMP35" s="14"/>
      <c r="KMQ35" s="14"/>
      <c r="KMR35" s="14"/>
      <c r="KMS35" s="14"/>
      <c r="KMT35" s="14"/>
      <c r="KMU35" s="14"/>
      <c r="KMV35" s="14"/>
      <c r="KMW35" s="14"/>
      <c r="KMX35" s="14"/>
      <c r="KMY35" s="14"/>
      <c r="KMZ35" s="14"/>
      <c r="KNA35" s="14"/>
      <c r="KNB35" s="14"/>
      <c r="KNC35" s="14"/>
      <c r="KND35" s="14"/>
      <c r="KNE35" s="14"/>
      <c r="KNF35" s="14"/>
      <c r="KNG35" s="14"/>
      <c r="KNH35" s="14"/>
      <c r="KNI35" s="14"/>
      <c r="KNJ35" s="14"/>
      <c r="KNK35" s="14"/>
      <c r="KNL35" s="14"/>
      <c r="KNM35" s="14"/>
      <c r="KNN35" s="14"/>
      <c r="KNO35" s="14"/>
      <c r="KNP35" s="14"/>
      <c r="KNQ35" s="14"/>
      <c r="KNR35" s="14"/>
      <c r="KNS35" s="14"/>
      <c r="KNT35" s="14"/>
      <c r="KNU35" s="14"/>
      <c r="KNV35" s="14"/>
      <c r="KNW35" s="14"/>
      <c r="KNX35" s="14"/>
      <c r="KNY35" s="14"/>
      <c r="KNZ35" s="14"/>
      <c r="KOA35" s="14"/>
      <c r="KOB35" s="14"/>
      <c r="KOC35" s="14"/>
      <c r="KOD35" s="14"/>
      <c r="KOE35" s="14"/>
      <c r="KOF35" s="14"/>
      <c r="KOG35" s="14"/>
      <c r="KOH35" s="14"/>
      <c r="KOI35" s="14"/>
      <c r="KOJ35" s="14"/>
      <c r="KOK35" s="14"/>
      <c r="KOL35" s="14"/>
      <c r="KOM35" s="14"/>
      <c r="KON35" s="14"/>
      <c r="KOO35" s="14"/>
      <c r="KOP35" s="14"/>
      <c r="KOQ35" s="14"/>
      <c r="KOR35" s="14"/>
      <c r="KOS35" s="14"/>
      <c r="KOT35" s="14"/>
      <c r="KOU35" s="14"/>
      <c r="KOV35" s="14"/>
      <c r="KOW35" s="14"/>
      <c r="KOX35" s="14"/>
      <c r="KOY35" s="14"/>
      <c r="KOZ35" s="14"/>
      <c r="KPA35" s="14"/>
      <c r="KPB35" s="14"/>
      <c r="KPC35" s="14"/>
      <c r="KPD35" s="14"/>
      <c r="KPE35" s="14"/>
      <c r="KPF35" s="14"/>
      <c r="KPG35" s="14"/>
      <c r="KPH35" s="14"/>
      <c r="KPI35" s="14"/>
      <c r="KPJ35" s="14"/>
      <c r="KPK35" s="14"/>
      <c r="KPL35" s="14"/>
      <c r="KPM35" s="14"/>
      <c r="KPN35" s="14"/>
      <c r="KPO35" s="14"/>
      <c r="KPP35" s="14"/>
      <c r="KPQ35" s="14"/>
      <c r="KPR35" s="14"/>
      <c r="KPS35" s="14"/>
      <c r="KPT35" s="14"/>
      <c r="KPU35" s="14"/>
      <c r="KPV35" s="14"/>
      <c r="KPW35" s="14"/>
      <c r="KPX35" s="14"/>
      <c r="KPY35" s="14"/>
      <c r="KPZ35" s="14"/>
      <c r="KQA35" s="14"/>
      <c r="KQB35" s="14"/>
      <c r="KQC35" s="14"/>
      <c r="KQD35" s="14"/>
      <c r="KQE35" s="14"/>
      <c r="KQF35" s="14"/>
      <c r="KQG35" s="14"/>
      <c r="KQH35" s="14"/>
      <c r="KQI35" s="14"/>
      <c r="KQJ35" s="14"/>
      <c r="KQK35" s="14"/>
      <c r="KQL35" s="14"/>
      <c r="KQM35" s="14"/>
      <c r="KQN35" s="14"/>
      <c r="KQO35" s="14"/>
      <c r="KQP35" s="14"/>
      <c r="KQQ35" s="14"/>
      <c r="KQR35" s="14"/>
      <c r="KQS35" s="14"/>
      <c r="KQT35" s="14"/>
      <c r="KQU35" s="14"/>
      <c r="KQV35" s="14"/>
      <c r="KQW35" s="14"/>
      <c r="KQX35" s="14"/>
      <c r="KQY35" s="14"/>
      <c r="KQZ35" s="14"/>
      <c r="KRA35" s="14"/>
      <c r="KRB35" s="14"/>
      <c r="KRC35" s="14"/>
      <c r="KRD35" s="14"/>
      <c r="KRE35" s="14"/>
      <c r="KRF35" s="14"/>
      <c r="KRG35" s="14"/>
      <c r="KRH35" s="14"/>
      <c r="KRI35" s="14"/>
      <c r="KRJ35" s="14"/>
      <c r="KRK35" s="14"/>
      <c r="KRL35" s="14"/>
      <c r="KRM35" s="14"/>
      <c r="KRN35" s="14"/>
      <c r="KRO35" s="14"/>
      <c r="KRP35" s="14"/>
      <c r="KRQ35" s="14"/>
      <c r="KRR35" s="14"/>
      <c r="KRS35" s="14"/>
      <c r="KRT35" s="14"/>
      <c r="KRU35" s="14"/>
      <c r="KRV35" s="14"/>
      <c r="KRW35" s="14"/>
      <c r="KRX35" s="14"/>
      <c r="KRY35" s="14"/>
      <c r="KRZ35" s="14"/>
      <c r="KSA35" s="14"/>
      <c r="KSB35" s="14"/>
      <c r="KSC35" s="14"/>
      <c r="KSD35" s="14"/>
      <c r="KSE35" s="14"/>
      <c r="KSF35" s="14"/>
      <c r="KSG35" s="14"/>
      <c r="KSH35" s="14"/>
      <c r="KSI35" s="14"/>
      <c r="KSJ35" s="14"/>
      <c r="KSK35" s="14"/>
      <c r="KSL35" s="14"/>
      <c r="KSM35" s="14"/>
      <c r="KSN35" s="14"/>
      <c r="KSO35" s="14"/>
      <c r="KSP35" s="14"/>
      <c r="KSQ35" s="14"/>
      <c r="KSR35" s="14"/>
      <c r="KSS35" s="14"/>
      <c r="KST35" s="14"/>
      <c r="KSU35" s="14"/>
      <c r="KSV35" s="14"/>
      <c r="KSW35" s="14"/>
      <c r="KSX35" s="14"/>
      <c r="KSY35" s="14"/>
      <c r="KSZ35" s="14"/>
      <c r="KTA35" s="14"/>
      <c r="KTB35" s="14"/>
      <c r="KTC35" s="14"/>
      <c r="KTD35" s="14"/>
      <c r="KTE35" s="14"/>
      <c r="KTF35" s="14"/>
      <c r="KTG35" s="14"/>
      <c r="KTH35" s="14"/>
      <c r="KTI35" s="14"/>
      <c r="KTJ35" s="14"/>
      <c r="KTK35" s="14"/>
      <c r="KTL35" s="14"/>
      <c r="KTM35" s="14"/>
      <c r="KTN35" s="14"/>
      <c r="KTO35" s="14"/>
      <c r="KTP35" s="14"/>
      <c r="KTQ35" s="14"/>
      <c r="KTR35" s="14"/>
      <c r="KTS35" s="14"/>
      <c r="KTT35" s="14"/>
      <c r="KTU35" s="14"/>
      <c r="KTV35" s="14"/>
      <c r="KTW35" s="14"/>
      <c r="KTX35" s="14"/>
      <c r="KTY35" s="14"/>
      <c r="KTZ35" s="14"/>
      <c r="KUA35" s="14"/>
      <c r="KUB35" s="14"/>
      <c r="KUC35" s="14"/>
      <c r="KUD35" s="14"/>
      <c r="KUE35" s="14"/>
      <c r="KUF35" s="14"/>
      <c r="KUG35" s="14"/>
      <c r="KUH35" s="14"/>
      <c r="KUI35" s="14"/>
      <c r="KUJ35" s="14"/>
      <c r="KUK35" s="14"/>
      <c r="KUL35" s="14"/>
      <c r="KUM35" s="14"/>
      <c r="KUN35" s="14"/>
      <c r="KUO35" s="14"/>
      <c r="KUP35" s="14"/>
      <c r="KUQ35" s="14"/>
      <c r="KUR35" s="14"/>
      <c r="KUS35" s="14"/>
      <c r="KUT35" s="14"/>
      <c r="KUU35" s="14"/>
      <c r="KUV35" s="14"/>
      <c r="KUW35" s="14"/>
      <c r="KUX35" s="14"/>
      <c r="KUY35" s="14"/>
      <c r="KUZ35" s="14"/>
      <c r="KVA35" s="14"/>
      <c r="KVB35" s="14"/>
      <c r="KVC35" s="14"/>
      <c r="KVD35" s="14"/>
      <c r="KVE35" s="14"/>
      <c r="KVF35" s="14"/>
      <c r="KVG35" s="14"/>
      <c r="KVH35" s="14"/>
      <c r="KVI35" s="14"/>
      <c r="KVJ35" s="14"/>
      <c r="KVK35" s="14"/>
      <c r="KVL35" s="14"/>
      <c r="KVM35" s="14"/>
      <c r="KVN35" s="14"/>
      <c r="KVO35" s="14"/>
      <c r="KVP35" s="14"/>
      <c r="KVQ35" s="14"/>
      <c r="KVR35" s="14"/>
      <c r="KVS35" s="14"/>
      <c r="KVT35" s="14"/>
      <c r="KVU35" s="14"/>
      <c r="KVV35" s="14"/>
      <c r="KVW35" s="14"/>
      <c r="KVX35" s="14"/>
      <c r="KVY35" s="14"/>
      <c r="KVZ35" s="14"/>
      <c r="KWA35" s="14"/>
      <c r="KWB35" s="14"/>
      <c r="KWC35" s="14"/>
      <c r="KWD35" s="14"/>
      <c r="KWE35" s="14"/>
      <c r="KWF35" s="14"/>
      <c r="KWG35" s="14"/>
      <c r="KWH35" s="14"/>
      <c r="KWI35" s="14"/>
      <c r="KWJ35" s="14"/>
      <c r="KWK35" s="14"/>
      <c r="KWL35" s="14"/>
      <c r="KWM35" s="14"/>
      <c r="KWN35" s="14"/>
      <c r="KWO35" s="14"/>
      <c r="KWP35" s="14"/>
      <c r="KWQ35" s="14"/>
      <c r="KWR35" s="14"/>
      <c r="KWS35" s="14"/>
      <c r="KWT35" s="14"/>
      <c r="KWU35" s="14"/>
      <c r="KWV35" s="14"/>
      <c r="KWW35" s="14"/>
      <c r="KWX35" s="14"/>
      <c r="KWY35" s="14"/>
      <c r="KWZ35" s="14"/>
      <c r="KXA35" s="14"/>
      <c r="KXB35" s="14"/>
      <c r="KXC35" s="14"/>
      <c r="KXD35" s="14"/>
      <c r="KXE35" s="14"/>
      <c r="KXF35" s="14"/>
      <c r="KXG35" s="14"/>
      <c r="KXH35" s="14"/>
      <c r="KXI35" s="14"/>
      <c r="KXJ35" s="14"/>
      <c r="KXK35" s="14"/>
      <c r="KXL35" s="14"/>
      <c r="KXM35" s="14"/>
      <c r="KXN35" s="14"/>
      <c r="KXO35" s="14"/>
      <c r="KXP35" s="14"/>
      <c r="KXQ35" s="14"/>
      <c r="KXR35" s="14"/>
      <c r="KXS35" s="14"/>
      <c r="KXT35" s="14"/>
      <c r="KXU35" s="14"/>
      <c r="KXV35" s="14"/>
      <c r="KXW35" s="14"/>
      <c r="KXX35" s="14"/>
      <c r="KXY35" s="14"/>
      <c r="KXZ35" s="14"/>
      <c r="KYA35" s="14"/>
      <c r="KYB35" s="14"/>
      <c r="KYC35" s="14"/>
      <c r="KYD35" s="14"/>
      <c r="KYE35" s="14"/>
      <c r="KYF35" s="14"/>
      <c r="KYG35" s="14"/>
      <c r="KYH35" s="14"/>
      <c r="KYI35" s="14"/>
      <c r="KYJ35" s="14"/>
      <c r="KYK35" s="14"/>
      <c r="KYL35" s="14"/>
      <c r="KYM35" s="14"/>
      <c r="KYN35" s="14"/>
      <c r="KYO35" s="14"/>
      <c r="KYP35" s="14"/>
      <c r="KYQ35" s="14"/>
      <c r="KYR35" s="14"/>
      <c r="KYS35" s="14"/>
      <c r="KYT35" s="14"/>
      <c r="KYU35" s="14"/>
      <c r="KYV35" s="14"/>
      <c r="KYW35" s="14"/>
      <c r="KYX35" s="14"/>
      <c r="KYY35" s="14"/>
      <c r="KYZ35" s="14"/>
      <c r="KZA35" s="14"/>
      <c r="KZB35" s="14"/>
      <c r="KZC35" s="14"/>
      <c r="KZD35" s="14"/>
      <c r="KZE35" s="14"/>
      <c r="KZF35" s="14"/>
      <c r="KZG35" s="14"/>
      <c r="KZH35" s="14"/>
      <c r="KZI35" s="14"/>
      <c r="KZJ35" s="14"/>
      <c r="KZK35" s="14"/>
      <c r="KZL35" s="14"/>
      <c r="KZM35" s="14"/>
      <c r="KZN35" s="14"/>
      <c r="KZO35" s="14"/>
      <c r="KZP35" s="14"/>
      <c r="KZQ35" s="14"/>
      <c r="KZR35" s="14"/>
      <c r="KZS35" s="14"/>
      <c r="KZT35" s="14"/>
      <c r="KZU35" s="14"/>
      <c r="KZV35" s="14"/>
      <c r="KZW35" s="14"/>
      <c r="KZX35" s="14"/>
      <c r="KZY35" s="14"/>
      <c r="KZZ35" s="14"/>
      <c r="LAA35" s="14"/>
      <c r="LAB35" s="14"/>
      <c r="LAC35" s="14"/>
      <c r="LAD35" s="14"/>
      <c r="LAE35" s="14"/>
      <c r="LAF35" s="14"/>
      <c r="LAG35" s="14"/>
      <c r="LAH35" s="14"/>
      <c r="LAI35" s="14"/>
      <c r="LAJ35" s="14"/>
      <c r="LAK35" s="14"/>
      <c r="LAL35" s="14"/>
      <c r="LAM35" s="14"/>
      <c r="LAN35" s="14"/>
      <c r="LAO35" s="14"/>
      <c r="LAP35" s="14"/>
      <c r="LAQ35" s="14"/>
      <c r="LAR35" s="14"/>
      <c r="LAS35" s="14"/>
      <c r="LAT35" s="14"/>
      <c r="LAU35" s="14"/>
      <c r="LAV35" s="14"/>
      <c r="LAW35" s="14"/>
      <c r="LAX35" s="14"/>
      <c r="LAY35" s="14"/>
      <c r="LAZ35" s="14"/>
      <c r="LBA35" s="14"/>
      <c r="LBB35" s="14"/>
      <c r="LBC35" s="14"/>
      <c r="LBD35" s="14"/>
      <c r="LBE35" s="14"/>
      <c r="LBF35" s="14"/>
      <c r="LBG35" s="14"/>
      <c r="LBH35" s="14"/>
      <c r="LBI35" s="14"/>
      <c r="LBJ35" s="14"/>
      <c r="LBK35" s="14"/>
      <c r="LBL35" s="14"/>
      <c r="LBM35" s="14"/>
      <c r="LBN35" s="14"/>
      <c r="LBO35" s="14"/>
      <c r="LBP35" s="14"/>
      <c r="LBQ35" s="14"/>
      <c r="LBR35" s="14"/>
      <c r="LBS35" s="14"/>
      <c r="LBT35" s="14"/>
      <c r="LBU35" s="14"/>
      <c r="LBV35" s="14"/>
      <c r="LBW35" s="14"/>
      <c r="LBX35" s="14"/>
      <c r="LBY35" s="14"/>
      <c r="LBZ35" s="14"/>
      <c r="LCA35" s="14"/>
      <c r="LCB35" s="14"/>
      <c r="LCC35" s="14"/>
      <c r="LCD35" s="14"/>
      <c r="LCE35" s="14"/>
      <c r="LCF35" s="14"/>
      <c r="LCG35" s="14"/>
      <c r="LCH35" s="14"/>
      <c r="LCI35" s="14"/>
      <c r="LCJ35" s="14"/>
      <c r="LCK35" s="14"/>
      <c r="LCL35" s="14"/>
      <c r="LCM35" s="14"/>
      <c r="LCN35" s="14"/>
      <c r="LCO35" s="14"/>
      <c r="LCP35" s="14"/>
      <c r="LCQ35" s="14"/>
      <c r="LCR35" s="14"/>
      <c r="LCS35" s="14"/>
      <c r="LCT35" s="14"/>
      <c r="LCU35" s="14"/>
      <c r="LCV35" s="14"/>
      <c r="LCW35" s="14"/>
      <c r="LCX35" s="14"/>
      <c r="LCY35" s="14"/>
      <c r="LCZ35" s="14"/>
      <c r="LDA35" s="14"/>
      <c r="LDB35" s="14"/>
      <c r="LDC35" s="14"/>
      <c r="LDD35" s="14"/>
      <c r="LDE35" s="14"/>
      <c r="LDF35" s="14"/>
      <c r="LDG35" s="14"/>
      <c r="LDH35" s="14"/>
      <c r="LDI35" s="14"/>
      <c r="LDJ35" s="14"/>
      <c r="LDK35" s="14"/>
      <c r="LDL35" s="14"/>
      <c r="LDM35" s="14"/>
      <c r="LDN35" s="14"/>
      <c r="LDO35" s="14"/>
      <c r="LDP35" s="14"/>
      <c r="LDQ35" s="14"/>
      <c r="LDR35" s="14"/>
      <c r="LDS35" s="14"/>
      <c r="LDT35" s="14"/>
      <c r="LDU35" s="14"/>
      <c r="LDV35" s="14"/>
      <c r="LDW35" s="14"/>
      <c r="LDX35" s="14"/>
      <c r="LDY35" s="14"/>
      <c r="LDZ35" s="14"/>
      <c r="LEA35" s="14"/>
      <c r="LEB35" s="14"/>
      <c r="LEC35" s="14"/>
      <c r="LED35" s="14"/>
      <c r="LEE35" s="14"/>
      <c r="LEF35" s="14"/>
      <c r="LEG35" s="14"/>
      <c r="LEH35" s="14"/>
      <c r="LEI35" s="14"/>
      <c r="LEJ35" s="14"/>
      <c r="LEK35" s="14"/>
      <c r="LEL35" s="14"/>
      <c r="LEM35" s="14"/>
      <c r="LEN35" s="14"/>
      <c r="LEO35" s="14"/>
      <c r="LEP35" s="14"/>
      <c r="LEQ35" s="14"/>
      <c r="LER35" s="14"/>
      <c r="LES35" s="14"/>
      <c r="LET35" s="14"/>
      <c r="LEU35" s="14"/>
      <c r="LEV35" s="14"/>
      <c r="LEW35" s="14"/>
      <c r="LEX35" s="14"/>
      <c r="LEY35" s="14"/>
      <c r="LEZ35" s="14"/>
      <c r="LFA35" s="14"/>
      <c r="LFB35" s="14"/>
      <c r="LFC35" s="14"/>
      <c r="LFD35" s="14"/>
      <c r="LFE35" s="14"/>
      <c r="LFF35" s="14"/>
      <c r="LFG35" s="14"/>
      <c r="LFH35" s="14"/>
      <c r="LFI35" s="14"/>
      <c r="LFJ35" s="14"/>
      <c r="LFK35" s="14"/>
      <c r="LFL35" s="14"/>
      <c r="LFM35" s="14"/>
      <c r="LFN35" s="14"/>
      <c r="LFO35" s="14"/>
      <c r="LFP35" s="14"/>
      <c r="LFQ35" s="14"/>
      <c r="LFR35" s="14"/>
      <c r="LFS35" s="14"/>
      <c r="LFT35" s="14"/>
      <c r="LFU35" s="14"/>
      <c r="LFV35" s="14"/>
      <c r="LFW35" s="14"/>
      <c r="LFX35" s="14"/>
      <c r="LFY35" s="14"/>
      <c r="LFZ35" s="14"/>
      <c r="LGA35" s="14"/>
      <c r="LGB35" s="14"/>
      <c r="LGC35" s="14"/>
      <c r="LGD35" s="14"/>
      <c r="LGE35" s="14"/>
      <c r="LGF35" s="14"/>
      <c r="LGG35" s="14"/>
      <c r="LGH35" s="14"/>
      <c r="LGI35" s="14"/>
      <c r="LGJ35" s="14"/>
      <c r="LGK35" s="14"/>
      <c r="LGL35" s="14"/>
      <c r="LGM35" s="14"/>
      <c r="LGN35" s="14"/>
      <c r="LGO35" s="14"/>
      <c r="LGP35" s="14"/>
      <c r="LGQ35" s="14"/>
      <c r="LGR35" s="14"/>
      <c r="LGS35" s="14"/>
      <c r="LGT35" s="14"/>
      <c r="LGU35" s="14"/>
      <c r="LGV35" s="14"/>
      <c r="LGW35" s="14"/>
      <c r="LGX35" s="14"/>
      <c r="LGY35" s="14"/>
      <c r="LGZ35" s="14"/>
      <c r="LHA35" s="14"/>
      <c r="LHB35" s="14"/>
      <c r="LHC35" s="14"/>
      <c r="LHD35" s="14"/>
      <c r="LHE35" s="14"/>
      <c r="LHF35" s="14"/>
      <c r="LHG35" s="14"/>
      <c r="LHH35" s="14"/>
      <c r="LHI35" s="14"/>
      <c r="LHJ35" s="14"/>
      <c r="LHK35" s="14"/>
      <c r="LHL35" s="14"/>
      <c r="LHM35" s="14"/>
      <c r="LHN35" s="14"/>
      <c r="LHO35" s="14"/>
      <c r="LHP35" s="14"/>
      <c r="LHQ35" s="14"/>
      <c r="LHR35" s="14"/>
      <c r="LHS35" s="14"/>
      <c r="LHT35" s="14"/>
      <c r="LHU35" s="14"/>
      <c r="LHV35" s="14"/>
      <c r="LHW35" s="14"/>
      <c r="LHX35" s="14"/>
      <c r="LHY35" s="14"/>
      <c r="LHZ35" s="14"/>
      <c r="LIA35" s="14"/>
      <c r="LIB35" s="14"/>
      <c r="LIC35" s="14"/>
      <c r="LID35" s="14"/>
      <c r="LIE35" s="14"/>
      <c r="LIF35" s="14"/>
      <c r="LIG35" s="14"/>
      <c r="LIH35" s="14"/>
      <c r="LII35" s="14"/>
      <c r="LIJ35" s="14"/>
      <c r="LIK35" s="14"/>
      <c r="LIL35" s="14"/>
      <c r="LIM35" s="14"/>
      <c r="LIN35" s="14"/>
      <c r="LIO35" s="14"/>
      <c r="LIP35" s="14"/>
      <c r="LIQ35" s="14"/>
      <c r="LIR35" s="14"/>
      <c r="LIS35" s="14"/>
      <c r="LIT35" s="14"/>
      <c r="LIU35" s="14"/>
      <c r="LIV35" s="14"/>
      <c r="LIW35" s="14"/>
      <c r="LIX35" s="14"/>
      <c r="LIY35" s="14"/>
      <c r="LIZ35" s="14"/>
      <c r="LJA35" s="14"/>
      <c r="LJB35" s="14"/>
      <c r="LJC35" s="14"/>
      <c r="LJD35" s="14"/>
      <c r="LJE35" s="14"/>
      <c r="LJF35" s="14"/>
      <c r="LJG35" s="14"/>
      <c r="LJH35" s="14"/>
      <c r="LJI35" s="14"/>
      <c r="LJJ35" s="14"/>
      <c r="LJK35" s="14"/>
      <c r="LJL35" s="14"/>
      <c r="LJM35" s="14"/>
      <c r="LJN35" s="14"/>
      <c r="LJO35" s="14"/>
      <c r="LJP35" s="14"/>
      <c r="LJQ35" s="14"/>
      <c r="LJR35" s="14"/>
      <c r="LJS35" s="14"/>
      <c r="LJT35" s="14"/>
      <c r="LJU35" s="14"/>
      <c r="LJV35" s="14"/>
      <c r="LJW35" s="14"/>
      <c r="LJX35" s="14"/>
      <c r="LJY35" s="14"/>
      <c r="LJZ35" s="14"/>
      <c r="LKA35" s="14"/>
      <c r="LKB35" s="14"/>
      <c r="LKC35" s="14"/>
      <c r="LKD35" s="14"/>
      <c r="LKE35" s="14"/>
      <c r="LKF35" s="14"/>
      <c r="LKG35" s="14"/>
      <c r="LKH35" s="14"/>
      <c r="LKI35" s="14"/>
      <c r="LKJ35" s="14"/>
      <c r="LKK35" s="14"/>
      <c r="LKL35" s="14"/>
      <c r="LKM35" s="14"/>
      <c r="LKN35" s="14"/>
      <c r="LKO35" s="14"/>
      <c r="LKP35" s="14"/>
      <c r="LKQ35" s="14"/>
      <c r="LKR35" s="14"/>
      <c r="LKS35" s="14"/>
      <c r="LKT35" s="14"/>
      <c r="LKU35" s="14"/>
      <c r="LKV35" s="14"/>
      <c r="LKW35" s="14"/>
      <c r="LKX35" s="14"/>
      <c r="LKY35" s="14"/>
      <c r="LKZ35" s="14"/>
      <c r="LLA35" s="14"/>
      <c r="LLB35" s="14"/>
      <c r="LLC35" s="14"/>
      <c r="LLD35" s="14"/>
      <c r="LLE35" s="14"/>
      <c r="LLF35" s="14"/>
      <c r="LLG35" s="14"/>
      <c r="LLH35" s="14"/>
      <c r="LLI35" s="14"/>
      <c r="LLJ35" s="14"/>
      <c r="LLK35" s="14"/>
      <c r="LLL35" s="14"/>
      <c r="LLM35" s="14"/>
      <c r="LLN35" s="14"/>
      <c r="LLO35" s="14"/>
      <c r="LLP35" s="14"/>
      <c r="LLQ35" s="14"/>
      <c r="LLR35" s="14"/>
      <c r="LLS35" s="14"/>
      <c r="LLT35" s="14"/>
      <c r="LLU35" s="14"/>
      <c r="LLV35" s="14"/>
      <c r="LLW35" s="14"/>
      <c r="LLX35" s="14"/>
      <c r="LLY35" s="14"/>
      <c r="LLZ35" s="14"/>
      <c r="LMA35" s="14"/>
      <c r="LMB35" s="14"/>
      <c r="LMC35" s="14"/>
      <c r="LMD35" s="14"/>
      <c r="LME35" s="14"/>
      <c r="LMF35" s="14"/>
      <c r="LMG35" s="14"/>
      <c r="LMH35" s="14"/>
      <c r="LMI35" s="14"/>
      <c r="LMJ35" s="14"/>
      <c r="LMK35" s="14"/>
      <c r="LML35" s="14"/>
      <c r="LMM35" s="14"/>
      <c r="LMN35" s="14"/>
      <c r="LMO35" s="14"/>
      <c r="LMP35" s="14"/>
      <c r="LMQ35" s="14"/>
      <c r="LMR35" s="14"/>
      <c r="LMS35" s="14"/>
      <c r="LMT35" s="14"/>
      <c r="LMU35" s="14"/>
      <c r="LMV35" s="14"/>
      <c r="LMW35" s="14"/>
      <c r="LMX35" s="14"/>
      <c r="LMY35" s="14"/>
      <c r="LMZ35" s="14"/>
      <c r="LNA35" s="14"/>
      <c r="LNB35" s="14"/>
      <c r="LNC35" s="14"/>
      <c r="LND35" s="14"/>
      <c r="LNE35" s="14"/>
      <c r="LNF35" s="14"/>
      <c r="LNG35" s="14"/>
      <c r="LNH35" s="14"/>
      <c r="LNI35" s="14"/>
      <c r="LNJ35" s="14"/>
      <c r="LNK35" s="14"/>
      <c r="LNL35" s="14"/>
      <c r="LNM35" s="14"/>
      <c r="LNN35" s="14"/>
      <c r="LNO35" s="14"/>
      <c r="LNP35" s="14"/>
      <c r="LNQ35" s="14"/>
      <c r="LNR35" s="14"/>
      <c r="LNS35" s="14"/>
      <c r="LNT35" s="14"/>
      <c r="LNU35" s="14"/>
      <c r="LNV35" s="14"/>
      <c r="LNW35" s="14"/>
      <c r="LNX35" s="14"/>
      <c r="LNY35" s="14"/>
      <c r="LNZ35" s="14"/>
      <c r="LOA35" s="14"/>
      <c r="LOB35" s="14"/>
      <c r="LOC35" s="14"/>
      <c r="LOD35" s="14"/>
      <c r="LOE35" s="14"/>
      <c r="LOF35" s="14"/>
      <c r="LOG35" s="14"/>
      <c r="LOH35" s="14"/>
      <c r="LOI35" s="14"/>
      <c r="LOJ35" s="14"/>
      <c r="LOK35" s="14"/>
      <c r="LOL35" s="14"/>
      <c r="LOM35" s="14"/>
      <c r="LON35" s="14"/>
      <c r="LOO35" s="14"/>
      <c r="LOP35" s="14"/>
      <c r="LOQ35" s="14"/>
      <c r="LOR35" s="14"/>
      <c r="LOS35" s="14"/>
      <c r="LOT35" s="14"/>
      <c r="LOU35" s="14"/>
      <c r="LOV35" s="14"/>
      <c r="LOW35" s="14"/>
      <c r="LOX35" s="14"/>
      <c r="LOY35" s="14"/>
      <c r="LOZ35" s="14"/>
      <c r="LPA35" s="14"/>
      <c r="LPB35" s="14"/>
      <c r="LPC35" s="14"/>
      <c r="LPD35" s="14"/>
      <c r="LPE35" s="14"/>
      <c r="LPF35" s="14"/>
      <c r="LPG35" s="14"/>
      <c r="LPH35" s="14"/>
      <c r="LPI35" s="14"/>
      <c r="LPJ35" s="14"/>
      <c r="LPK35" s="14"/>
      <c r="LPL35" s="14"/>
      <c r="LPM35" s="14"/>
      <c r="LPN35" s="14"/>
      <c r="LPO35" s="14"/>
      <c r="LPP35" s="14"/>
      <c r="LPQ35" s="14"/>
      <c r="LPR35" s="14"/>
      <c r="LPS35" s="14"/>
      <c r="LPT35" s="14"/>
      <c r="LPU35" s="14"/>
      <c r="LPV35" s="14"/>
      <c r="LPW35" s="14"/>
      <c r="LPX35" s="14"/>
      <c r="LPY35" s="14"/>
      <c r="LPZ35" s="14"/>
      <c r="LQA35" s="14"/>
      <c r="LQB35" s="14"/>
      <c r="LQC35" s="14"/>
      <c r="LQD35" s="14"/>
      <c r="LQE35" s="14"/>
      <c r="LQF35" s="14"/>
      <c r="LQG35" s="14"/>
      <c r="LQH35" s="14"/>
      <c r="LQI35" s="14"/>
      <c r="LQJ35" s="14"/>
      <c r="LQK35" s="14"/>
      <c r="LQL35" s="14"/>
      <c r="LQM35" s="14"/>
      <c r="LQN35" s="14"/>
      <c r="LQO35" s="14"/>
      <c r="LQP35" s="14"/>
      <c r="LQQ35" s="14"/>
      <c r="LQR35" s="14"/>
      <c r="LQS35" s="14"/>
      <c r="LQT35" s="14"/>
      <c r="LQU35" s="14"/>
      <c r="LQV35" s="14"/>
      <c r="LQW35" s="14"/>
      <c r="LQX35" s="14"/>
      <c r="LQY35" s="14"/>
      <c r="LQZ35" s="14"/>
      <c r="LRA35" s="14"/>
      <c r="LRB35" s="14"/>
      <c r="LRC35" s="14"/>
      <c r="LRD35" s="14"/>
      <c r="LRE35" s="14"/>
      <c r="LRF35" s="14"/>
      <c r="LRG35" s="14"/>
      <c r="LRH35" s="14"/>
      <c r="LRI35" s="14"/>
      <c r="LRJ35" s="14"/>
      <c r="LRK35" s="14"/>
      <c r="LRL35" s="14"/>
      <c r="LRM35" s="14"/>
      <c r="LRN35" s="14"/>
      <c r="LRO35" s="14"/>
      <c r="LRP35" s="14"/>
      <c r="LRQ35" s="14"/>
      <c r="LRR35" s="14"/>
      <c r="LRS35" s="14"/>
      <c r="LRT35" s="14"/>
      <c r="LRU35" s="14"/>
      <c r="LRV35" s="14"/>
      <c r="LRW35" s="14"/>
      <c r="LRX35" s="14"/>
      <c r="LRY35" s="14"/>
      <c r="LRZ35" s="14"/>
      <c r="LSA35" s="14"/>
      <c r="LSB35" s="14"/>
      <c r="LSC35" s="14"/>
      <c r="LSD35" s="14"/>
      <c r="LSE35" s="14"/>
      <c r="LSF35" s="14"/>
      <c r="LSG35" s="14"/>
      <c r="LSH35" s="14"/>
      <c r="LSI35" s="14"/>
      <c r="LSJ35" s="14"/>
      <c r="LSK35" s="14"/>
      <c r="LSL35" s="14"/>
      <c r="LSM35" s="14"/>
      <c r="LSN35" s="14"/>
      <c r="LSO35" s="14"/>
      <c r="LSP35" s="14"/>
      <c r="LSQ35" s="14"/>
      <c r="LSR35" s="14"/>
      <c r="LSS35" s="14"/>
      <c r="LST35" s="14"/>
      <c r="LSU35" s="14"/>
      <c r="LSV35" s="14"/>
      <c r="LSW35" s="14"/>
      <c r="LSX35" s="14"/>
      <c r="LSY35" s="14"/>
      <c r="LSZ35" s="14"/>
      <c r="LTA35" s="14"/>
      <c r="LTB35" s="14"/>
      <c r="LTC35" s="14"/>
      <c r="LTD35" s="14"/>
      <c r="LTE35" s="14"/>
      <c r="LTF35" s="14"/>
      <c r="LTG35" s="14"/>
      <c r="LTH35" s="14"/>
      <c r="LTI35" s="14"/>
      <c r="LTJ35" s="14"/>
      <c r="LTK35" s="14"/>
      <c r="LTL35" s="14"/>
      <c r="LTM35" s="14"/>
      <c r="LTN35" s="14"/>
      <c r="LTO35" s="14"/>
      <c r="LTP35" s="14"/>
      <c r="LTQ35" s="14"/>
      <c r="LTR35" s="14"/>
      <c r="LTS35" s="14"/>
      <c r="LTT35" s="14"/>
      <c r="LTU35" s="14"/>
      <c r="LTV35" s="14"/>
      <c r="LTW35" s="14"/>
      <c r="LTX35" s="14"/>
      <c r="LTY35" s="14"/>
      <c r="LTZ35" s="14"/>
      <c r="LUA35" s="14"/>
      <c r="LUB35" s="14"/>
      <c r="LUC35" s="14"/>
      <c r="LUD35" s="14"/>
      <c r="LUE35" s="14"/>
      <c r="LUF35" s="14"/>
      <c r="LUG35" s="14"/>
      <c r="LUH35" s="14"/>
      <c r="LUI35" s="14"/>
      <c r="LUJ35" s="14"/>
      <c r="LUK35" s="14"/>
      <c r="LUL35" s="14"/>
      <c r="LUM35" s="14"/>
      <c r="LUN35" s="14"/>
      <c r="LUO35" s="14"/>
      <c r="LUP35" s="14"/>
      <c r="LUQ35" s="14"/>
      <c r="LUR35" s="14"/>
      <c r="LUS35" s="14"/>
      <c r="LUT35" s="14"/>
      <c r="LUU35" s="14"/>
      <c r="LUV35" s="14"/>
      <c r="LUW35" s="14"/>
      <c r="LUX35" s="14"/>
      <c r="LUY35" s="14"/>
      <c r="LUZ35" s="14"/>
      <c r="LVA35" s="14"/>
      <c r="LVB35" s="14"/>
      <c r="LVC35" s="14"/>
      <c r="LVD35" s="14"/>
      <c r="LVE35" s="14"/>
      <c r="LVF35" s="14"/>
      <c r="LVG35" s="14"/>
      <c r="LVH35" s="14"/>
      <c r="LVI35" s="14"/>
      <c r="LVJ35" s="14"/>
      <c r="LVK35" s="14"/>
      <c r="LVL35" s="14"/>
      <c r="LVM35" s="14"/>
      <c r="LVN35" s="14"/>
      <c r="LVO35" s="14"/>
      <c r="LVP35" s="14"/>
      <c r="LVQ35" s="14"/>
      <c r="LVR35" s="14"/>
      <c r="LVS35" s="14"/>
      <c r="LVT35" s="14"/>
      <c r="LVU35" s="14"/>
      <c r="LVV35" s="14"/>
      <c r="LVW35" s="14"/>
      <c r="LVX35" s="14"/>
      <c r="LVY35" s="14"/>
      <c r="LVZ35" s="14"/>
      <c r="LWA35" s="14"/>
      <c r="LWB35" s="14"/>
      <c r="LWC35" s="14"/>
      <c r="LWD35" s="14"/>
      <c r="LWE35" s="14"/>
      <c r="LWF35" s="14"/>
      <c r="LWG35" s="14"/>
      <c r="LWH35" s="14"/>
      <c r="LWI35" s="14"/>
      <c r="LWJ35" s="14"/>
      <c r="LWK35" s="14"/>
      <c r="LWL35" s="14"/>
      <c r="LWM35" s="14"/>
      <c r="LWN35" s="14"/>
      <c r="LWO35" s="14"/>
      <c r="LWP35" s="14"/>
      <c r="LWQ35" s="14"/>
      <c r="LWR35" s="14"/>
      <c r="LWS35" s="14"/>
      <c r="LWT35" s="14"/>
      <c r="LWU35" s="14"/>
      <c r="LWV35" s="14"/>
      <c r="LWW35" s="14"/>
      <c r="LWX35" s="14"/>
      <c r="LWY35" s="14"/>
      <c r="LWZ35" s="14"/>
      <c r="LXA35" s="14"/>
      <c r="LXB35" s="14"/>
      <c r="LXC35" s="14"/>
      <c r="LXD35" s="14"/>
      <c r="LXE35" s="14"/>
      <c r="LXF35" s="14"/>
      <c r="LXG35" s="14"/>
      <c r="LXH35" s="14"/>
      <c r="LXI35" s="14"/>
      <c r="LXJ35" s="14"/>
      <c r="LXK35" s="14"/>
      <c r="LXL35" s="14"/>
      <c r="LXM35" s="14"/>
      <c r="LXN35" s="14"/>
      <c r="LXO35" s="14"/>
      <c r="LXP35" s="14"/>
      <c r="LXQ35" s="14"/>
      <c r="LXR35" s="14"/>
      <c r="LXS35" s="14"/>
      <c r="LXT35" s="14"/>
      <c r="LXU35" s="14"/>
      <c r="LXV35" s="14"/>
      <c r="LXW35" s="14"/>
      <c r="LXX35" s="14"/>
      <c r="LXY35" s="14"/>
      <c r="LXZ35" s="14"/>
      <c r="LYA35" s="14"/>
      <c r="LYB35" s="14"/>
      <c r="LYC35" s="14"/>
      <c r="LYD35" s="14"/>
      <c r="LYE35" s="14"/>
      <c r="LYF35" s="14"/>
      <c r="LYG35" s="14"/>
      <c r="LYH35" s="14"/>
      <c r="LYI35" s="14"/>
      <c r="LYJ35" s="14"/>
      <c r="LYK35" s="14"/>
      <c r="LYL35" s="14"/>
      <c r="LYM35" s="14"/>
      <c r="LYN35" s="14"/>
      <c r="LYO35" s="14"/>
      <c r="LYP35" s="14"/>
      <c r="LYQ35" s="14"/>
      <c r="LYR35" s="14"/>
      <c r="LYS35" s="14"/>
      <c r="LYT35" s="14"/>
      <c r="LYU35" s="14"/>
      <c r="LYV35" s="14"/>
      <c r="LYW35" s="14"/>
      <c r="LYX35" s="14"/>
      <c r="LYY35" s="14"/>
      <c r="LYZ35" s="14"/>
      <c r="LZA35" s="14"/>
      <c r="LZB35" s="14"/>
      <c r="LZC35" s="14"/>
      <c r="LZD35" s="14"/>
      <c r="LZE35" s="14"/>
      <c r="LZF35" s="14"/>
      <c r="LZG35" s="14"/>
      <c r="LZH35" s="14"/>
      <c r="LZI35" s="14"/>
      <c r="LZJ35" s="14"/>
      <c r="LZK35" s="14"/>
      <c r="LZL35" s="14"/>
      <c r="LZM35" s="14"/>
      <c r="LZN35" s="14"/>
      <c r="LZO35" s="14"/>
      <c r="LZP35" s="14"/>
      <c r="LZQ35" s="14"/>
      <c r="LZR35" s="14"/>
      <c r="LZS35" s="14"/>
      <c r="LZT35" s="14"/>
      <c r="LZU35" s="14"/>
      <c r="LZV35" s="14"/>
      <c r="LZW35" s="14"/>
      <c r="LZX35" s="14"/>
      <c r="LZY35" s="14"/>
      <c r="LZZ35" s="14"/>
      <c r="MAA35" s="14"/>
      <c r="MAB35" s="14"/>
      <c r="MAC35" s="14"/>
      <c r="MAD35" s="14"/>
      <c r="MAE35" s="14"/>
      <c r="MAF35" s="14"/>
      <c r="MAG35" s="14"/>
      <c r="MAH35" s="14"/>
      <c r="MAI35" s="14"/>
      <c r="MAJ35" s="14"/>
      <c r="MAK35" s="14"/>
      <c r="MAL35" s="14"/>
      <c r="MAM35" s="14"/>
      <c r="MAN35" s="14"/>
      <c r="MAO35" s="14"/>
      <c r="MAP35" s="14"/>
      <c r="MAQ35" s="14"/>
      <c r="MAR35" s="14"/>
      <c r="MAS35" s="14"/>
      <c r="MAT35" s="14"/>
      <c r="MAU35" s="14"/>
      <c r="MAV35" s="14"/>
      <c r="MAW35" s="14"/>
      <c r="MAX35" s="14"/>
      <c r="MAY35" s="14"/>
      <c r="MAZ35" s="14"/>
      <c r="MBA35" s="14"/>
      <c r="MBB35" s="14"/>
      <c r="MBC35" s="14"/>
      <c r="MBD35" s="14"/>
      <c r="MBE35" s="14"/>
      <c r="MBF35" s="14"/>
      <c r="MBG35" s="14"/>
      <c r="MBH35" s="14"/>
      <c r="MBI35" s="14"/>
      <c r="MBJ35" s="14"/>
      <c r="MBK35" s="14"/>
      <c r="MBL35" s="14"/>
      <c r="MBM35" s="14"/>
      <c r="MBN35" s="14"/>
      <c r="MBO35" s="14"/>
      <c r="MBP35" s="14"/>
      <c r="MBQ35" s="14"/>
      <c r="MBR35" s="14"/>
      <c r="MBS35" s="14"/>
      <c r="MBT35" s="14"/>
      <c r="MBU35" s="14"/>
      <c r="MBV35" s="14"/>
      <c r="MBW35" s="14"/>
      <c r="MBX35" s="14"/>
      <c r="MBY35" s="14"/>
      <c r="MBZ35" s="14"/>
      <c r="MCA35" s="14"/>
      <c r="MCB35" s="14"/>
      <c r="MCC35" s="14"/>
      <c r="MCD35" s="14"/>
      <c r="MCE35" s="14"/>
      <c r="MCF35" s="14"/>
      <c r="MCG35" s="14"/>
      <c r="MCH35" s="14"/>
      <c r="MCI35" s="14"/>
      <c r="MCJ35" s="14"/>
      <c r="MCK35" s="14"/>
      <c r="MCL35" s="14"/>
      <c r="MCM35" s="14"/>
      <c r="MCN35" s="14"/>
      <c r="MCO35" s="14"/>
      <c r="MCP35" s="14"/>
      <c r="MCQ35" s="14"/>
      <c r="MCR35" s="14"/>
      <c r="MCS35" s="14"/>
      <c r="MCT35" s="14"/>
      <c r="MCU35" s="14"/>
      <c r="MCV35" s="14"/>
      <c r="MCW35" s="14"/>
      <c r="MCX35" s="14"/>
      <c r="MCY35" s="14"/>
      <c r="MCZ35" s="14"/>
      <c r="MDA35" s="14"/>
      <c r="MDB35" s="14"/>
      <c r="MDC35" s="14"/>
      <c r="MDD35" s="14"/>
      <c r="MDE35" s="14"/>
      <c r="MDF35" s="14"/>
      <c r="MDG35" s="14"/>
      <c r="MDH35" s="14"/>
      <c r="MDI35" s="14"/>
      <c r="MDJ35" s="14"/>
      <c r="MDK35" s="14"/>
      <c r="MDL35" s="14"/>
      <c r="MDM35" s="14"/>
      <c r="MDN35" s="14"/>
      <c r="MDO35" s="14"/>
      <c r="MDP35" s="14"/>
      <c r="MDQ35" s="14"/>
      <c r="MDR35" s="14"/>
      <c r="MDS35" s="14"/>
      <c r="MDT35" s="14"/>
      <c r="MDU35" s="14"/>
      <c r="MDV35" s="14"/>
      <c r="MDW35" s="14"/>
      <c r="MDX35" s="14"/>
      <c r="MDY35" s="14"/>
      <c r="MDZ35" s="14"/>
      <c r="MEA35" s="14"/>
      <c r="MEB35" s="14"/>
      <c r="MEC35" s="14"/>
      <c r="MED35" s="14"/>
      <c r="MEE35" s="14"/>
      <c r="MEF35" s="14"/>
      <c r="MEG35" s="14"/>
      <c r="MEH35" s="14"/>
      <c r="MEI35" s="14"/>
      <c r="MEJ35" s="14"/>
      <c r="MEK35" s="14"/>
      <c r="MEL35" s="14"/>
      <c r="MEM35" s="14"/>
      <c r="MEN35" s="14"/>
      <c r="MEO35" s="14"/>
      <c r="MEP35" s="14"/>
      <c r="MEQ35" s="14"/>
      <c r="MER35" s="14"/>
      <c r="MES35" s="14"/>
      <c r="MET35" s="14"/>
      <c r="MEU35" s="14"/>
      <c r="MEV35" s="14"/>
      <c r="MEW35" s="14"/>
      <c r="MEX35" s="14"/>
      <c r="MEY35" s="14"/>
      <c r="MEZ35" s="14"/>
      <c r="MFA35" s="14"/>
      <c r="MFB35" s="14"/>
      <c r="MFC35" s="14"/>
      <c r="MFD35" s="14"/>
      <c r="MFE35" s="14"/>
      <c r="MFF35" s="14"/>
      <c r="MFG35" s="14"/>
      <c r="MFH35" s="14"/>
      <c r="MFI35" s="14"/>
      <c r="MFJ35" s="14"/>
      <c r="MFK35" s="14"/>
      <c r="MFL35" s="14"/>
      <c r="MFM35" s="14"/>
      <c r="MFN35" s="14"/>
      <c r="MFO35" s="14"/>
      <c r="MFP35" s="14"/>
      <c r="MFQ35" s="14"/>
      <c r="MFR35" s="14"/>
      <c r="MFS35" s="14"/>
      <c r="MFT35" s="14"/>
      <c r="MFU35" s="14"/>
      <c r="MFV35" s="14"/>
      <c r="MFW35" s="14"/>
      <c r="MFX35" s="14"/>
      <c r="MFY35" s="14"/>
      <c r="MFZ35" s="14"/>
      <c r="MGA35" s="14"/>
      <c r="MGB35" s="14"/>
      <c r="MGC35" s="14"/>
      <c r="MGD35" s="14"/>
      <c r="MGE35" s="14"/>
      <c r="MGF35" s="14"/>
      <c r="MGG35" s="14"/>
      <c r="MGH35" s="14"/>
      <c r="MGI35" s="14"/>
      <c r="MGJ35" s="14"/>
      <c r="MGK35" s="14"/>
      <c r="MGL35" s="14"/>
      <c r="MGM35" s="14"/>
      <c r="MGN35" s="14"/>
      <c r="MGO35" s="14"/>
      <c r="MGP35" s="14"/>
      <c r="MGQ35" s="14"/>
      <c r="MGR35" s="14"/>
      <c r="MGS35" s="14"/>
      <c r="MGT35" s="14"/>
      <c r="MGU35" s="14"/>
      <c r="MGV35" s="14"/>
      <c r="MGW35" s="14"/>
      <c r="MGX35" s="14"/>
      <c r="MGY35" s="14"/>
      <c r="MGZ35" s="14"/>
      <c r="MHA35" s="14"/>
      <c r="MHB35" s="14"/>
      <c r="MHC35" s="14"/>
      <c r="MHD35" s="14"/>
      <c r="MHE35" s="14"/>
      <c r="MHF35" s="14"/>
      <c r="MHG35" s="14"/>
      <c r="MHH35" s="14"/>
      <c r="MHI35" s="14"/>
      <c r="MHJ35" s="14"/>
      <c r="MHK35" s="14"/>
      <c r="MHL35" s="14"/>
      <c r="MHM35" s="14"/>
      <c r="MHN35" s="14"/>
      <c r="MHO35" s="14"/>
      <c r="MHP35" s="14"/>
      <c r="MHQ35" s="14"/>
      <c r="MHR35" s="14"/>
      <c r="MHS35" s="14"/>
      <c r="MHT35" s="14"/>
      <c r="MHU35" s="14"/>
      <c r="MHV35" s="14"/>
      <c r="MHW35" s="14"/>
      <c r="MHX35" s="14"/>
      <c r="MHY35" s="14"/>
      <c r="MHZ35" s="14"/>
      <c r="MIA35" s="14"/>
      <c r="MIB35" s="14"/>
      <c r="MIC35" s="14"/>
      <c r="MID35" s="14"/>
      <c r="MIE35" s="14"/>
      <c r="MIF35" s="14"/>
      <c r="MIG35" s="14"/>
      <c r="MIH35" s="14"/>
      <c r="MII35" s="14"/>
      <c r="MIJ35" s="14"/>
      <c r="MIK35" s="14"/>
      <c r="MIL35" s="14"/>
      <c r="MIM35" s="14"/>
      <c r="MIN35" s="14"/>
      <c r="MIO35" s="14"/>
      <c r="MIP35" s="14"/>
      <c r="MIQ35" s="14"/>
      <c r="MIR35" s="14"/>
      <c r="MIS35" s="14"/>
      <c r="MIT35" s="14"/>
      <c r="MIU35" s="14"/>
      <c r="MIV35" s="14"/>
      <c r="MIW35" s="14"/>
      <c r="MIX35" s="14"/>
      <c r="MIY35" s="14"/>
      <c r="MIZ35" s="14"/>
      <c r="MJA35" s="14"/>
      <c r="MJB35" s="14"/>
      <c r="MJC35" s="14"/>
      <c r="MJD35" s="14"/>
      <c r="MJE35" s="14"/>
      <c r="MJF35" s="14"/>
      <c r="MJG35" s="14"/>
      <c r="MJH35" s="14"/>
      <c r="MJI35" s="14"/>
      <c r="MJJ35" s="14"/>
      <c r="MJK35" s="14"/>
      <c r="MJL35" s="14"/>
      <c r="MJM35" s="14"/>
      <c r="MJN35" s="14"/>
      <c r="MJO35" s="14"/>
      <c r="MJP35" s="14"/>
      <c r="MJQ35" s="14"/>
      <c r="MJR35" s="14"/>
      <c r="MJS35" s="14"/>
      <c r="MJT35" s="14"/>
      <c r="MJU35" s="14"/>
      <c r="MJV35" s="14"/>
      <c r="MJW35" s="14"/>
      <c r="MJX35" s="14"/>
      <c r="MJY35" s="14"/>
      <c r="MJZ35" s="14"/>
      <c r="MKA35" s="14"/>
      <c r="MKB35" s="14"/>
      <c r="MKC35" s="14"/>
      <c r="MKD35" s="14"/>
      <c r="MKE35" s="14"/>
      <c r="MKF35" s="14"/>
      <c r="MKG35" s="14"/>
      <c r="MKH35" s="14"/>
      <c r="MKI35" s="14"/>
      <c r="MKJ35" s="14"/>
      <c r="MKK35" s="14"/>
      <c r="MKL35" s="14"/>
      <c r="MKM35" s="14"/>
      <c r="MKN35" s="14"/>
      <c r="MKO35" s="14"/>
      <c r="MKP35" s="14"/>
      <c r="MKQ35" s="14"/>
      <c r="MKR35" s="14"/>
      <c r="MKS35" s="14"/>
      <c r="MKT35" s="14"/>
      <c r="MKU35" s="14"/>
      <c r="MKV35" s="14"/>
      <c r="MKW35" s="14"/>
      <c r="MKX35" s="14"/>
      <c r="MKY35" s="14"/>
      <c r="MKZ35" s="14"/>
      <c r="MLA35" s="14"/>
      <c r="MLB35" s="14"/>
      <c r="MLC35" s="14"/>
      <c r="MLD35" s="14"/>
      <c r="MLE35" s="14"/>
      <c r="MLF35" s="14"/>
      <c r="MLG35" s="14"/>
      <c r="MLH35" s="14"/>
      <c r="MLI35" s="14"/>
      <c r="MLJ35" s="14"/>
      <c r="MLK35" s="14"/>
      <c r="MLL35" s="14"/>
      <c r="MLM35" s="14"/>
      <c r="MLN35" s="14"/>
      <c r="MLO35" s="14"/>
      <c r="MLP35" s="14"/>
      <c r="MLQ35" s="14"/>
      <c r="MLR35" s="14"/>
      <c r="MLS35" s="14"/>
      <c r="MLT35" s="14"/>
      <c r="MLU35" s="14"/>
      <c r="MLV35" s="14"/>
      <c r="MLW35" s="14"/>
      <c r="MLX35" s="14"/>
      <c r="MLY35" s="14"/>
      <c r="MLZ35" s="14"/>
      <c r="MMA35" s="14"/>
      <c r="MMB35" s="14"/>
      <c r="MMC35" s="14"/>
      <c r="MMD35" s="14"/>
      <c r="MME35" s="14"/>
      <c r="MMF35" s="14"/>
      <c r="MMG35" s="14"/>
      <c r="MMH35" s="14"/>
      <c r="MMI35" s="14"/>
      <c r="MMJ35" s="14"/>
      <c r="MMK35" s="14"/>
      <c r="MML35" s="14"/>
      <c r="MMM35" s="14"/>
      <c r="MMN35" s="14"/>
      <c r="MMO35" s="14"/>
      <c r="MMP35" s="14"/>
      <c r="MMQ35" s="14"/>
      <c r="MMR35" s="14"/>
      <c r="MMS35" s="14"/>
      <c r="MMT35" s="14"/>
      <c r="MMU35" s="14"/>
      <c r="MMV35" s="14"/>
      <c r="MMW35" s="14"/>
      <c r="MMX35" s="14"/>
      <c r="MMY35" s="14"/>
      <c r="MMZ35" s="14"/>
      <c r="MNA35" s="14"/>
      <c r="MNB35" s="14"/>
      <c r="MNC35" s="14"/>
      <c r="MND35" s="14"/>
      <c r="MNE35" s="14"/>
      <c r="MNF35" s="14"/>
      <c r="MNG35" s="14"/>
      <c r="MNH35" s="14"/>
      <c r="MNI35" s="14"/>
      <c r="MNJ35" s="14"/>
      <c r="MNK35" s="14"/>
      <c r="MNL35" s="14"/>
      <c r="MNM35" s="14"/>
      <c r="MNN35" s="14"/>
      <c r="MNO35" s="14"/>
      <c r="MNP35" s="14"/>
      <c r="MNQ35" s="14"/>
      <c r="MNR35" s="14"/>
      <c r="MNS35" s="14"/>
      <c r="MNT35" s="14"/>
      <c r="MNU35" s="14"/>
      <c r="MNV35" s="14"/>
      <c r="MNW35" s="14"/>
      <c r="MNX35" s="14"/>
      <c r="MNY35" s="14"/>
      <c r="MNZ35" s="14"/>
      <c r="MOA35" s="14"/>
      <c r="MOB35" s="14"/>
      <c r="MOC35" s="14"/>
      <c r="MOD35" s="14"/>
      <c r="MOE35" s="14"/>
      <c r="MOF35" s="14"/>
      <c r="MOG35" s="14"/>
      <c r="MOH35" s="14"/>
      <c r="MOI35" s="14"/>
      <c r="MOJ35" s="14"/>
      <c r="MOK35" s="14"/>
      <c r="MOL35" s="14"/>
      <c r="MOM35" s="14"/>
      <c r="MON35" s="14"/>
      <c r="MOO35" s="14"/>
      <c r="MOP35" s="14"/>
      <c r="MOQ35" s="14"/>
      <c r="MOR35" s="14"/>
      <c r="MOS35" s="14"/>
      <c r="MOT35" s="14"/>
      <c r="MOU35" s="14"/>
      <c r="MOV35" s="14"/>
      <c r="MOW35" s="14"/>
      <c r="MOX35" s="14"/>
      <c r="MOY35" s="14"/>
      <c r="MOZ35" s="14"/>
      <c r="MPA35" s="14"/>
      <c r="MPB35" s="14"/>
      <c r="MPC35" s="14"/>
      <c r="MPD35" s="14"/>
      <c r="MPE35" s="14"/>
      <c r="MPF35" s="14"/>
      <c r="MPG35" s="14"/>
      <c r="MPH35" s="14"/>
      <c r="MPI35" s="14"/>
      <c r="MPJ35" s="14"/>
      <c r="MPK35" s="14"/>
      <c r="MPL35" s="14"/>
      <c r="MPM35" s="14"/>
      <c r="MPN35" s="14"/>
      <c r="MPO35" s="14"/>
      <c r="MPP35" s="14"/>
      <c r="MPQ35" s="14"/>
      <c r="MPR35" s="14"/>
      <c r="MPS35" s="14"/>
      <c r="MPT35" s="14"/>
      <c r="MPU35" s="14"/>
      <c r="MPV35" s="14"/>
      <c r="MPW35" s="14"/>
      <c r="MPX35" s="14"/>
      <c r="MPY35" s="14"/>
      <c r="MPZ35" s="14"/>
      <c r="MQA35" s="14"/>
      <c r="MQB35" s="14"/>
      <c r="MQC35" s="14"/>
      <c r="MQD35" s="14"/>
      <c r="MQE35" s="14"/>
      <c r="MQF35" s="14"/>
      <c r="MQG35" s="14"/>
      <c r="MQH35" s="14"/>
      <c r="MQI35" s="14"/>
      <c r="MQJ35" s="14"/>
      <c r="MQK35" s="14"/>
      <c r="MQL35" s="14"/>
      <c r="MQM35" s="14"/>
      <c r="MQN35" s="14"/>
      <c r="MQO35" s="14"/>
      <c r="MQP35" s="14"/>
      <c r="MQQ35" s="14"/>
      <c r="MQR35" s="14"/>
      <c r="MQS35" s="14"/>
      <c r="MQT35" s="14"/>
      <c r="MQU35" s="14"/>
      <c r="MQV35" s="14"/>
      <c r="MQW35" s="14"/>
      <c r="MQX35" s="14"/>
      <c r="MQY35" s="14"/>
      <c r="MQZ35" s="14"/>
      <c r="MRA35" s="14"/>
      <c r="MRB35" s="14"/>
      <c r="MRC35" s="14"/>
      <c r="MRD35" s="14"/>
      <c r="MRE35" s="14"/>
      <c r="MRF35" s="14"/>
      <c r="MRG35" s="14"/>
      <c r="MRH35" s="14"/>
      <c r="MRI35" s="14"/>
      <c r="MRJ35" s="14"/>
      <c r="MRK35" s="14"/>
      <c r="MRL35" s="14"/>
      <c r="MRM35" s="14"/>
      <c r="MRN35" s="14"/>
      <c r="MRO35" s="14"/>
      <c r="MRP35" s="14"/>
      <c r="MRQ35" s="14"/>
      <c r="MRR35" s="14"/>
      <c r="MRS35" s="14"/>
      <c r="MRT35" s="14"/>
      <c r="MRU35" s="14"/>
      <c r="MRV35" s="14"/>
      <c r="MRW35" s="14"/>
      <c r="MRX35" s="14"/>
      <c r="MRY35" s="14"/>
      <c r="MRZ35" s="14"/>
      <c r="MSA35" s="14"/>
      <c r="MSB35" s="14"/>
      <c r="MSC35" s="14"/>
      <c r="MSD35" s="14"/>
      <c r="MSE35" s="14"/>
      <c r="MSF35" s="14"/>
      <c r="MSG35" s="14"/>
      <c r="MSH35" s="14"/>
      <c r="MSI35" s="14"/>
      <c r="MSJ35" s="14"/>
      <c r="MSK35" s="14"/>
      <c r="MSL35" s="14"/>
      <c r="MSM35" s="14"/>
      <c r="MSN35" s="14"/>
      <c r="MSO35" s="14"/>
      <c r="MSP35" s="14"/>
      <c r="MSQ35" s="14"/>
      <c r="MSR35" s="14"/>
      <c r="MSS35" s="14"/>
      <c r="MST35" s="14"/>
      <c r="MSU35" s="14"/>
      <c r="MSV35" s="14"/>
      <c r="MSW35" s="14"/>
      <c r="MSX35" s="14"/>
      <c r="MSY35" s="14"/>
      <c r="MSZ35" s="14"/>
      <c r="MTA35" s="14"/>
      <c r="MTB35" s="14"/>
      <c r="MTC35" s="14"/>
      <c r="MTD35" s="14"/>
      <c r="MTE35" s="14"/>
      <c r="MTF35" s="14"/>
      <c r="MTG35" s="14"/>
      <c r="MTH35" s="14"/>
      <c r="MTI35" s="14"/>
      <c r="MTJ35" s="14"/>
      <c r="MTK35" s="14"/>
      <c r="MTL35" s="14"/>
      <c r="MTM35" s="14"/>
      <c r="MTN35" s="14"/>
      <c r="MTO35" s="14"/>
      <c r="MTP35" s="14"/>
      <c r="MTQ35" s="14"/>
      <c r="MTR35" s="14"/>
      <c r="MTS35" s="14"/>
      <c r="MTT35" s="14"/>
      <c r="MTU35" s="14"/>
      <c r="MTV35" s="14"/>
      <c r="MTW35" s="14"/>
      <c r="MTX35" s="14"/>
      <c r="MTY35" s="14"/>
      <c r="MTZ35" s="14"/>
      <c r="MUA35" s="14"/>
      <c r="MUB35" s="14"/>
      <c r="MUC35" s="14"/>
      <c r="MUD35" s="14"/>
      <c r="MUE35" s="14"/>
      <c r="MUF35" s="14"/>
      <c r="MUG35" s="14"/>
      <c r="MUH35" s="14"/>
      <c r="MUI35" s="14"/>
      <c r="MUJ35" s="14"/>
      <c r="MUK35" s="14"/>
      <c r="MUL35" s="14"/>
      <c r="MUM35" s="14"/>
      <c r="MUN35" s="14"/>
      <c r="MUO35" s="14"/>
      <c r="MUP35" s="14"/>
      <c r="MUQ35" s="14"/>
      <c r="MUR35" s="14"/>
      <c r="MUS35" s="14"/>
      <c r="MUT35" s="14"/>
      <c r="MUU35" s="14"/>
      <c r="MUV35" s="14"/>
      <c r="MUW35" s="14"/>
      <c r="MUX35" s="14"/>
      <c r="MUY35" s="14"/>
      <c r="MUZ35" s="14"/>
      <c r="MVA35" s="14"/>
      <c r="MVB35" s="14"/>
      <c r="MVC35" s="14"/>
      <c r="MVD35" s="14"/>
      <c r="MVE35" s="14"/>
      <c r="MVF35" s="14"/>
      <c r="MVG35" s="14"/>
      <c r="MVH35" s="14"/>
      <c r="MVI35" s="14"/>
      <c r="MVJ35" s="14"/>
      <c r="MVK35" s="14"/>
      <c r="MVL35" s="14"/>
      <c r="MVM35" s="14"/>
      <c r="MVN35" s="14"/>
      <c r="MVO35" s="14"/>
      <c r="MVP35" s="14"/>
      <c r="MVQ35" s="14"/>
      <c r="MVR35" s="14"/>
      <c r="MVS35" s="14"/>
      <c r="MVT35" s="14"/>
      <c r="MVU35" s="14"/>
      <c r="MVV35" s="14"/>
      <c r="MVW35" s="14"/>
      <c r="MVX35" s="14"/>
      <c r="MVY35" s="14"/>
      <c r="MVZ35" s="14"/>
      <c r="MWA35" s="14"/>
      <c r="MWB35" s="14"/>
      <c r="MWC35" s="14"/>
      <c r="MWD35" s="14"/>
      <c r="MWE35" s="14"/>
      <c r="MWF35" s="14"/>
      <c r="MWG35" s="14"/>
      <c r="MWH35" s="14"/>
      <c r="MWI35" s="14"/>
      <c r="MWJ35" s="14"/>
      <c r="MWK35" s="14"/>
      <c r="MWL35" s="14"/>
      <c r="MWM35" s="14"/>
      <c r="MWN35" s="14"/>
      <c r="MWO35" s="14"/>
      <c r="MWP35" s="14"/>
      <c r="MWQ35" s="14"/>
      <c r="MWR35" s="14"/>
      <c r="MWS35" s="14"/>
      <c r="MWT35" s="14"/>
      <c r="MWU35" s="14"/>
      <c r="MWV35" s="14"/>
      <c r="MWW35" s="14"/>
      <c r="MWX35" s="14"/>
      <c r="MWY35" s="14"/>
      <c r="MWZ35" s="14"/>
      <c r="MXA35" s="14"/>
      <c r="MXB35" s="14"/>
      <c r="MXC35" s="14"/>
      <c r="MXD35" s="14"/>
      <c r="MXE35" s="14"/>
      <c r="MXF35" s="14"/>
      <c r="MXG35" s="14"/>
      <c r="MXH35" s="14"/>
      <c r="MXI35" s="14"/>
      <c r="MXJ35" s="14"/>
      <c r="MXK35" s="14"/>
      <c r="MXL35" s="14"/>
      <c r="MXM35" s="14"/>
      <c r="MXN35" s="14"/>
      <c r="MXO35" s="14"/>
      <c r="MXP35" s="14"/>
      <c r="MXQ35" s="14"/>
      <c r="MXR35" s="14"/>
      <c r="MXS35" s="14"/>
      <c r="MXT35" s="14"/>
      <c r="MXU35" s="14"/>
      <c r="MXV35" s="14"/>
      <c r="MXW35" s="14"/>
      <c r="MXX35" s="14"/>
      <c r="MXY35" s="14"/>
      <c r="MXZ35" s="14"/>
      <c r="MYA35" s="14"/>
      <c r="MYB35" s="14"/>
      <c r="MYC35" s="14"/>
      <c r="MYD35" s="14"/>
      <c r="MYE35" s="14"/>
      <c r="MYF35" s="14"/>
      <c r="MYG35" s="14"/>
      <c r="MYH35" s="14"/>
      <c r="MYI35" s="14"/>
      <c r="MYJ35" s="14"/>
      <c r="MYK35" s="14"/>
      <c r="MYL35" s="14"/>
      <c r="MYM35" s="14"/>
      <c r="MYN35" s="14"/>
      <c r="MYO35" s="14"/>
      <c r="MYP35" s="14"/>
      <c r="MYQ35" s="14"/>
      <c r="MYR35" s="14"/>
      <c r="MYS35" s="14"/>
      <c r="MYT35" s="14"/>
      <c r="MYU35" s="14"/>
      <c r="MYV35" s="14"/>
      <c r="MYW35" s="14"/>
      <c r="MYX35" s="14"/>
      <c r="MYY35" s="14"/>
      <c r="MYZ35" s="14"/>
      <c r="MZA35" s="14"/>
      <c r="MZB35" s="14"/>
      <c r="MZC35" s="14"/>
      <c r="MZD35" s="14"/>
      <c r="MZE35" s="14"/>
      <c r="MZF35" s="14"/>
      <c r="MZG35" s="14"/>
      <c r="MZH35" s="14"/>
      <c r="MZI35" s="14"/>
      <c r="MZJ35" s="14"/>
      <c r="MZK35" s="14"/>
      <c r="MZL35" s="14"/>
      <c r="MZM35" s="14"/>
      <c r="MZN35" s="14"/>
      <c r="MZO35" s="14"/>
      <c r="MZP35" s="14"/>
      <c r="MZQ35" s="14"/>
      <c r="MZR35" s="14"/>
      <c r="MZS35" s="14"/>
      <c r="MZT35" s="14"/>
      <c r="MZU35" s="14"/>
      <c r="MZV35" s="14"/>
      <c r="MZW35" s="14"/>
      <c r="MZX35" s="14"/>
      <c r="MZY35" s="14"/>
      <c r="MZZ35" s="14"/>
      <c r="NAA35" s="14"/>
      <c r="NAB35" s="14"/>
      <c r="NAC35" s="14"/>
      <c r="NAD35" s="14"/>
      <c r="NAE35" s="14"/>
      <c r="NAF35" s="14"/>
      <c r="NAG35" s="14"/>
      <c r="NAH35" s="14"/>
      <c r="NAI35" s="14"/>
      <c r="NAJ35" s="14"/>
      <c r="NAK35" s="14"/>
      <c r="NAL35" s="14"/>
      <c r="NAM35" s="14"/>
      <c r="NAN35" s="14"/>
      <c r="NAO35" s="14"/>
      <c r="NAP35" s="14"/>
      <c r="NAQ35" s="14"/>
      <c r="NAR35" s="14"/>
      <c r="NAS35" s="14"/>
      <c r="NAT35" s="14"/>
      <c r="NAU35" s="14"/>
      <c r="NAV35" s="14"/>
      <c r="NAW35" s="14"/>
      <c r="NAX35" s="14"/>
      <c r="NAY35" s="14"/>
      <c r="NAZ35" s="14"/>
      <c r="NBA35" s="14"/>
      <c r="NBB35" s="14"/>
      <c r="NBC35" s="14"/>
      <c r="NBD35" s="14"/>
      <c r="NBE35" s="14"/>
      <c r="NBF35" s="14"/>
      <c r="NBG35" s="14"/>
      <c r="NBH35" s="14"/>
      <c r="NBI35" s="14"/>
      <c r="NBJ35" s="14"/>
      <c r="NBK35" s="14"/>
      <c r="NBL35" s="14"/>
      <c r="NBM35" s="14"/>
      <c r="NBN35" s="14"/>
      <c r="NBO35" s="14"/>
      <c r="NBP35" s="14"/>
      <c r="NBQ35" s="14"/>
      <c r="NBR35" s="14"/>
      <c r="NBS35" s="14"/>
      <c r="NBT35" s="14"/>
      <c r="NBU35" s="14"/>
      <c r="NBV35" s="14"/>
      <c r="NBW35" s="14"/>
      <c r="NBX35" s="14"/>
      <c r="NBY35" s="14"/>
      <c r="NBZ35" s="14"/>
      <c r="NCA35" s="14"/>
      <c r="NCB35" s="14"/>
      <c r="NCC35" s="14"/>
      <c r="NCD35" s="14"/>
      <c r="NCE35" s="14"/>
      <c r="NCF35" s="14"/>
      <c r="NCG35" s="14"/>
      <c r="NCH35" s="14"/>
      <c r="NCI35" s="14"/>
      <c r="NCJ35" s="14"/>
      <c r="NCK35" s="14"/>
      <c r="NCL35" s="14"/>
      <c r="NCM35" s="14"/>
      <c r="NCN35" s="14"/>
      <c r="NCO35" s="14"/>
      <c r="NCP35" s="14"/>
      <c r="NCQ35" s="14"/>
      <c r="NCR35" s="14"/>
      <c r="NCS35" s="14"/>
      <c r="NCT35" s="14"/>
      <c r="NCU35" s="14"/>
      <c r="NCV35" s="14"/>
      <c r="NCW35" s="14"/>
      <c r="NCX35" s="14"/>
      <c r="NCY35" s="14"/>
      <c r="NCZ35" s="14"/>
      <c r="NDA35" s="14"/>
      <c r="NDB35" s="14"/>
      <c r="NDC35" s="14"/>
      <c r="NDD35" s="14"/>
      <c r="NDE35" s="14"/>
      <c r="NDF35" s="14"/>
      <c r="NDG35" s="14"/>
      <c r="NDH35" s="14"/>
      <c r="NDI35" s="14"/>
      <c r="NDJ35" s="14"/>
      <c r="NDK35" s="14"/>
      <c r="NDL35" s="14"/>
      <c r="NDM35" s="14"/>
      <c r="NDN35" s="14"/>
      <c r="NDO35" s="14"/>
      <c r="NDP35" s="14"/>
      <c r="NDQ35" s="14"/>
      <c r="NDR35" s="14"/>
      <c r="NDS35" s="14"/>
      <c r="NDT35" s="14"/>
      <c r="NDU35" s="14"/>
      <c r="NDV35" s="14"/>
      <c r="NDW35" s="14"/>
      <c r="NDX35" s="14"/>
      <c r="NDY35" s="14"/>
      <c r="NDZ35" s="14"/>
      <c r="NEA35" s="14"/>
      <c r="NEB35" s="14"/>
      <c r="NEC35" s="14"/>
      <c r="NED35" s="14"/>
      <c r="NEE35" s="14"/>
      <c r="NEF35" s="14"/>
      <c r="NEG35" s="14"/>
      <c r="NEH35" s="14"/>
      <c r="NEI35" s="14"/>
      <c r="NEJ35" s="14"/>
      <c r="NEK35" s="14"/>
      <c r="NEL35" s="14"/>
      <c r="NEM35" s="14"/>
      <c r="NEN35" s="14"/>
      <c r="NEO35" s="14"/>
      <c r="NEP35" s="14"/>
      <c r="NEQ35" s="14"/>
      <c r="NER35" s="14"/>
      <c r="NES35" s="14"/>
      <c r="NET35" s="14"/>
      <c r="NEU35" s="14"/>
      <c r="NEV35" s="14"/>
      <c r="NEW35" s="14"/>
      <c r="NEX35" s="14"/>
      <c r="NEY35" s="14"/>
      <c r="NEZ35" s="14"/>
      <c r="NFA35" s="14"/>
      <c r="NFB35" s="14"/>
      <c r="NFC35" s="14"/>
      <c r="NFD35" s="14"/>
      <c r="NFE35" s="14"/>
      <c r="NFF35" s="14"/>
      <c r="NFG35" s="14"/>
      <c r="NFH35" s="14"/>
      <c r="NFI35" s="14"/>
      <c r="NFJ35" s="14"/>
      <c r="NFK35" s="14"/>
      <c r="NFL35" s="14"/>
      <c r="NFM35" s="14"/>
      <c r="NFN35" s="14"/>
      <c r="NFO35" s="14"/>
      <c r="NFP35" s="14"/>
      <c r="NFQ35" s="14"/>
      <c r="NFR35" s="14"/>
      <c r="NFS35" s="14"/>
      <c r="NFT35" s="14"/>
      <c r="NFU35" s="14"/>
      <c r="NFV35" s="14"/>
      <c r="NFW35" s="14"/>
      <c r="NFX35" s="14"/>
      <c r="NFY35" s="14"/>
      <c r="NFZ35" s="14"/>
      <c r="NGA35" s="14"/>
      <c r="NGB35" s="14"/>
      <c r="NGC35" s="14"/>
      <c r="NGD35" s="14"/>
      <c r="NGE35" s="14"/>
      <c r="NGF35" s="14"/>
      <c r="NGG35" s="14"/>
      <c r="NGH35" s="14"/>
      <c r="NGI35" s="14"/>
      <c r="NGJ35" s="14"/>
      <c r="NGK35" s="14"/>
      <c r="NGL35" s="14"/>
      <c r="NGM35" s="14"/>
      <c r="NGN35" s="14"/>
      <c r="NGO35" s="14"/>
      <c r="NGP35" s="14"/>
      <c r="NGQ35" s="14"/>
      <c r="NGR35" s="14"/>
      <c r="NGS35" s="14"/>
      <c r="NGT35" s="14"/>
      <c r="NGU35" s="14"/>
      <c r="NGV35" s="14"/>
      <c r="NGW35" s="14"/>
      <c r="NGX35" s="14"/>
      <c r="NGY35" s="14"/>
      <c r="NGZ35" s="14"/>
      <c r="NHA35" s="14"/>
      <c r="NHB35" s="14"/>
      <c r="NHC35" s="14"/>
      <c r="NHD35" s="14"/>
      <c r="NHE35" s="14"/>
      <c r="NHF35" s="14"/>
      <c r="NHG35" s="14"/>
      <c r="NHH35" s="14"/>
      <c r="NHI35" s="14"/>
      <c r="NHJ35" s="14"/>
      <c r="NHK35" s="14"/>
      <c r="NHL35" s="14"/>
      <c r="NHM35" s="14"/>
      <c r="NHN35" s="14"/>
      <c r="NHO35" s="14"/>
      <c r="NHP35" s="14"/>
      <c r="NHQ35" s="14"/>
      <c r="NHR35" s="14"/>
      <c r="NHS35" s="14"/>
      <c r="NHT35" s="14"/>
      <c r="NHU35" s="14"/>
      <c r="NHV35" s="14"/>
      <c r="NHW35" s="14"/>
      <c r="NHX35" s="14"/>
      <c r="NHY35" s="14"/>
      <c r="NHZ35" s="14"/>
      <c r="NIA35" s="14"/>
      <c r="NIB35" s="14"/>
      <c r="NIC35" s="14"/>
      <c r="NID35" s="14"/>
      <c r="NIE35" s="14"/>
      <c r="NIF35" s="14"/>
      <c r="NIG35" s="14"/>
      <c r="NIH35" s="14"/>
      <c r="NII35" s="14"/>
      <c r="NIJ35" s="14"/>
      <c r="NIK35" s="14"/>
      <c r="NIL35" s="14"/>
      <c r="NIM35" s="14"/>
      <c r="NIN35" s="14"/>
      <c r="NIO35" s="14"/>
      <c r="NIP35" s="14"/>
      <c r="NIQ35" s="14"/>
      <c r="NIR35" s="14"/>
      <c r="NIS35" s="14"/>
      <c r="NIT35" s="14"/>
      <c r="NIU35" s="14"/>
      <c r="NIV35" s="14"/>
      <c r="NIW35" s="14"/>
      <c r="NIX35" s="14"/>
      <c r="NIY35" s="14"/>
      <c r="NIZ35" s="14"/>
      <c r="NJA35" s="14"/>
      <c r="NJB35" s="14"/>
      <c r="NJC35" s="14"/>
      <c r="NJD35" s="14"/>
      <c r="NJE35" s="14"/>
      <c r="NJF35" s="14"/>
      <c r="NJG35" s="14"/>
      <c r="NJH35" s="14"/>
      <c r="NJI35" s="14"/>
      <c r="NJJ35" s="14"/>
      <c r="NJK35" s="14"/>
      <c r="NJL35" s="14"/>
      <c r="NJM35" s="14"/>
      <c r="NJN35" s="14"/>
      <c r="NJO35" s="14"/>
      <c r="NJP35" s="14"/>
      <c r="NJQ35" s="14"/>
      <c r="NJR35" s="14"/>
      <c r="NJS35" s="14"/>
      <c r="NJT35" s="14"/>
      <c r="NJU35" s="14"/>
      <c r="NJV35" s="14"/>
      <c r="NJW35" s="14"/>
      <c r="NJX35" s="14"/>
      <c r="NJY35" s="14"/>
      <c r="NJZ35" s="14"/>
      <c r="NKA35" s="14"/>
      <c r="NKB35" s="14"/>
      <c r="NKC35" s="14"/>
      <c r="NKD35" s="14"/>
      <c r="NKE35" s="14"/>
      <c r="NKF35" s="14"/>
      <c r="NKG35" s="14"/>
      <c r="NKH35" s="14"/>
      <c r="NKI35" s="14"/>
      <c r="NKJ35" s="14"/>
      <c r="NKK35" s="14"/>
      <c r="NKL35" s="14"/>
      <c r="NKM35" s="14"/>
      <c r="NKN35" s="14"/>
      <c r="NKO35" s="14"/>
      <c r="NKP35" s="14"/>
      <c r="NKQ35" s="14"/>
      <c r="NKR35" s="14"/>
      <c r="NKS35" s="14"/>
      <c r="NKT35" s="14"/>
      <c r="NKU35" s="14"/>
      <c r="NKV35" s="14"/>
      <c r="NKW35" s="14"/>
      <c r="NKX35" s="14"/>
      <c r="NKY35" s="14"/>
      <c r="NKZ35" s="14"/>
      <c r="NLA35" s="14"/>
      <c r="NLB35" s="14"/>
      <c r="NLC35" s="14"/>
      <c r="NLD35" s="14"/>
      <c r="NLE35" s="14"/>
      <c r="NLF35" s="14"/>
      <c r="NLG35" s="14"/>
      <c r="NLH35" s="14"/>
      <c r="NLI35" s="14"/>
      <c r="NLJ35" s="14"/>
      <c r="NLK35" s="14"/>
      <c r="NLL35" s="14"/>
      <c r="NLM35" s="14"/>
      <c r="NLN35" s="14"/>
      <c r="NLO35" s="14"/>
      <c r="NLP35" s="14"/>
      <c r="NLQ35" s="14"/>
      <c r="NLR35" s="14"/>
      <c r="NLS35" s="14"/>
      <c r="NLT35" s="14"/>
      <c r="NLU35" s="14"/>
      <c r="NLV35" s="14"/>
      <c r="NLW35" s="14"/>
      <c r="NLX35" s="14"/>
      <c r="NLY35" s="14"/>
      <c r="NLZ35" s="14"/>
      <c r="NMA35" s="14"/>
      <c r="NMB35" s="14"/>
      <c r="NMC35" s="14"/>
      <c r="NMD35" s="14"/>
      <c r="NME35" s="14"/>
      <c r="NMF35" s="14"/>
      <c r="NMG35" s="14"/>
      <c r="NMH35" s="14"/>
      <c r="NMI35" s="14"/>
      <c r="NMJ35" s="14"/>
      <c r="NMK35" s="14"/>
      <c r="NML35" s="14"/>
      <c r="NMM35" s="14"/>
      <c r="NMN35" s="14"/>
      <c r="NMO35" s="14"/>
      <c r="NMP35" s="14"/>
      <c r="NMQ35" s="14"/>
      <c r="NMR35" s="14"/>
      <c r="NMS35" s="14"/>
      <c r="NMT35" s="14"/>
      <c r="NMU35" s="14"/>
      <c r="NMV35" s="14"/>
      <c r="NMW35" s="14"/>
      <c r="NMX35" s="14"/>
      <c r="NMY35" s="14"/>
      <c r="NMZ35" s="14"/>
      <c r="NNA35" s="14"/>
      <c r="NNB35" s="14"/>
      <c r="NNC35" s="14"/>
      <c r="NND35" s="14"/>
      <c r="NNE35" s="14"/>
      <c r="NNF35" s="14"/>
      <c r="NNG35" s="14"/>
      <c r="NNH35" s="14"/>
      <c r="NNI35" s="14"/>
      <c r="NNJ35" s="14"/>
      <c r="NNK35" s="14"/>
      <c r="NNL35" s="14"/>
      <c r="NNM35" s="14"/>
      <c r="NNN35" s="14"/>
      <c r="NNO35" s="14"/>
      <c r="NNP35" s="14"/>
      <c r="NNQ35" s="14"/>
      <c r="NNR35" s="14"/>
      <c r="NNS35" s="14"/>
      <c r="NNT35" s="14"/>
      <c r="NNU35" s="14"/>
      <c r="NNV35" s="14"/>
      <c r="NNW35" s="14"/>
      <c r="NNX35" s="14"/>
      <c r="NNY35" s="14"/>
      <c r="NNZ35" s="14"/>
      <c r="NOA35" s="14"/>
      <c r="NOB35" s="14"/>
      <c r="NOC35" s="14"/>
      <c r="NOD35" s="14"/>
      <c r="NOE35" s="14"/>
      <c r="NOF35" s="14"/>
      <c r="NOG35" s="14"/>
      <c r="NOH35" s="14"/>
      <c r="NOI35" s="14"/>
      <c r="NOJ35" s="14"/>
      <c r="NOK35" s="14"/>
      <c r="NOL35" s="14"/>
      <c r="NOM35" s="14"/>
      <c r="NON35" s="14"/>
      <c r="NOO35" s="14"/>
      <c r="NOP35" s="14"/>
      <c r="NOQ35" s="14"/>
      <c r="NOR35" s="14"/>
      <c r="NOS35" s="14"/>
      <c r="NOT35" s="14"/>
      <c r="NOU35" s="14"/>
      <c r="NOV35" s="14"/>
      <c r="NOW35" s="14"/>
      <c r="NOX35" s="14"/>
      <c r="NOY35" s="14"/>
      <c r="NOZ35" s="14"/>
      <c r="NPA35" s="14"/>
      <c r="NPB35" s="14"/>
      <c r="NPC35" s="14"/>
      <c r="NPD35" s="14"/>
      <c r="NPE35" s="14"/>
      <c r="NPF35" s="14"/>
      <c r="NPG35" s="14"/>
      <c r="NPH35" s="14"/>
      <c r="NPI35" s="14"/>
      <c r="NPJ35" s="14"/>
      <c r="NPK35" s="14"/>
      <c r="NPL35" s="14"/>
      <c r="NPM35" s="14"/>
      <c r="NPN35" s="14"/>
      <c r="NPO35" s="14"/>
      <c r="NPP35" s="14"/>
      <c r="NPQ35" s="14"/>
      <c r="NPR35" s="14"/>
      <c r="NPS35" s="14"/>
      <c r="NPT35" s="14"/>
      <c r="NPU35" s="14"/>
      <c r="NPV35" s="14"/>
      <c r="NPW35" s="14"/>
      <c r="NPX35" s="14"/>
      <c r="NPY35" s="14"/>
      <c r="NPZ35" s="14"/>
      <c r="NQA35" s="14"/>
      <c r="NQB35" s="14"/>
      <c r="NQC35" s="14"/>
      <c r="NQD35" s="14"/>
      <c r="NQE35" s="14"/>
      <c r="NQF35" s="14"/>
      <c r="NQG35" s="14"/>
      <c r="NQH35" s="14"/>
      <c r="NQI35" s="14"/>
      <c r="NQJ35" s="14"/>
      <c r="NQK35" s="14"/>
      <c r="NQL35" s="14"/>
      <c r="NQM35" s="14"/>
      <c r="NQN35" s="14"/>
      <c r="NQO35" s="14"/>
      <c r="NQP35" s="14"/>
      <c r="NQQ35" s="14"/>
      <c r="NQR35" s="14"/>
      <c r="NQS35" s="14"/>
      <c r="NQT35" s="14"/>
      <c r="NQU35" s="14"/>
      <c r="NQV35" s="14"/>
      <c r="NQW35" s="14"/>
      <c r="NQX35" s="14"/>
      <c r="NQY35" s="14"/>
      <c r="NQZ35" s="14"/>
      <c r="NRA35" s="14"/>
      <c r="NRB35" s="14"/>
      <c r="NRC35" s="14"/>
      <c r="NRD35" s="14"/>
      <c r="NRE35" s="14"/>
      <c r="NRF35" s="14"/>
      <c r="NRG35" s="14"/>
      <c r="NRH35" s="14"/>
      <c r="NRI35" s="14"/>
      <c r="NRJ35" s="14"/>
      <c r="NRK35" s="14"/>
      <c r="NRL35" s="14"/>
      <c r="NRM35" s="14"/>
      <c r="NRN35" s="14"/>
      <c r="NRO35" s="14"/>
      <c r="NRP35" s="14"/>
      <c r="NRQ35" s="14"/>
      <c r="NRR35" s="14"/>
      <c r="NRS35" s="14"/>
      <c r="NRT35" s="14"/>
      <c r="NRU35" s="14"/>
      <c r="NRV35" s="14"/>
      <c r="NRW35" s="14"/>
      <c r="NRX35" s="14"/>
      <c r="NRY35" s="14"/>
      <c r="NRZ35" s="14"/>
      <c r="NSA35" s="14"/>
      <c r="NSB35" s="14"/>
      <c r="NSC35" s="14"/>
      <c r="NSD35" s="14"/>
      <c r="NSE35" s="14"/>
      <c r="NSF35" s="14"/>
      <c r="NSG35" s="14"/>
      <c r="NSH35" s="14"/>
      <c r="NSI35" s="14"/>
      <c r="NSJ35" s="14"/>
      <c r="NSK35" s="14"/>
      <c r="NSL35" s="14"/>
      <c r="NSM35" s="14"/>
      <c r="NSN35" s="14"/>
      <c r="NSO35" s="14"/>
      <c r="NSP35" s="14"/>
      <c r="NSQ35" s="14"/>
      <c r="NSR35" s="14"/>
      <c r="NSS35" s="14"/>
      <c r="NST35" s="14"/>
      <c r="NSU35" s="14"/>
      <c r="NSV35" s="14"/>
      <c r="NSW35" s="14"/>
      <c r="NSX35" s="14"/>
      <c r="NSY35" s="14"/>
      <c r="NSZ35" s="14"/>
      <c r="NTA35" s="14"/>
      <c r="NTB35" s="14"/>
      <c r="NTC35" s="14"/>
      <c r="NTD35" s="14"/>
      <c r="NTE35" s="14"/>
      <c r="NTF35" s="14"/>
      <c r="NTG35" s="14"/>
      <c r="NTH35" s="14"/>
      <c r="NTI35" s="14"/>
      <c r="NTJ35" s="14"/>
      <c r="NTK35" s="14"/>
      <c r="NTL35" s="14"/>
      <c r="NTM35" s="14"/>
      <c r="NTN35" s="14"/>
      <c r="NTO35" s="14"/>
      <c r="NTP35" s="14"/>
      <c r="NTQ35" s="14"/>
      <c r="NTR35" s="14"/>
      <c r="NTS35" s="14"/>
      <c r="NTT35" s="14"/>
      <c r="NTU35" s="14"/>
      <c r="NTV35" s="14"/>
      <c r="NTW35" s="14"/>
      <c r="NTX35" s="14"/>
      <c r="NTY35" s="14"/>
      <c r="NTZ35" s="14"/>
      <c r="NUA35" s="14"/>
      <c r="NUB35" s="14"/>
      <c r="NUC35" s="14"/>
      <c r="NUD35" s="14"/>
      <c r="NUE35" s="14"/>
      <c r="NUF35" s="14"/>
      <c r="NUG35" s="14"/>
      <c r="NUH35" s="14"/>
      <c r="NUI35" s="14"/>
      <c r="NUJ35" s="14"/>
      <c r="NUK35" s="14"/>
      <c r="NUL35" s="14"/>
      <c r="NUM35" s="14"/>
      <c r="NUN35" s="14"/>
      <c r="NUO35" s="14"/>
      <c r="NUP35" s="14"/>
      <c r="NUQ35" s="14"/>
      <c r="NUR35" s="14"/>
      <c r="NUS35" s="14"/>
      <c r="NUT35" s="14"/>
      <c r="NUU35" s="14"/>
      <c r="NUV35" s="14"/>
      <c r="NUW35" s="14"/>
      <c r="NUX35" s="14"/>
      <c r="NUY35" s="14"/>
      <c r="NUZ35" s="14"/>
      <c r="NVA35" s="14"/>
      <c r="NVB35" s="14"/>
      <c r="NVC35" s="14"/>
      <c r="NVD35" s="14"/>
      <c r="NVE35" s="14"/>
      <c r="NVF35" s="14"/>
      <c r="NVG35" s="14"/>
      <c r="NVH35" s="14"/>
      <c r="NVI35" s="14"/>
      <c r="NVJ35" s="14"/>
      <c r="NVK35" s="14"/>
      <c r="NVL35" s="14"/>
      <c r="NVM35" s="14"/>
      <c r="NVN35" s="14"/>
      <c r="NVO35" s="14"/>
      <c r="NVP35" s="14"/>
      <c r="NVQ35" s="14"/>
      <c r="NVR35" s="14"/>
      <c r="NVS35" s="14"/>
      <c r="NVT35" s="14"/>
      <c r="NVU35" s="14"/>
      <c r="NVV35" s="14"/>
      <c r="NVW35" s="14"/>
      <c r="NVX35" s="14"/>
      <c r="NVY35" s="14"/>
      <c r="NVZ35" s="14"/>
      <c r="NWA35" s="14"/>
      <c r="NWB35" s="14"/>
      <c r="NWC35" s="14"/>
      <c r="NWD35" s="14"/>
      <c r="NWE35" s="14"/>
      <c r="NWF35" s="14"/>
      <c r="NWG35" s="14"/>
      <c r="NWH35" s="14"/>
      <c r="NWI35" s="14"/>
      <c r="NWJ35" s="14"/>
      <c r="NWK35" s="14"/>
      <c r="NWL35" s="14"/>
      <c r="NWM35" s="14"/>
      <c r="NWN35" s="14"/>
      <c r="NWO35" s="14"/>
      <c r="NWP35" s="14"/>
      <c r="NWQ35" s="14"/>
      <c r="NWR35" s="14"/>
      <c r="NWS35" s="14"/>
      <c r="NWT35" s="14"/>
      <c r="NWU35" s="14"/>
      <c r="NWV35" s="14"/>
      <c r="NWW35" s="14"/>
      <c r="NWX35" s="14"/>
      <c r="NWY35" s="14"/>
      <c r="NWZ35" s="14"/>
      <c r="NXA35" s="14"/>
      <c r="NXB35" s="14"/>
      <c r="NXC35" s="14"/>
      <c r="NXD35" s="14"/>
      <c r="NXE35" s="14"/>
      <c r="NXF35" s="14"/>
      <c r="NXG35" s="14"/>
      <c r="NXH35" s="14"/>
      <c r="NXI35" s="14"/>
      <c r="NXJ35" s="14"/>
      <c r="NXK35" s="14"/>
      <c r="NXL35" s="14"/>
      <c r="NXM35" s="14"/>
      <c r="NXN35" s="14"/>
      <c r="NXO35" s="14"/>
      <c r="NXP35" s="14"/>
      <c r="NXQ35" s="14"/>
      <c r="NXR35" s="14"/>
      <c r="NXS35" s="14"/>
      <c r="NXT35" s="14"/>
      <c r="NXU35" s="14"/>
      <c r="NXV35" s="14"/>
      <c r="NXW35" s="14"/>
      <c r="NXX35" s="14"/>
      <c r="NXY35" s="14"/>
      <c r="NXZ35" s="14"/>
      <c r="NYA35" s="14"/>
      <c r="NYB35" s="14"/>
      <c r="NYC35" s="14"/>
      <c r="NYD35" s="14"/>
      <c r="NYE35" s="14"/>
      <c r="NYF35" s="14"/>
      <c r="NYG35" s="14"/>
      <c r="NYH35" s="14"/>
      <c r="NYI35" s="14"/>
      <c r="NYJ35" s="14"/>
      <c r="NYK35" s="14"/>
      <c r="NYL35" s="14"/>
      <c r="NYM35" s="14"/>
      <c r="NYN35" s="14"/>
      <c r="NYO35" s="14"/>
      <c r="NYP35" s="14"/>
      <c r="NYQ35" s="14"/>
      <c r="NYR35" s="14"/>
      <c r="NYS35" s="14"/>
      <c r="NYT35" s="14"/>
      <c r="NYU35" s="14"/>
      <c r="NYV35" s="14"/>
      <c r="NYW35" s="14"/>
      <c r="NYX35" s="14"/>
      <c r="NYY35" s="14"/>
      <c r="NYZ35" s="14"/>
      <c r="NZA35" s="14"/>
      <c r="NZB35" s="14"/>
      <c r="NZC35" s="14"/>
      <c r="NZD35" s="14"/>
      <c r="NZE35" s="14"/>
      <c r="NZF35" s="14"/>
      <c r="NZG35" s="14"/>
      <c r="NZH35" s="14"/>
      <c r="NZI35" s="14"/>
      <c r="NZJ35" s="14"/>
      <c r="NZK35" s="14"/>
      <c r="NZL35" s="14"/>
      <c r="NZM35" s="14"/>
      <c r="NZN35" s="14"/>
      <c r="NZO35" s="14"/>
      <c r="NZP35" s="14"/>
      <c r="NZQ35" s="14"/>
      <c r="NZR35" s="14"/>
      <c r="NZS35" s="14"/>
      <c r="NZT35" s="14"/>
      <c r="NZU35" s="14"/>
      <c r="NZV35" s="14"/>
      <c r="NZW35" s="14"/>
      <c r="NZX35" s="14"/>
      <c r="NZY35" s="14"/>
      <c r="NZZ35" s="14"/>
      <c r="OAA35" s="14"/>
      <c r="OAB35" s="14"/>
      <c r="OAC35" s="14"/>
      <c r="OAD35" s="14"/>
      <c r="OAE35" s="14"/>
      <c r="OAF35" s="14"/>
      <c r="OAG35" s="14"/>
      <c r="OAH35" s="14"/>
      <c r="OAI35" s="14"/>
      <c r="OAJ35" s="14"/>
      <c r="OAK35" s="14"/>
      <c r="OAL35" s="14"/>
      <c r="OAM35" s="14"/>
      <c r="OAN35" s="14"/>
      <c r="OAO35" s="14"/>
      <c r="OAP35" s="14"/>
      <c r="OAQ35" s="14"/>
      <c r="OAR35" s="14"/>
      <c r="OAS35" s="14"/>
      <c r="OAT35" s="14"/>
      <c r="OAU35" s="14"/>
      <c r="OAV35" s="14"/>
      <c r="OAW35" s="14"/>
      <c r="OAX35" s="14"/>
      <c r="OAY35" s="14"/>
      <c r="OAZ35" s="14"/>
      <c r="OBA35" s="14"/>
      <c r="OBB35" s="14"/>
      <c r="OBC35" s="14"/>
      <c r="OBD35" s="14"/>
      <c r="OBE35" s="14"/>
      <c r="OBF35" s="14"/>
      <c r="OBG35" s="14"/>
      <c r="OBH35" s="14"/>
      <c r="OBI35" s="14"/>
      <c r="OBJ35" s="14"/>
      <c r="OBK35" s="14"/>
      <c r="OBL35" s="14"/>
      <c r="OBM35" s="14"/>
      <c r="OBN35" s="14"/>
      <c r="OBO35" s="14"/>
      <c r="OBP35" s="14"/>
      <c r="OBQ35" s="14"/>
      <c r="OBR35" s="14"/>
      <c r="OBS35" s="14"/>
      <c r="OBT35" s="14"/>
      <c r="OBU35" s="14"/>
      <c r="OBV35" s="14"/>
      <c r="OBW35" s="14"/>
      <c r="OBX35" s="14"/>
      <c r="OBY35" s="14"/>
      <c r="OBZ35" s="14"/>
      <c r="OCA35" s="14"/>
      <c r="OCB35" s="14"/>
      <c r="OCC35" s="14"/>
      <c r="OCD35" s="14"/>
      <c r="OCE35" s="14"/>
      <c r="OCF35" s="14"/>
      <c r="OCG35" s="14"/>
      <c r="OCH35" s="14"/>
      <c r="OCI35" s="14"/>
      <c r="OCJ35" s="14"/>
      <c r="OCK35" s="14"/>
      <c r="OCL35" s="14"/>
      <c r="OCM35" s="14"/>
      <c r="OCN35" s="14"/>
      <c r="OCO35" s="14"/>
      <c r="OCP35" s="14"/>
      <c r="OCQ35" s="14"/>
      <c r="OCR35" s="14"/>
      <c r="OCS35" s="14"/>
      <c r="OCT35" s="14"/>
      <c r="OCU35" s="14"/>
      <c r="OCV35" s="14"/>
      <c r="OCW35" s="14"/>
      <c r="OCX35" s="14"/>
      <c r="OCY35" s="14"/>
      <c r="OCZ35" s="14"/>
      <c r="ODA35" s="14"/>
      <c r="ODB35" s="14"/>
      <c r="ODC35" s="14"/>
      <c r="ODD35" s="14"/>
      <c r="ODE35" s="14"/>
      <c r="ODF35" s="14"/>
      <c r="ODG35" s="14"/>
      <c r="ODH35" s="14"/>
      <c r="ODI35" s="14"/>
      <c r="ODJ35" s="14"/>
      <c r="ODK35" s="14"/>
      <c r="ODL35" s="14"/>
      <c r="ODM35" s="14"/>
      <c r="ODN35" s="14"/>
      <c r="ODO35" s="14"/>
      <c r="ODP35" s="14"/>
      <c r="ODQ35" s="14"/>
      <c r="ODR35" s="14"/>
      <c r="ODS35" s="14"/>
      <c r="ODT35" s="14"/>
      <c r="ODU35" s="14"/>
      <c r="ODV35" s="14"/>
      <c r="ODW35" s="14"/>
      <c r="ODX35" s="14"/>
      <c r="ODY35" s="14"/>
      <c r="ODZ35" s="14"/>
      <c r="OEA35" s="14"/>
      <c r="OEB35" s="14"/>
      <c r="OEC35" s="14"/>
      <c r="OED35" s="14"/>
      <c r="OEE35" s="14"/>
      <c r="OEF35" s="14"/>
      <c r="OEG35" s="14"/>
      <c r="OEH35" s="14"/>
      <c r="OEI35" s="14"/>
      <c r="OEJ35" s="14"/>
      <c r="OEK35" s="14"/>
      <c r="OEL35" s="14"/>
      <c r="OEM35" s="14"/>
      <c r="OEN35" s="14"/>
      <c r="OEO35" s="14"/>
      <c r="OEP35" s="14"/>
      <c r="OEQ35" s="14"/>
      <c r="OER35" s="14"/>
      <c r="OES35" s="14"/>
      <c r="OET35" s="14"/>
      <c r="OEU35" s="14"/>
      <c r="OEV35" s="14"/>
      <c r="OEW35" s="14"/>
      <c r="OEX35" s="14"/>
      <c r="OEY35" s="14"/>
      <c r="OEZ35" s="14"/>
      <c r="OFA35" s="14"/>
      <c r="OFB35" s="14"/>
      <c r="OFC35" s="14"/>
      <c r="OFD35" s="14"/>
      <c r="OFE35" s="14"/>
      <c r="OFF35" s="14"/>
      <c r="OFG35" s="14"/>
      <c r="OFH35" s="14"/>
      <c r="OFI35" s="14"/>
      <c r="OFJ35" s="14"/>
      <c r="OFK35" s="14"/>
      <c r="OFL35" s="14"/>
      <c r="OFM35" s="14"/>
      <c r="OFN35" s="14"/>
      <c r="OFO35" s="14"/>
      <c r="OFP35" s="14"/>
      <c r="OFQ35" s="14"/>
      <c r="OFR35" s="14"/>
      <c r="OFS35" s="14"/>
      <c r="OFT35" s="14"/>
      <c r="OFU35" s="14"/>
      <c r="OFV35" s="14"/>
      <c r="OFW35" s="14"/>
      <c r="OFX35" s="14"/>
      <c r="OFY35" s="14"/>
      <c r="OFZ35" s="14"/>
      <c r="OGA35" s="14"/>
      <c r="OGB35" s="14"/>
      <c r="OGC35" s="14"/>
      <c r="OGD35" s="14"/>
      <c r="OGE35" s="14"/>
      <c r="OGF35" s="14"/>
      <c r="OGG35" s="14"/>
      <c r="OGH35" s="14"/>
      <c r="OGI35" s="14"/>
      <c r="OGJ35" s="14"/>
      <c r="OGK35" s="14"/>
      <c r="OGL35" s="14"/>
      <c r="OGM35" s="14"/>
      <c r="OGN35" s="14"/>
      <c r="OGO35" s="14"/>
      <c r="OGP35" s="14"/>
      <c r="OGQ35" s="14"/>
      <c r="OGR35" s="14"/>
      <c r="OGS35" s="14"/>
      <c r="OGT35" s="14"/>
      <c r="OGU35" s="14"/>
      <c r="OGV35" s="14"/>
      <c r="OGW35" s="14"/>
      <c r="OGX35" s="14"/>
      <c r="OGY35" s="14"/>
      <c r="OGZ35" s="14"/>
      <c r="OHA35" s="14"/>
      <c r="OHB35" s="14"/>
      <c r="OHC35" s="14"/>
      <c r="OHD35" s="14"/>
      <c r="OHE35" s="14"/>
      <c r="OHF35" s="14"/>
      <c r="OHG35" s="14"/>
      <c r="OHH35" s="14"/>
      <c r="OHI35" s="14"/>
      <c r="OHJ35" s="14"/>
      <c r="OHK35" s="14"/>
      <c r="OHL35" s="14"/>
      <c r="OHM35" s="14"/>
      <c r="OHN35" s="14"/>
      <c r="OHO35" s="14"/>
      <c r="OHP35" s="14"/>
      <c r="OHQ35" s="14"/>
      <c r="OHR35" s="14"/>
      <c r="OHS35" s="14"/>
      <c r="OHT35" s="14"/>
      <c r="OHU35" s="14"/>
      <c r="OHV35" s="14"/>
      <c r="OHW35" s="14"/>
      <c r="OHX35" s="14"/>
      <c r="OHY35" s="14"/>
      <c r="OHZ35" s="14"/>
      <c r="OIA35" s="14"/>
      <c r="OIB35" s="14"/>
      <c r="OIC35" s="14"/>
      <c r="OID35" s="14"/>
      <c r="OIE35" s="14"/>
      <c r="OIF35" s="14"/>
      <c r="OIG35" s="14"/>
      <c r="OIH35" s="14"/>
      <c r="OII35" s="14"/>
      <c r="OIJ35" s="14"/>
      <c r="OIK35" s="14"/>
      <c r="OIL35" s="14"/>
      <c r="OIM35" s="14"/>
      <c r="OIN35" s="14"/>
      <c r="OIO35" s="14"/>
      <c r="OIP35" s="14"/>
      <c r="OIQ35" s="14"/>
      <c r="OIR35" s="14"/>
      <c r="OIS35" s="14"/>
      <c r="OIT35" s="14"/>
      <c r="OIU35" s="14"/>
      <c r="OIV35" s="14"/>
      <c r="OIW35" s="14"/>
      <c r="OIX35" s="14"/>
      <c r="OIY35" s="14"/>
      <c r="OIZ35" s="14"/>
      <c r="OJA35" s="14"/>
      <c r="OJB35" s="14"/>
      <c r="OJC35" s="14"/>
      <c r="OJD35" s="14"/>
      <c r="OJE35" s="14"/>
      <c r="OJF35" s="14"/>
      <c r="OJG35" s="14"/>
      <c r="OJH35" s="14"/>
      <c r="OJI35" s="14"/>
      <c r="OJJ35" s="14"/>
      <c r="OJK35" s="14"/>
      <c r="OJL35" s="14"/>
      <c r="OJM35" s="14"/>
      <c r="OJN35" s="14"/>
      <c r="OJO35" s="14"/>
      <c r="OJP35" s="14"/>
      <c r="OJQ35" s="14"/>
      <c r="OJR35" s="14"/>
      <c r="OJS35" s="14"/>
      <c r="OJT35" s="14"/>
      <c r="OJU35" s="14"/>
      <c r="OJV35" s="14"/>
      <c r="OJW35" s="14"/>
      <c r="OJX35" s="14"/>
      <c r="OJY35" s="14"/>
      <c r="OJZ35" s="14"/>
      <c r="OKA35" s="14"/>
      <c r="OKB35" s="14"/>
      <c r="OKC35" s="14"/>
      <c r="OKD35" s="14"/>
      <c r="OKE35" s="14"/>
      <c r="OKF35" s="14"/>
      <c r="OKG35" s="14"/>
      <c r="OKH35" s="14"/>
      <c r="OKI35" s="14"/>
      <c r="OKJ35" s="14"/>
      <c r="OKK35" s="14"/>
      <c r="OKL35" s="14"/>
      <c r="OKM35" s="14"/>
      <c r="OKN35" s="14"/>
      <c r="OKO35" s="14"/>
      <c r="OKP35" s="14"/>
      <c r="OKQ35" s="14"/>
      <c r="OKR35" s="14"/>
      <c r="OKS35" s="14"/>
      <c r="OKT35" s="14"/>
      <c r="OKU35" s="14"/>
      <c r="OKV35" s="14"/>
      <c r="OKW35" s="14"/>
      <c r="OKX35" s="14"/>
      <c r="OKY35" s="14"/>
      <c r="OKZ35" s="14"/>
      <c r="OLA35" s="14"/>
      <c r="OLB35" s="14"/>
      <c r="OLC35" s="14"/>
      <c r="OLD35" s="14"/>
      <c r="OLE35" s="14"/>
      <c r="OLF35" s="14"/>
      <c r="OLG35" s="14"/>
      <c r="OLH35" s="14"/>
      <c r="OLI35" s="14"/>
      <c r="OLJ35" s="14"/>
      <c r="OLK35" s="14"/>
      <c r="OLL35" s="14"/>
      <c r="OLM35" s="14"/>
      <c r="OLN35" s="14"/>
      <c r="OLO35" s="14"/>
      <c r="OLP35" s="14"/>
      <c r="OLQ35" s="14"/>
      <c r="OLR35" s="14"/>
      <c r="OLS35" s="14"/>
      <c r="OLT35" s="14"/>
      <c r="OLU35" s="14"/>
      <c r="OLV35" s="14"/>
      <c r="OLW35" s="14"/>
      <c r="OLX35" s="14"/>
      <c r="OLY35" s="14"/>
      <c r="OLZ35" s="14"/>
      <c r="OMA35" s="14"/>
      <c r="OMB35" s="14"/>
      <c r="OMC35" s="14"/>
      <c r="OMD35" s="14"/>
      <c r="OME35" s="14"/>
      <c r="OMF35" s="14"/>
      <c r="OMG35" s="14"/>
      <c r="OMH35" s="14"/>
      <c r="OMI35" s="14"/>
      <c r="OMJ35" s="14"/>
      <c r="OMK35" s="14"/>
      <c r="OML35" s="14"/>
      <c r="OMM35" s="14"/>
      <c r="OMN35" s="14"/>
      <c r="OMO35" s="14"/>
      <c r="OMP35" s="14"/>
      <c r="OMQ35" s="14"/>
      <c r="OMR35" s="14"/>
      <c r="OMS35" s="14"/>
      <c r="OMT35" s="14"/>
      <c r="OMU35" s="14"/>
      <c r="OMV35" s="14"/>
      <c r="OMW35" s="14"/>
      <c r="OMX35" s="14"/>
      <c r="OMY35" s="14"/>
      <c r="OMZ35" s="14"/>
      <c r="ONA35" s="14"/>
      <c r="ONB35" s="14"/>
      <c r="ONC35" s="14"/>
      <c r="OND35" s="14"/>
      <c r="ONE35" s="14"/>
      <c r="ONF35" s="14"/>
      <c r="ONG35" s="14"/>
      <c r="ONH35" s="14"/>
      <c r="ONI35" s="14"/>
      <c r="ONJ35" s="14"/>
      <c r="ONK35" s="14"/>
      <c r="ONL35" s="14"/>
      <c r="ONM35" s="14"/>
      <c r="ONN35" s="14"/>
      <c r="ONO35" s="14"/>
      <c r="ONP35" s="14"/>
      <c r="ONQ35" s="14"/>
      <c r="ONR35" s="14"/>
      <c r="ONS35" s="14"/>
      <c r="ONT35" s="14"/>
      <c r="ONU35" s="14"/>
      <c r="ONV35" s="14"/>
      <c r="ONW35" s="14"/>
      <c r="ONX35" s="14"/>
      <c r="ONY35" s="14"/>
      <c r="ONZ35" s="14"/>
      <c r="OOA35" s="14"/>
      <c r="OOB35" s="14"/>
      <c r="OOC35" s="14"/>
      <c r="OOD35" s="14"/>
      <c r="OOE35" s="14"/>
      <c r="OOF35" s="14"/>
      <c r="OOG35" s="14"/>
      <c r="OOH35" s="14"/>
      <c r="OOI35" s="14"/>
      <c r="OOJ35" s="14"/>
      <c r="OOK35" s="14"/>
      <c r="OOL35" s="14"/>
      <c r="OOM35" s="14"/>
      <c r="OON35" s="14"/>
      <c r="OOO35" s="14"/>
      <c r="OOP35" s="14"/>
      <c r="OOQ35" s="14"/>
      <c r="OOR35" s="14"/>
      <c r="OOS35" s="14"/>
      <c r="OOT35" s="14"/>
      <c r="OOU35" s="14"/>
      <c r="OOV35" s="14"/>
      <c r="OOW35" s="14"/>
      <c r="OOX35" s="14"/>
      <c r="OOY35" s="14"/>
      <c r="OOZ35" s="14"/>
      <c r="OPA35" s="14"/>
      <c r="OPB35" s="14"/>
      <c r="OPC35" s="14"/>
      <c r="OPD35" s="14"/>
      <c r="OPE35" s="14"/>
      <c r="OPF35" s="14"/>
      <c r="OPG35" s="14"/>
      <c r="OPH35" s="14"/>
      <c r="OPI35" s="14"/>
      <c r="OPJ35" s="14"/>
      <c r="OPK35" s="14"/>
      <c r="OPL35" s="14"/>
      <c r="OPM35" s="14"/>
      <c r="OPN35" s="14"/>
      <c r="OPO35" s="14"/>
      <c r="OPP35" s="14"/>
      <c r="OPQ35" s="14"/>
      <c r="OPR35" s="14"/>
      <c r="OPS35" s="14"/>
      <c r="OPT35" s="14"/>
      <c r="OPU35" s="14"/>
      <c r="OPV35" s="14"/>
      <c r="OPW35" s="14"/>
      <c r="OPX35" s="14"/>
      <c r="OPY35" s="14"/>
      <c r="OPZ35" s="14"/>
      <c r="OQA35" s="14"/>
      <c r="OQB35" s="14"/>
      <c r="OQC35" s="14"/>
      <c r="OQD35" s="14"/>
      <c r="OQE35" s="14"/>
      <c r="OQF35" s="14"/>
      <c r="OQG35" s="14"/>
      <c r="OQH35" s="14"/>
      <c r="OQI35" s="14"/>
      <c r="OQJ35" s="14"/>
      <c r="OQK35" s="14"/>
      <c r="OQL35" s="14"/>
      <c r="OQM35" s="14"/>
      <c r="OQN35" s="14"/>
      <c r="OQO35" s="14"/>
      <c r="OQP35" s="14"/>
      <c r="OQQ35" s="14"/>
      <c r="OQR35" s="14"/>
      <c r="OQS35" s="14"/>
      <c r="OQT35" s="14"/>
      <c r="OQU35" s="14"/>
      <c r="OQV35" s="14"/>
      <c r="OQW35" s="14"/>
      <c r="OQX35" s="14"/>
      <c r="OQY35" s="14"/>
      <c r="OQZ35" s="14"/>
      <c r="ORA35" s="14"/>
      <c r="ORB35" s="14"/>
      <c r="ORC35" s="14"/>
      <c r="ORD35" s="14"/>
      <c r="ORE35" s="14"/>
      <c r="ORF35" s="14"/>
      <c r="ORG35" s="14"/>
      <c r="ORH35" s="14"/>
      <c r="ORI35" s="14"/>
      <c r="ORJ35" s="14"/>
      <c r="ORK35" s="14"/>
      <c r="ORL35" s="14"/>
      <c r="ORM35" s="14"/>
      <c r="ORN35" s="14"/>
      <c r="ORO35" s="14"/>
      <c r="ORP35" s="14"/>
      <c r="ORQ35" s="14"/>
      <c r="ORR35" s="14"/>
      <c r="ORS35" s="14"/>
      <c r="ORT35" s="14"/>
      <c r="ORU35" s="14"/>
      <c r="ORV35" s="14"/>
      <c r="ORW35" s="14"/>
      <c r="ORX35" s="14"/>
      <c r="ORY35" s="14"/>
      <c r="ORZ35" s="14"/>
      <c r="OSA35" s="14"/>
      <c r="OSB35" s="14"/>
      <c r="OSC35" s="14"/>
      <c r="OSD35" s="14"/>
      <c r="OSE35" s="14"/>
      <c r="OSF35" s="14"/>
      <c r="OSG35" s="14"/>
      <c r="OSH35" s="14"/>
      <c r="OSI35" s="14"/>
      <c r="OSJ35" s="14"/>
      <c r="OSK35" s="14"/>
      <c r="OSL35" s="14"/>
      <c r="OSM35" s="14"/>
      <c r="OSN35" s="14"/>
      <c r="OSO35" s="14"/>
      <c r="OSP35" s="14"/>
      <c r="OSQ35" s="14"/>
      <c r="OSR35" s="14"/>
      <c r="OSS35" s="14"/>
      <c r="OST35" s="14"/>
      <c r="OSU35" s="14"/>
      <c r="OSV35" s="14"/>
      <c r="OSW35" s="14"/>
      <c r="OSX35" s="14"/>
      <c r="OSY35" s="14"/>
      <c r="OSZ35" s="14"/>
      <c r="OTA35" s="14"/>
      <c r="OTB35" s="14"/>
      <c r="OTC35" s="14"/>
      <c r="OTD35" s="14"/>
      <c r="OTE35" s="14"/>
      <c r="OTF35" s="14"/>
      <c r="OTG35" s="14"/>
      <c r="OTH35" s="14"/>
      <c r="OTI35" s="14"/>
      <c r="OTJ35" s="14"/>
      <c r="OTK35" s="14"/>
      <c r="OTL35" s="14"/>
      <c r="OTM35" s="14"/>
      <c r="OTN35" s="14"/>
      <c r="OTO35" s="14"/>
      <c r="OTP35" s="14"/>
      <c r="OTQ35" s="14"/>
      <c r="OTR35" s="14"/>
      <c r="OTS35" s="14"/>
      <c r="OTT35" s="14"/>
      <c r="OTU35" s="14"/>
      <c r="OTV35" s="14"/>
      <c r="OTW35" s="14"/>
      <c r="OTX35" s="14"/>
      <c r="OTY35" s="14"/>
      <c r="OTZ35" s="14"/>
      <c r="OUA35" s="14"/>
      <c r="OUB35" s="14"/>
      <c r="OUC35" s="14"/>
      <c r="OUD35" s="14"/>
      <c r="OUE35" s="14"/>
      <c r="OUF35" s="14"/>
      <c r="OUG35" s="14"/>
      <c r="OUH35" s="14"/>
      <c r="OUI35" s="14"/>
      <c r="OUJ35" s="14"/>
      <c r="OUK35" s="14"/>
      <c r="OUL35" s="14"/>
      <c r="OUM35" s="14"/>
      <c r="OUN35" s="14"/>
      <c r="OUO35" s="14"/>
      <c r="OUP35" s="14"/>
      <c r="OUQ35" s="14"/>
      <c r="OUR35" s="14"/>
      <c r="OUS35" s="14"/>
      <c r="OUT35" s="14"/>
      <c r="OUU35" s="14"/>
      <c r="OUV35" s="14"/>
      <c r="OUW35" s="14"/>
      <c r="OUX35" s="14"/>
      <c r="OUY35" s="14"/>
      <c r="OUZ35" s="14"/>
      <c r="OVA35" s="14"/>
      <c r="OVB35" s="14"/>
      <c r="OVC35" s="14"/>
      <c r="OVD35" s="14"/>
      <c r="OVE35" s="14"/>
      <c r="OVF35" s="14"/>
      <c r="OVG35" s="14"/>
      <c r="OVH35" s="14"/>
      <c r="OVI35" s="14"/>
      <c r="OVJ35" s="14"/>
      <c r="OVK35" s="14"/>
      <c r="OVL35" s="14"/>
      <c r="OVM35" s="14"/>
      <c r="OVN35" s="14"/>
      <c r="OVO35" s="14"/>
      <c r="OVP35" s="14"/>
      <c r="OVQ35" s="14"/>
      <c r="OVR35" s="14"/>
      <c r="OVS35" s="14"/>
      <c r="OVT35" s="14"/>
      <c r="OVU35" s="14"/>
      <c r="OVV35" s="14"/>
      <c r="OVW35" s="14"/>
      <c r="OVX35" s="14"/>
      <c r="OVY35" s="14"/>
      <c r="OVZ35" s="14"/>
      <c r="OWA35" s="14"/>
      <c r="OWB35" s="14"/>
      <c r="OWC35" s="14"/>
      <c r="OWD35" s="14"/>
      <c r="OWE35" s="14"/>
      <c r="OWF35" s="14"/>
      <c r="OWG35" s="14"/>
      <c r="OWH35" s="14"/>
      <c r="OWI35" s="14"/>
      <c r="OWJ35" s="14"/>
      <c r="OWK35" s="14"/>
      <c r="OWL35" s="14"/>
      <c r="OWM35" s="14"/>
      <c r="OWN35" s="14"/>
      <c r="OWO35" s="14"/>
      <c r="OWP35" s="14"/>
      <c r="OWQ35" s="14"/>
      <c r="OWR35" s="14"/>
      <c r="OWS35" s="14"/>
      <c r="OWT35" s="14"/>
      <c r="OWU35" s="14"/>
      <c r="OWV35" s="14"/>
      <c r="OWW35" s="14"/>
      <c r="OWX35" s="14"/>
      <c r="OWY35" s="14"/>
      <c r="OWZ35" s="14"/>
      <c r="OXA35" s="14"/>
      <c r="OXB35" s="14"/>
      <c r="OXC35" s="14"/>
      <c r="OXD35" s="14"/>
      <c r="OXE35" s="14"/>
      <c r="OXF35" s="14"/>
      <c r="OXG35" s="14"/>
      <c r="OXH35" s="14"/>
      <c r="OXI35" s="14"/>
      <c r="OXJ35" s="14"/>
      <c r="OXK35" s="14"/>
      <c r="OXL35" s="14"/>
      <c r="OXM35" s="14"/>
      <c r="OXN35" s="14"/>
      <c r="OXO35" s="14"/>
      <c r="OXP35" s="14"/>
      <c r="OXQ35" s="14"/>
      <c r="OXR35" s="14"/>
      <c r="OXS35" s="14"/>
      <c r="OXT35" s="14"/>
      <c r="OXU35" s="14"/>
      <c r="OXV35" s="14"/>
      <c r="OXW35" s="14"/>
      <c r="OXX35" s="14"/>
      <c r="OXY35" s="14"/>
      <c r="OXZ35" s="14"/>
      <c r="OYA35" s="14"/>
      <c r="OYB35" s="14"/>
      <c r="OYC35" s="14"/>
      <c r="OYD35" s="14"/>
      <c r="OYE35" s="14"/>
      <c r="OYF35" s="14"/>
      <c r="OYG35" s="14"/>
      <c r="OYH35" s="14"/>
      <c r="OYI35" s="14"/>
      <c r="OYJ35" s="14"/>
      <c r="OYK35" s="14"/>
      <c r="OYL35" s="14"/>
      <c r="OYM35" s="14"/>
      <c r="OYN35" s="14"/>
      <c r="OYO35" s="14"/>
      <c r="OYP35" s="14"/>
      <c r="OYQ35" s="14"/>
      <c r="OYR35" s="14"/>
      <c r="OYS35" s="14"/>
      <c r="OYT35" s="14"/>
      <c r="OYU35" s="14"/>
      <c r="OYV35" s="14"/>
      <c r="OYW35" s="14"/>
      <c r="OYX35" s="14"/>
      <c r="OYY35" s="14"/>
      <c r="OYZ35" s="14"/>
      <c r="OZA35" s="14"/>
      <c r="OZB35" s="14"/>
      <c r="OZC35" s="14"/>
      <c r="OZD35" s="14"/>
      <c r="OZE35" s="14"/>
      <c r="OZF35" s="14"/>
      <c r="OZG35" s="14"/>
      <c r="OZH35" s="14"/>
      <c r="OZI35" s="14"/>
      <c r="OZJ35" s="14"/>
      <c r="OZK35" s="14"/>
      <c r="OZL35" s="14"/>
      <c r="OZM35" s="14"/>
      <c r="OZN35" s="14"/>
      <c r="OZO35" s="14"/>
      <c r="OZP35" s="14"/>
      <c r="OZQ35" s="14"/>
      <c r="OZR35" s="14"/>
      <c r="OZS35" s="14"/>
      <c r="OZT35" s="14"/>
      <c r="OZU35" s="14"/>
      <c r="OZV35" s="14"/>
      <c r="OZW35" s="14"/>
      <c r="OZX35" s="14"/>
      <c r="OZY35" s="14"/>
      <c r="OZZ35" s="14"/>
      <c r="PAA35" s="14"/>
      <c r="PAB35" s="14"/>
      <c r="PAC35" s="14"/>
      <c r="PAD35" s="14"/>
      <c r="PAE35" s="14"/>
      <c r="PAF35" s="14"/>
      <c r="PAG35" s="14"/>
      <c r="PAH35" s="14"/>
      <c r="PAI35" s="14"/>
      <c r="PAJ35" s="14"/>
      <c r="PAK35" s="14"/>
      <c r="PAL35" s="14"/>
      <c r="PAM35" s="14"/>
      <c r="PAN35" s="14"/>
      <c r="PAO35" s="14"/>
      <c r="PAP35" s="14"/>
      <c r="PAQ35" s="14"/>
      <c r="PAR35" s="14"/>
      <c r="PAS35" s="14"/>
      <c r="PAT35" s="14"/>
      <c r="PAU35" s="14"/>
      <c r="PAV35" s="14"/>
      <c r="PAW35" s="14"/>
      <c r="PAX35" s="14"/>
      <c r="PAY35" s="14"/>
      <c r="PAZ35" s="14"/>
      <c r="PBA35" s="14"/>
      <c r="PBB35" s="14"/>
      <c r="PBC35" s="14"/>
      <c r="PBD35" s="14"/>
      <c r="PBE35" s="14"/>
      <c r="PBF35" s="14"/>
      <c r="PBG35" s="14"/>
      <c r="PBH35" s="14"/>
      <c r="PBI35" s="14"/>
      <c r="PBJ35" s="14"/>
      <c r="PBK35" s="14"/>
      <c r="PBL35" s="14"/>
      <c r="PBM35" s="14"/>
      <c r="PBN35" s="14"/>
      <c r="PBO35" s="14"/>
      <c r="PBP35" s="14"/>
      <c r="PBQ35" s="14"/>
      <c r="PBR35" s="14"/>
      <c r="PBS35" s="14"/>
      <c r="PBT35" s="14"/>
      <c r="PBU35" s="14"/>
      <c r="PBV35" s="14"/>
      <c r="PBW35" s="14"/>
      <c r="PBX35" s="14"/>
      <c r="PBY35" s="14"/>
      <c r="PBZ35" s="14"/>
      <c r="PCA35" s="14"/>
      <c r="PCB35" s="14"/>
      <c r="PCC35" s="14"/>
      <c r="PCD35" s="14"/>
      <c r="PCE35" s="14"/>
      <c r="PCF35" s="14"/>
      <c r="PCG35" s="14"/>
      <c r="PCH35" s="14"/>
      <c r="PCI35" s="14"/>
      <c r="PCJ35" s="14"/>
      <c r="PCK35" s="14"/>
      <c r="PCL35" s="14"/>
      <c r="PCM35" s="14"/>
      <c r="PCN35" s="14"/>
      <c r="PCO35" s="14"/>
      <c r="PCP35" s="14"/>
      <c r="PCQ35" s="14"/>
      <c r="PCR35" s="14"/>
      <c r="PCS35" s="14"/>
      <c r="PCT35" s="14"/>
      <c r="PCU35" s="14"/>
      <c r="PCV35" s="14"/>
      <c r="PCW35" s="14"/>
      <c r="PCX35" s="14"/>
      <c r="PCY35" s="14"/>
      <c r="PCZ35" s="14"/>
      <c r="PDA35" s="14"/>
      <c r="PDB35" s="14"/>
      <c r="PDC35" s="14"/>
      <c r="PDD35" s="14"/>
      <c r="PDE35" s="14"/>
      <c r="PDF35" s="14"/>
      <c r="PDG35" s="14"/>
      <c r="PDH35" s="14"/>
      <c r="PDI35" s="14"/>
      <c r="PDJ35" s="14"/>
      <c r="PDK35" s="14"/>
      <c r="PDL35" s="14"/>
      <c r="PDM35" s="14"/>
      <c r="PDN35" s="14"/>
      <c r="PDO35" s="14"/>
      <c r="PDP35" s="14"/>
      <c r="PDQ35" s="14"/>
      <c r="PDR35" s="14"/>
      <c r="PDS35" s="14"/>
      <c r="PDT35" s="14"/>
      <c r="PDU35" s="14"/>
      <c r="PDV35" s="14"/>
      <c r="PDW35" s="14"/>
      <c r="PDX35" s="14"/>
      <c r="PDY35" s="14"/>
      <c r="PDZ35" s="14"/>
      <c r="PEA35" s="14"/>
      <c r="PEB35" s="14"/>
      <c r="PEC35" s="14"/>
      <c r="PED35" s="14"/>
      <c r="PEE35" s="14"/>
      <c r="PEF35" s="14"/>
      <c r="PEG35" s="14"/>
      <c r="PEH35" s="14"/>
      <c r="PEI35" s="14"/>
      <c r="PEJ35" s="14"/>
      <c r="PEK35" s="14"/>
      <c r="PEL35" s="14"/>
      <c r="PEM35" s="14"/>
      <c r="PEN35" s="14"/>
      <c r="PEO35" s="14"/>
      <c r="PEP35" s="14"/>
      <c r="PEQ35" s="14"/>
      <c r="PER35" s="14"/>
      <c r="PES35" s="14"/>
      <c r="PET35" s="14"/>
      <c r="PEU35" s="14"/>
      <c r="PEV35" s="14"/>
      <c r="PEW35" s="14"/>
      <c r="PEX35" s="14"/>
      <c r="PEY35" s="14"/>
      <c r="PEZ35" s="14"/>
      <c r="PFA35" s="14"/>
      <c r="PFB35" s="14"/>
      <c r="PFC35" s="14"/>
      <c r="PFD35" s="14"/>
      <c r="PFE35" s="14"/>
      <c r="PFF35" s="14"/>
      <c r="PFG35" s="14"/>
      <c r="PFH35" s="14"/>
      <c r="PFI35" s="14"/>
      <c r="PFJ35" s="14"/>
      <c r="PFK35" s="14"/>
      <c r="PFL35" s="14"/>
      <c r="PFM35" s="14"/>
      <c r="PFN35" s="14"/>
      <c r="PFO35" s="14"/>
      <c r="PFP35" s="14"/>
      <c r="PFQ35" s="14"/>
      <c r="PFR35" s="14"/>
      <c r="PFS35" s="14"/>
      <c r="PFT35" s="14"/>
      <c r="PFU35" s="14"/>
      <c r="PFV35" s="14"/>
      <c r="PFW35" s="14"/>
      <c r="PFX35" s="14"/>
      <c r="PFY35" s="14"/>
      <c r="PFZ35" s="14"/>
      <c r="PGA35" s="14"/>
      <c r="PGB35" s="14"/>
      <c r="PGC35" s="14"/>
      <c r="PGD35" s="14"/>
      <c r="PGE35" s="14"/>
      <c r="PGF35" s="14"/>
      <c r="PGG35" s="14"/>
      <c r="PGH35" s="14"/>
      <c r="PGI35" s="14"/>
      <c r="PGJ35" s="14"/>
      <c r="PGK35" s="14"/>
      <c r="PGL35" s="14"/>
      <c r="PGM35" s="14"/>
      <c r="PGN35" s="14"/>
      <c r="PGO35" s="14"/>
      <c r="PGP35" s="14"/>
      <c r="PGQ35" s="14"/>
      <c r="PGR35" s="14"/>
      <c r="PGS35" s="14"/>
      <c r="PGT35" s="14"/>
      <c r="PGU35" s="14"/>
      <c r="PGV35" s="14"/>
      <c r="PGW35" s="14"/>
      <c r="PGX35" s="14"/>
      <c r="PGY35" s="14"/>
      <c r="PGZ35" s="14"/>
      <c r="PHA35" s="14"/>
      <c r="PHB35" s="14"/>
      <c r="PHC35" s="14"/>
      <c r="PHD35" s="14"/>
      <c r="PHE35" s="14"/>
      <c r="PHF35" s="14"/>
      <c r="PHG35" s="14"/>
      <c r="PHH35" s="14"/>
      <c r="PHI35" s="14"/>
      <c r="PHJ35" s="14"/>
      <c r="PHK35" s="14"/>
      <c r="PHL35" s="14"/>
      <c r="PHM35" s="14"/>
      <c r="PHN35" s="14"/>
      <c r="PHO35" s="14"/>
      <c r="PHP35" s="14"/>
      <c r="PHQ35" s="14"/>
      <c r="PHR35" s="14"/>
      <c r="PHS35" s="14"/>
      <c r="PHT35" s="14"/>
      <c r="PHU35" s="14"/>
      <c r="PHV35" s="14"/>
      <c r="PHW35" s="14"/>
      <c r="PHX35" s="14"/>
      <c r="PHY35" s="14"/>
      <c r="PHZ35" s="14"/>
      <c r="PIA35" s="14"/>
      <c r="PIB35" s="14"/>
      <c r="PIC35" s="14"/>
      <c r="PID35" s="14"/>
      <c r="PIE35" s="14"/>
      <c r="PIF35" s="14"/>
      <c r="PIG35" s="14"/>
      <c r="PIH35" s="14"/>
      <c r="PII35" s="14"/>
      <c r="PIJ35" s="14"/>
      <c r="PIK35" s="14"/>
      <c r="PIL35" s="14"/>
      <c r="PIM35" s="14"/>
      <c r="PIN35" s="14"/>
      <c r="PIO35" s="14"/>
      <c r="PIP35" s="14"/>
      <c r="PIQ35" s="14"/>
      <c r="PIR35" s="14"/>
      <c r="PIS35" s="14"/>
      <c r="PIT35" s="14"/>
      <c r="PIU35" s="14"/>
      <c r="PIV35" s="14"/>
      <c r="PIW35" s="14"/>
      <c r="PIX35" s="14"/>
      <c r="PIY35" s="14"/>
      <c r="PIZ35" s="14"/>
      <c r="PJA35" s="14"/>
      <c r="PJB35" s="14"/>
      <c r="PJC35" s="14"/>
      <c r="PJD35" s="14"/>
      <c r="PJE35" s="14"/>
      <c r="PJF35" s="14"/>
      <c r="PJG35" s="14"/>
      <c r="PJH35" s="14"/>
      <c r="PJI35" s="14"/>
      <c r="PJJ35" s="14"/>
      <c r="PJK35" s="14"/>
      <c r="PJL35" s="14"/>
      <c r="PJM35" s="14"/>
      <c r="PJN35" s="14"/>
      <c r="PJO35" s="14"/>
      <c r="PJP35" s="14"/>
      <c r="PJQ35" s="14"/>
      <c r="PJR35" s="14"/>
      <c r="PJS35" s="14"/>
      <c r="PJT35" s="14"/>
      <c r="PJU35" s="14"/>
      <c r="PJV35" s="14"/>
      <c r="PJW35" s="14"/>
      <c r="PJX35" s="14"/>
      <c r="PJY35" s="14"/>
      <c r="PJZ35" s="14"/>
      <c r="PKA35" s="14"/>
      <c r="PKB35" s="14"/>
      <c r="PKC35" s="14"/>
      <c r="PKD35" s="14"/>
      <c r="PKE35" s="14"/>
      <c r="PKF35" s="14"/>
      <c r="PKG35" s="14"/>
      <c r="PKH35" s="14"/>
      <c r="PKI35" s="14"/>
      <c r="PKJ35" s="14"/>
      <c r="PKK35" s="14"/>
      <c r="PKL35" s="14"/>
      <c r="PKM35" s="14"/>
      <c r="PKN35" s="14"/>
      <c r="PKO35" s="14"/>
      <c r="PKP35" s="14"/>
      <c r="PKQ35" s="14"/>
      <c r="PKR35" s="14"/>
      <c r="PKS35" s="14"/>
      <c r="PKT35" s="14"/>
      <c r="PKU35" s="14"/>
      <c r="PKV35" s="14"/>
      <c r="PKW35" s="14"/>
      <c r="PKX35" s="14"/>
      <c r="PKY35" s="14"/>
      <c r="PKZ35" s="14"/>
      <c r="PLA35" s="14"/>
      <c r="PLB35" s="14"/>
      <c r="PLC35" s="14"/>
      <c r="PLD35" s="14"/>
      <c r="PLE35" s="14"/>
      <c r="PLF35" s="14"/>
      <c r="PLG35" s="14"/>
      <c r="PLH35" s="14"/>
      <c r="PLI35" s="14"/>
      <c r="PLJ35" s="14"/>
      <c r="PLK35" s="14"/>
      <c r="PLL35" s="14"/>
      <c r="PLM35" s="14"/>
      <c r="PLN35" s="14"/>
      <c r="PLO35" s="14"/>
      <c r="PLP35" s="14"/>
      <c r="PLQ35" s="14"/>
      <c r="PLR35" s="14"/>
      <c r="PLS35" s="14"/>
      <c r="PLT35" s="14"/>
      <c r="PLU35" s="14"/>
      <c r="PLV35" s="14"/>
      <c r="PLW35" s="14"/>
      <c r="PLX35" s="14"/>
      <c r="PLY35" s="14"/>
      <c r="PLZ35" s="14"/>
      <c r="PMA35" s="14"/>
      <c r="PMB35" s="14"/>
      <c r="PMC35" s="14"/>
      <c r="PMD35" s="14"/>
      <c r="PME35" s="14"/>
      <c r="PMF35" s="14"/>
      <c r="PMG35" s="14"/>
      <c r="PMH35" s="14"/>
      <c r="PMI35" s="14"/>
      <c r="PMJ35" s="14"/>
      <c r="PMK35" s="14"/>
      <c r="PML35" s="14"/>
      <c r="PMM35" s="14"/>
      <c r="PMN35" s="14"/>
      <c r="PMO35" s="14"/>
      <c r="PMP35" s="14"/>
      <c r="PMQ35" s="14"/>
      <c r="PMR35" s="14"/>
      <c r="PMS35" s="14"/>
      <c r="PMT35" s="14"/>
      <c r="PMU35" s="14"/>
      <c r="PMV35" s="14"/>
      <c r="PMW35" s="14"/>
      <c r="PMX35" s="14"/>
      <c r="PMY35" s="14"/>
      <c r="PMZ35" s="14"/>
      <c r="PNA35" s="14"/>
      <c r="PNB35" s="14"/>
      <c r="PNC35" s="14"/>
      <c r="PND35" s="14"/>
      <c r="PNE35" s="14"/>
      <c r="PNF35" s="14"/>
      <c r="PNG35" s="14"/>
      <c r="PNH35" s="14"/>
      <c r="PNI35" s="14"/>
      <c r="PNJ35" s="14"/>
      <c r="PNK35" s="14"/>
      <c r="PNL35" s="14"/>
      <c r="PNM35" s="14"/>
      <c r="PNN35" s="14"/>
      <c r="PNO35" s="14"/>
      <c r="PNP35" s="14"/>
      <c r="PNQ35" s="14"/>
      <c r="PNR35" s="14"/>
      <c r="PNS35" s="14"/>
      <c r="PNT35" s="14"/>
      <c r="PNU35" s="14"/>
      <c r="PNV35" s="14"/>
      <c r="PNW35" s="14"/>
      <c r="PNX35" s="14"/>
      <c r="PNY35" s="14"/>
      <c r="PNZ35" s="14"/>
      <c r="POA35" s="14"/>
      <c r="POB35" s="14"/>
      <c r="POC35" s="14"/>
      <c r="POD35" s="14"/>
      <c r="POE35" s="14"/>
      <c r="POF35" s="14"/>
      <c r="POG35" s="14"/>
      <c r="POH35" s="14"/>
      <c r="POI35" s="14"/>
      <c r="POJ35" s="14"/>
      <c r="POK35" s="14"/>
      <c r="POL35" s="14"/>
      <c r="POM35" s="14"/>
      <c r="PON35" s="14"/>
      <c r="POO35" s="14"/>
      <c r="POP35" s="14"/>
      <c r="POQ35" s="14"/>
      <c r="POR35" s="14"/>
      <c r="POS35" s="14"/>
      <c r="POT35" s="14"/>
      <c r="POU35" s="14"/>
      <c r="POV35" s="14"/>
      <c r="POW35" s="14"/>
      <c r="POX35" s="14"/>
      <c r="POY35" s="14"/>
      <c r="POZ35" s="14"/>
      <c r="PPA35" s="14"/>
      <c r="PPB35" s="14"/>
      <c r="PPC35" s="14"/>
      <c r="PPD35" s="14"/>
      <c r="PPE35" s="14"/>
      <c r="PPF35" s="14"/>
      <c r="PPG35" s="14"/>
      <c r="PPH35" s="14"/>
      <c r="PPI35" s="14"/>
      <c r="PPJ35" s="14"/>
      <c r="PPK35" s="14"/>
      <c r="PPL35" s="14"/>
      <c r="PPM35" s="14"/>
      <c r="PPN35" s="14"/>
      <c r="PPO35" s="14"/>
      <c r="PPP35" s="14"/>
      <c r="PPQ35" s="14"/>
      <c r="PPR35" s="14"/>
      <c r="PPS35" s="14"/>
      <c r="PPT35" s="14"/>
      <c r="PPU35" s="14"/>
      <c r="PPV35" s="14"/>
      <c r="PPW35" s="14"/>
      <c r="PPX35" s="14"/>
      <c r="PPY35" s="14"/>
      <c r="PPZ35" s="14"/>
      <c r="PQA35" s="14"/>
      <c r="PQB35" s="14"/>
      <c r="PQC35" s="14"/>
      <c r="PQD35" s="14"/>
      <c r="PQE35" s="14"/>
      <c r="PQF35" s="14"/>
      <c r="PQG35" s="14"/>
      <c r="PQH35" s="14"/>
      <c r="PQI35" s="14"/>
      <c r="PQJ35" s="14"/>
      <c r="PQK35" s="14"/>
      <c r="PQL35" s="14"/>
      <c r="PQM35" s="14"/>
      <c r="PQN35" s="14"/>
      <c r="PQO35" s="14"/>
      <c r="PQP35" s="14"/>
      <c r="PQQ35" s="14"/>
      <c r="PQR35" s="14"/>
      <c r="PQS35" s="14"/>
      <c r="PQT35" s="14"/>
      <c r="PQU35" s="14"/>
      <c r="PQV35" s="14"/>
      <c r="PQW35" s="14"/>
      <c r="PQX35" s="14"/>
      <c r="PQY35" s="14"/>
      <c r="PQZ35" s="14"/>
      <c r="PRA35" s="14"/>
      <c r="PRB35" s="14"/>
      <c r="PRC35" s="14"/>
      <c r="PRD35" s="14"/>
      <c r="PRE35" s="14"/>
      <c r="PRF35" s="14"/>
      <c r="PRG35" s="14"/>
      <c r="PRH35" s="14"/>
      <c r="PRI35" s="14"/>
      <c r="PRJ35" s="14"/>
      <c r="PRK35" s="14"/>
      <c r="PRL35" s="14"/>
      <c r="PRM35" s="14"/>
      <c r="PRN35" s="14"/>
      <c r="PRO35" s="14"/>
      <c r="PRP35" s="14"/>
      <c r="PRQ35" s="14"/>
      <c r="PRR35" s="14"/>
      <c r="PRS35" s="14"/>
      <c r="PRT35" s="14"/>
      <c r="PRU35" s="14"/>
      <c r="PRV35" s="14"/>
      <c r="PRW35" s="14"/>
      <c r="PRX35" s="14"/>
      <c r="PRY35" s="14"/>
      <c r="PRZ35" s="14"/>
      <c r="PSA35" s="14"/>
      <c r="PSB35" s="14"/>
      <c r="PSC35" s="14"/>
      <c r="PSD35" s="14"/>
      <c r="PSE35" s="14"/>
      <c r="PSF35" s="14"/>
      <c r="PSG35" s="14"/>
      <c r="PSH35" s="14"/>
      <c r="PSI35" s="14"/>
      <c r="PSJ35" s="14"/>
      <c r="PSK35" s="14"/>
      <c r="PSL35" s="14"/>
      <c r="PSM35" s="14"/>
      <c r="PSN35" s="14"/>
      <c r="PSO35" s="14"/>
      <c r="PSP35" s="14"/>
      <c r="PSQ35" s="14"/>
      <c r="PSR35" s="14"/>
      <c r="PSS35" s="14"/>
      <c r="PST35" s="14"/>
      <c r="PSU35" s="14"/>
      <c r="PSV35" s="14"/>
      <c r="PSW35" s="14"/>
      <c r="PSX35" s="14"/>
      <c r="PSY35" s="14"/>
      <c r="PSZ35" s="14"/>
      <c r="PTA35" s="14"/>
      <c r="PTB35" s="14"/>
      <c r="PTC35" s="14"/>
      <c r="PTD35" s="14"/>
      <c r="PTE35" s="14"/>
      <c r="PTF35" s="14"/>
      <c r="PTG35" s="14"/>
      <c r="PTH35" s="14"/>
      <c r="PTI35" s="14"/>
      <c r="PTJ35" s="14"/>
      <c r="PTK35" s="14"/>
      <c r="PTL35" s="14"/>
      <c r="PTM35" s="14"/>
      <c r="PTN35" s="14"/>
      <c r="PTO35" s="14"/>
      <c r="PTP35" s="14"/>
      <c r="PTQ35" s="14"/>
      <c r="PTR35" s="14"/>
      <c r="PTS35" s="14"/>
      <c r="PTT35" s="14"/>
      <c r="PTU35" s="14"/>
      <c r="PTV35" s="14"/>
      <c r="PTW35" s="14"/>
      <c r="PTX35" s="14"/>
      <c r="PTY35" s="14"/>
      <c r="PTZ35" s="14"/>
      <c r="PUA35" s="14"/>
      <c r="PUB35" s="14"/>
      <c r="PUC35" s="14"/>
      <c r="PUD35" s="14"/>
      <c r="PUE35" s="14"/>
      <c r="PUF35" s="14"/>
      <c r="PUG35" s="14"/>
      <c r="PUH35" s="14"/>
      <c r="PUI35" s="14"/>
      <c r="PUJ35" s="14"/>
      <c r="PUK35" s="14"/>
      <c r="PUL35" s="14"/>
      <c r="PUM35" s="14"/>
      <c r="PUN35" s="14"/>
      <c r="PUO35" s="14"/>
      <c r="PUP35" s="14"/>
      <c r="PUQ35" s="14"/>
      <c r="PUR35" s="14"/>
      <c r="PUS35" s="14"/>
      <c r="PUT35" s="14"/>
      <c r="PUU35" s="14"/>
      <c r="PUV35" s="14"/>
      <c r="PUW35" s="14"/>
      <c r="PUX35" s="14"/>
      <c r="PUY35" s="14"/>
      <c r="PUZ35" s="14"/>
      <c r="PVA35" s="14"/>
      <c r="PVB35" s="14"/>
      <c r="PVC35" s="14"/>
      <c r="PVD35" s="14"/>
      <c r="PVE35" s="14"/>
      <c r="PVF35" s="14"/>
      <c r="PVG35" s="14"/>
      <c r="PVH35" s="14"/>
      <c r="PVI35" s="14"/>
      <c r="PVJ35" s="14"/>
      <c r="PVK35" s="14"/>
      <c r="PVL35" s="14"/>
      <c r="PVM35" s="14"/>
      <c r="PVN35" s="14"/>
      <c r="PVO35" s="14"/>
      <c r="PVP35" s="14"/>
      <c r="PVQ35" s="14"/>
      <c r="PVR35" s="14"/>
      <c r="PVS35" s="14"/>
      <c r="PVT35" s="14"/>
      <c r="PVU35" s="14"/>
      <c r="PVV35" s="14"/>
      <c r="PVW35" s="14"/>
      <c r="PVX35" s="14"/>
      <c r="PVY35" s="14"/>
      <c r="PVZ35" s="14"/>
      <c r="PWA35" s="14"/>
      <c r="PWB35" s="14"/>
      <c r="PWC35" s="14"/>
      <c r="PWD35" s="14"/>
      <c r="PWE35" s="14"/>
      <c r="PWF35" s="14"/>
      <c r="PWG35" s="14"/>
      <c r="PWH35" s="14"/>
      <c r="PWI35" s="14"/>
      <c r="PWJ35" s="14"/>
      <c r="PWK35" s="14"/>
      <c r="PWL35" s="14"/>
      <c r="PWM35" s="14"/>
      <c r="PWN35" s="14"/>
      <c r="PWO35" s="14"/>
      <c r="PWP35" s="14"/>
      <c r="PWQ35" s="14"/>
      <c r="PWR35" s="14"/>
      <c r="PWS35" s="14"/>
      <c r="PWT35" s="14"/>
      <c r="PWU35" s="14"/>
      <c r="PWV35" s="14"/>
      <c r="PWW35" s="14"/>
      <c r="PWX35" s="14"/>
      <c r="PWY35" s="14"/>
      <c r="PWZ35" s="14"/>
      <c r="PXA35" s="14"/>
      <c r="PXB35" s="14"/>
      <c r="PXC35" s="14"/>
      <c r="PXD35" s="14"/>
      <c r="PXE35" s="14"/>
      <c r="PXF35" s="14"/>
      <c r="PXG35" s="14"/>
      <c r="PXH35" s="14"/>
      <c r="PXI35" s="14"/>
      <c r="PXJ35" s="14"/>
      <c r="PXK35" s="14"/>
      <c r="PXL35" s="14"/>
      <c r="PXM35" s="14"/>
      <c r="PXN35" s="14"/>
      <c r="PXO35" s="14"/>
      <c r="PXP35" s="14"/>
      <c r="PXQ35" s="14"/>
      <c r="PXR35" s="14"/>
      <c r="PXS35" s="14"/>
      <c r="PXT35" s="14"/>
      <c r="PXU35" s="14"/>
      <c r="PXV35" s="14"/>
      <c r="PXW35" s="14"/>
      <c r="PXX35" s="14"/>
      <c r="PXY35" s="14"/>
      <c r="PXZ35" s="14"/>
      <c r="PYA35" s="14"/>
      <c r="PYB35" s="14"/>
      <c r="PYC35" s="14"/>
      <c r="PYD35" s="14"/>
      <c r="PYE35" s="14"/>
      <c r="PYF35" s="14"/>
      <c r="PYG35" s="14"/>
      <c r="PYH35" s="14"/>
      <c r="PYI35" s="14"/>
      <c r="PYJ35" s="14"/>
      <c r="PYK35" s="14"/>
      <c r="PYL35" s="14"/>
      <c r="PYM35" s="14"/>
      <c r="PYN35" s="14"/>
      <c r="PYO35" s="14"/>
      <c r="PYP35" s="14"/>
      <c r="PYQ35" s="14"/>
      <c r="PYR35" s="14"/>
      <c r="PYS35" s="14"/>
      <c r="PYT35" s="14"/>
      <c r="PYU35" s="14"/>
      <c r="PYV35" s="14"/>
      <c r="PYW35" s="14"/>
      <c r="PYX35" s="14"/>
      <c r="PYY35" s="14"/>
      <c r="PYZ35" s="14"/>
      <c r="PZA35" s="14"/>
      <c r="PZB35" s="14"/>
      <c r="PZC35" s="14"/>
      <c r="PZD35" s="14"/>
      <c r="PZE35" s="14"/>
      <c r="PZF35" s="14"/>
      <c r="PZG35" s="14"/>
      <c r="PZH35" s="14"/>
      <c r="PZI35" s="14"/>
      <c r="PZJ35" s="14"/>
      <c r="PZK35" s="14"/>
      <c r="PZL35" s="14"/>
      <c r="PZM35" s="14"/>
      <c r="PZN35" s="14"/>
      <c r="PZO35" s="14"/>
      <c r="PZP35" s="14"/>
      <c r="PZQ35" s="14"/>
      <c r="PZR35" s="14"/>
      <c r="PZS35" s="14"/>
      <c r="PZT35" s="14"/>
      <c r="PZU35" s="14"/>
      <c r="PZV35" s="14"/>
      <c r="PZW35" s="14"/>
      <c r="PZX35" s="14"/>
      <c r="PZY35" s="14"/>
      <c r="PZZ35" s="14"/>
      <c r="QAA35" s="14"/>
      <c r="QAB35" s="14"/>
      <c r="QAC35" s="14"/>
      <c r="QAD35" s="14"/>
      <c r="QAE35" s="14"/>
      <c r="QAF35" s="14"/>
      <c r="QAG35" s="14"/>
      <c r="QAH35" s="14"/>
      <c r="QAI35" s="14"/>
      <c r="QAJ35" s="14"/>
      <c r="QAK35" s="14"/>
      <c r="QAL35" s="14"/>
      <c r="QAM35" s="14"/>
      <c r="QAN35" s="14"/>
      <c r="QAO35" s="14"/>
      <c r="QAP35" s="14"/>
      <c r="QAQ35" s="14"/>
      <c r="QAR35" s="14"/>
      <c r="QAS35" s="14"/>
      <c r="QAT35" s="14"/>
      <c r="QAU35" s="14"/>
      <c r="QAV35" s="14"/>
      <c r="QAW35" s="14"/>
      <c r="QAX35" s="14"/>
      <c r="QAY35" s="14"/>
      <c r="QAZ35" s="14"/>
      <c r="QBA35" s="14"/>
      <c r="QBB35" s="14"/>
      <c r="QBC35" s="14"/>
      <c r="QBD35" s="14"/>
      <c r="QBE35" s="14"/>
      <c r="QBF35" s="14"/>
      <c r="QBG35" s="14"/>
      <c r="QBH35" s="14"/>
      <c r="QBI35" s="14"/>
      <c r="QBJ35" s="14"/>
      <c r="QBK35" s="14"/>
      <c r="QBL35" s="14"/>
      <c r="QBM35" s="14"/>
      <c r="QBN35" s="14"/>
      <c r="QBO35" s="14"/>
      <c r="QBP35" s="14"/>
      <c r="QBQ35" s="14"/>
      <c r="QBR35" s="14"/>
      <c r="QBS35" s="14"/>
      <c r="QBT35" s="14"/>
      <c r="QBU35" s="14"/>
      <c r="QBV35" s="14"/>
      <c r="QBW35" s="14"/>
      <c r="QBX35" s="14"/>
      <c r="QBY35" s="14"/>
      <c r="QBZ35" s="14"/>
      <c r="QCA35" s="14"/>
      <c r="QCB35" s="14"/>
      <c r="QCC35" s="14"/>
      <c r="QCD35" s="14"/>
      <c r="QCE35" s="14"/>
      <c r="QCF35" s="14"/>
      <c r="QCG35" s="14"/>
      <c r="QCH35" s="14"/>
      <c r="QCI35" s="14"/>
      <c r="QCJ35" s="14"/>
      <c r="QCK35" s="14"/>
      <c r="QCL35" s="14"/>
      <c r="QCM35" s="14"/>
      <c r="QCN35" s="14"/>
      <c r="QCO35" s="14"/>
      <c r="QCP35" s="14"/>
      <c r="QCQ35" s="14"/>
      <c r="QCR35" s="14"/>
      <c r="QCS35" s="14"/>
      <c r="QCT35" s="14"/>
      <c r="QCU35" s="14"/>
      <c r="QCV35" s="14"/>
      <c r="QCW35" s="14"/>
      <c r="QCX35" s="14"/>
      <c r="QCY35" s="14"/>
      <c r="QCZ35" s="14"/>
      <c r="QDA35" s="14"/>
      <c r="QDB35" s="14"/>
      <c r="QDC35" s="14"/>
      <c r="QDD35" s="14"/>
      <c r="QDE35" s="14"/>
      <c r="QDF35" s="14"/>
      <c r="QDG35" s="14"/>
      <c r="QDH35" s="14"/>
      <c r="QDI35" s="14"/>
      <c r="QDJ35" s="14"/>
      <c r="QDK35" s="14"/>
      <c r="QDL35" s="14"/>
      <c r="QDM35" s="14"/>
      <c r="QDN35" s="14"/>
      <c r="QDO35" s="14"/>
      <c r="QDP35" s="14"/>
      <c r="QDQ35" s="14"/>
      <c r="QDR35" s="14"/>
      <c r="QDS35" s="14"/>
      <c r="QDT35" s="14"/>
      <c r="QDU35" s="14"/>
      <c r="QDV35" s="14"/>
      <c r="QDW35" s="14"/>
      <c r="QDX35" s="14"/>
      <c r="QDY35" s="14"/>
      <c r="QDZ35" s="14"/>
      <c r="QEA35" s="14"/>
      <c r="QEB35" s="14"/>
      <c r="QEC35" s="14"/>
      <c r="QED35" s="14"/>
      <c r="QEE35" s="14"/>
      <c r="QEF35" s="14"/>
      <c r="QEG35" s="14"/>
      <c r="QEH35" s="14"/>
      <c r="QEI35" s="14"/>
      <c r="QEJ35" s="14"/>
      <c r="QEK35" s="14"/>
      <c r="QEL35" s="14"/>
      <c r="QEM35" s="14"/>
      <c r="QEN35" s="14"/>
      <c r="QEO35" s="14"/>
      <c r="QEP35" s="14"/>
      <c r="QEQ35" s="14"/>
      <c r="QER35" s="14"/>
      <c r="QES35" s="14"/>
      <c r="QET35" s="14"/>
      <c r="QEU35" s="14"/>
      <c r="QEV35" s="14"/>
      <c r="QEW35" s="14"/>
      <c r="QEX35" s="14"/>
      <c r="QEY35" s="14"/>
      <c r="QEZ35" s="14"/>
      <c r="QFA35" s="14"/>
      <c r="QFB35" s="14"/>
      <c r="QFC35" s="14"/>
      <c r="QFD35" s="14"/>
      <c r="QFE35" s="14"/>
      <c r="QFF35" s="14"/>
      <c r="QFG35" s="14"/>
      <c r="QFH35" s="14"/>
      <c r="QFI35" s="14"/>
      <c r="QFJ35" s="14"/>
      <c r="QFK35" s="14"/>
      <c r="QFL35" s="14"/>
      <c r="QFM35" s="14"/>
      <c r="QFN35" s="14"/>
      <c r="QFO35" s="14"/>
      <c r="QFP35" s="14"/>
      <c r="QFQ35" s="14"/>
      <c r="QFR35" s="14"/>
      <c r="QFS35" s="14"/>
      <c r="QFT35" s="14"/>
      <c r="QFU35" s="14"/>
      <c r="QFV35" s="14"/>
      <c r="QFW35" s="14"/>
      <c r="QFX35" s="14"/>
      <c r="QFY35" s="14"/>
      <c r="QFZ35" s="14"/>
      <c r="QGA35" s="14"/>
      <c r="QGB35" s="14"/>
      <c r="QGC35" s="14"/>
      <c r="QGD35" s="14"/>
      <c r="QGE35" s="14"/>
      <c r="QGF35" s="14"/>
      <c r="QGG35" s="14"/>
      <c r="QGH35" s="14"/>
      <c r="QGI35" s="14"/>
      <c r="QGJ35" s="14"/>
      <c r="QGK35" s="14"/>
      <c r="QGL35" s="14"/>
      <c r="QGM35" s="14"/>
      <c r="QGN35" s="14"/>
      <c r="QGO35" s="14"/>
      <c r="QGP35" s="14"/>
      <c r="QGQ35" s="14"/>
      <c r="QGR35" s="14"/>
      <c r="QGS35" s="14"/>
      <c r="QGT35" s="14"/>
      <c r="QGU35" s="14"/>
      <c r="QGV35" s="14"/>
      <c r="QGW35" s="14"/>
      <c r="QGX35" s="14"/>
      <c r="QGY35" s="14"/>
      <c r="QGZ35" s="14"/>
      <c r="QHA35" s="14"/>
      <c r="QHB35" s="14"/>
      <c r="QHC35" s="14"/>
      <c r="QHD35" s="14"/>
      <c r="QHE35" s="14"/>
      <c r="QHF35" s="14"/>
      <c r="QHG35" s="14"/>
      <c r="QHH35" s="14"/>
      <c r="QHI35" s="14"/>
      <c r="QHJ35" s="14"/>
      <c r="QHK35" s="14"/>
      <c r="QHL35" s="14"/>
      <c r="QHM35" s="14"/>
      <c r="QHN35" s="14"/>
      <c r="QHO35" s="14"/>
      <c r="QHP35" s="14"/>
      <c r="QHQ35" s="14"/>
      <c r="QHR35" s="14"/>
      <c r="QHS35" s="14"/>
      <c r="QHT35" s="14"/>
      <c r="QHU35" s="14"/>
      <c r="QHV35" s="14"/>
      <c r="QHW35" s="14"/>
      <c r="QHX35" s="14"/>
      <c r="QHY35" s="14"/>
      <c r="QHZ35" s="14"/>
      <c r="QIA35" s="14"/>
      <c r="QIB35" s="14"/>
      <c r="QIC35" s="14"/>
      <c r="QID35" s="14"/>
      <c r="QIE35" s="14"/>
      <c r="QIF35" s="14"/>
      <c r="QIG35" s="14"/>
      <c r="QIH35" s="14"/>
      <c r="QII35" s="14"/>
      <c r="QIJ35" s="14"/>
      <c r="QIK35" s="14"/>
      <c r="QIL35" s="14"/>
      <c r="QIM35" s="14"/>
      <c r="QIN35" s="14"/>
      <c r="QIO35" s="14"/>
      <c r="QIP35" s="14"/>
      <c r="QIQ35" s="14"/>
      <c r="QIR35" s="14"/>
      <c r="QIS35" s="14"/>
      <c r="QIT35" s="14"/>
      <c r="QIU35" s="14"/>
      <c r="QIV35" s="14"/>
      <c r="QIW35" s="14"/>
      <c r="QIX35" s="14"/>
      <c r="QIY35" s="14"/>
      <c r="QIZ35" s="14"/>
      <c r="QJA35" s="14"/>
      <c r="QJB35" s="14"/>
      <c r="QJC35" s="14"/>
      <c r="QJD35" s="14"/>
      <c r="QJE35" s="14"/>
      <c r="QJF35" s="14"/>
      <c r="QJG35" s="14"/>
      <c r="QJH35" s="14"/>
      <c r="QJI35" s="14"/>
      <c r="QJJ35" s="14"/>
      <c r="QJK35" s="14"/>
      <c r="QJL35" s="14"/>
      <c r="QJM35" s="14"/>
      <c r="QJN35" s="14"/>
      <c r="QJO35" s="14"/>
      <c r="QJP35" s="14"/>
      <c r="QJQ35" s="14"/>
      <c r="QJR35" s="14"/>
      <c r="QJS35" s="14"/>
      <c r="QJT35" s="14"/>
      <c r="QJU35" s="14"/>
      <c r="QJV35" s="14"/>
      <c r="QJW35" s="14"/>
      <c r="QJX35" s="14"/>
      <c r="QJY35" s="14"/>
      <c r="QJZ35" s="14"/>
      <c r="QKA35" s="14"/>
      <c r="QKB35" s="14"/>
      <c r="QKC35" s="14"/>
      <c r="QKD35" s="14"/>
      <c r="QKE35" s="14"/>
      <c r="QKF35" s="14"/>
      <c r="QKG35" s="14"/>
      <c r="QKH35" s="14"/>
      <c r="QKI35" s="14"/>
      <c r="QKJ35" s="14"/>
      <c r="QKK35" s="14"/>
      <c r="QKL35" s="14"/>
      <c r="QKM35" s="14"/>
      <c r="QKN35" s="14"/>
      <c r="QKO35" s="14"/>
      <c r="QKP35" s="14"/>
      <c r="QKQ35" s="14"/>
      <c r="QKR35" s="14"/>
      <c r="QKS35" s="14"/>
      <c r="QKT35" s="14"/>
      <c r="QKU35" s="14"/>
      <c r="QKV35" s="14"/>
      <c r="QKW35" s="14"/>
      <c r="QKX35" s="14"/>
      <c r="QKY35" s="14"/>
      <c r="QKZ35" s="14"/>
      <c r="QLA35" s="14"/>
      <c r="QLB35" s="14"/>
      <c r="QLC35" s="14"/>
      <c r="QLD35" s="14"/>
      <c r="QLE35" s="14"/>
      <c r="QLF35" s="14"/>
      <c r="QLG35" s="14"/>
      <c r="QLH35" s="14"/>
      <c r="QLI35" s="14"/>
      <c r="QLJ35" s="14"/>
      <c r="QLK35" s="14"/>
      <c r="QLL35" s="14"/>
      <c r="QLM35" s="14"/>
      <c r="QLN35" s="14"/>
      <c r="QLO35" s="14"/>
      <c r="QLP35" s="14"/>
      <c r="QLQ35" s="14"/>
      <c r="QLR35" s="14"/>
      <c r="QLS35" s="14"/>
      <c r="QLT35" s="14"/>
      <c r="QLU35" s="14"/>
      <c r="QLV35" s="14"/>
      <c r="QLW35" s="14"/>
      <c r="QLX35" s="14"/>
      <c r="QLY35" s="14"/>
      <c r="QLZ35" s="14"/>
      <c r="QMA35" s="14"/>
      <c r="QMB35" s="14"/>
      <c r="QMC35" s="14"/>
      <c r="QMD35" s="14"/>
      <c r="QME35" s="14"/>
      <c r="QMF35" s="14"/>
      <c r="QMG35" s="14"/>
      <c r="QMH35" s="14"/>
      <c r="QMI35" s="14"/>
      <c r="QMJ35" s="14"/>
      <c r="QMK35" s="14"/>
      <c r="QML35" s="14"/>
      <c r="QMM35" s="14"/>
      <c r="QMN35" s="14"/>
      <c r="QMO35" s="14"/>
      <c r="QMP35" s="14"/>
      <c r="QMQ35" s="14"/>
      <c r="QMR35" s="14"/>
      <c r="QMS35" s="14"/>
      <c r="QMT35" s="14"/>
      <c r="QMU35" s="14"/>
      <c r="QMV35" s="14"/>
      <c r="QMW35" s="14"/>
      <c r="QMX35" s="14"/>
      <c r="QMY35" s="14"/>
      <c r="QMZ35" s="14"/>
      <c r="QNA35" s="14"/>
      <c r="QNB35" s="14"/>
      <c r="QNC35" s="14"/>
      <c r="QND35" s="14"/>
      <c r="QNE35" s="14"/>
      <c r="QNF35" s="14"/>
      <c r="QNG35" s="14"/>
      <c r="QNH35" s="14"/>
      <c r="QNI35" s="14"/>
      <c r="QNJ35" s="14"/>
      <c r="QNK35" s="14"/>
      <c r="QNL35" s="14"/>
      <c r="QNM35" s="14"/>
      <c r="QNN35" s="14"/>
      <c r="QNO35" s="14"/>
      <c r="QNP35" s="14"/>
      <c r="QNQ35" s="14"/>
      <c r="QNR35" s="14"/>
      <c r="QNS35" s="14"/>
      <c r="QNT35" s="14"/>
      <c r="QNU35" s="14"/>
      <c r="QNV35" s="14"/>
      <c r="QNW35" s="14"/>
      <c r="QNX35" s="14"/>
      <c r="QNY35" s="14"/>
      <c r="QNZ35" s="14"/>
      <c r="QOA35" s="14"/>
      <c r="QOB35" s="14"/>
      <c r="QOC35" s="14"/>
      <c r="QOD35" s="14"/>
      <c r="QOE35" s="14"/>
      <c r="QOF35" s="14"/>
      <c r="QOG35" s="14"/>
      <c r="QOH35" s="14"/>
      <c r="QOI35" s="14"/>
      <c r="QOJ35" s="14"/>
      <c r="QOK35" s="14"/>
      <c r="QOL35" s="14"/>
      <c r="QOM35" s="14"/>
      <c r="QON35" s="14"/>
      <c r="QOO35" s="14"/>
      <c r="QOP35" s="14"/>
      <c r="QOQ35" s="14"/>
      <c r="QOR35" s="14"/>
      <c r="QOS35" s="14"/>
      <c r="QOT35" s="14"/>
      <c r="QOU35" s="14"/>
      <c r="QOV35" s="14"/>
      <c r="QOW35" s="14"/>
      <c r="QOX35" s="14"/>
      <c r="QOY35" s="14"/>
      <c r="QOZ35" s="14"/>
      <c r="QPA35" s="14"/>
      <c r="QPB35" s="14"/>
      <c r="QPC35" s="14"/>
      <c r="QPD35" s="14"/>
      <c r="QPE35" s="14"/>
      <c r="QPF35" s="14"/>
      <c r="QPG35" s="14"/>
      <c r="QPH35" s="14"/>
      <c r="QPI35" s="14"/>
      <c r="QPJ35" s="14"/>
      <c r="QPK35" s="14"/>
      <c r="QPL35" s="14"/>
      <c r="QPM35" s="14"/>
      <c r="QPN35" s="14"/>
      <c r="QPO35" s="14"/>
      <c r="QPP35" s="14"/>
      <c r="QPQ35" s="14"/>
      <c r="QPR35" s="14"/>
      <c r="QPS35" s="14"/>
      <c r="QPT35" s="14"/>
      <c r="QPU35" s="14"/>
      <c r="QPV35" s="14"/>
      <c r="QPW35" s="14"/>
      <c r="QPX35" s="14"/>
      <c r="QPY35" s="14"/>
      <c r="QPZ35" s="14"/>
      <c r="QQA35" s="14"/>
      <c r="QQB35" s="14"/>
      <c r="QQC35" s="14"/>
      <c r="QQD35" s="14"/>
      <c r="QQE35" s="14"/>
      <c r="QQF35" s="14"/>
      <c r="QQG35" s="14"/>
      <c r="QQH35" s="14"/>
      <c r="QQI35" s="14"/>
      <c r="QQJ35" s="14"/>
      <c r="QQK35" s="14"/>
      <c r="QQL35" s="14"/>
      <c r="QQM35" s="14"/>
      <c r="QQN35" s="14"/>
      <c r="QQO35" s="14"/>
      <c r="QQP35" s="14"/>
      <c r="QQQ35" s="14"/>
      <c r="QQR35" s="14"/>
      <c r="QQS35" s="14"/>
      <c r="QQT35" s="14"/>
      <c r="QQU35" s="14"/>
      <c r="QQV35" s="14"/>
      <c r="QQW35" s="14"/>
      <c r="QQX35" s="14"/>
      <c r="QQY35" s="14"/>
      <c r="QQZ35" s="14"/>
      <c r="QRA35" s="14"/>
      <c r="QRB35" s="14"/>
      <c r="QRC35" s="14"/>
      <c r="QRD35" s="14"/>
      <c r="QRE35" s="14"/>
      <c r="QRF35" s="14"/>
      <c r="QRG35" s="14"/>
      <c r="QRH35" s="14"/>
      <c r="QRI35" s="14"/>
      <c r="QRJ35" s="14"/>
      <c r="QRK35" s="14"/>
      <c r="QRL35" s="14"/>
      <c r="QRM35" s="14"/>
      <c r="QRN35" s="14"/>
      <c r="QRO35" s="14"/>
      <c r="QRP35" s="14"/>
      <c r="QRQ35" s="14"/>
      <c r="QRR35" s="14"/>
      <c r="QRS35" s="14"/>
      <c r="QRT35" s="14"/>
      <c r="QRU35" s="14"/>
      <c r="QRV35" s="14"/>
      <c r="QRW35" s="14"/>
      <c r="QRX35" s="14"/>
      <c r="QRY35" s="14"/>
      <c r="QRZ35" s="14"/>
      <c r="QSA35" s="14"/>
      <c r="QSB35" s="14"/>
      <c r="QSC35" s="14"/>
      <c r="QSD35" s="14"/>
      <c r="QSE35" s="14"/>
      <c r="QSF35" s="14"/>
      <c r="QSG35" s="14"/>
      <c r="QSH35" s="14"/>
      <c r="QSI35" s="14"/>
      <c r="QSJ35" s="14"/>
      <c r="QSK35" s="14"/>
      <c r="QSL35" s="14"/>
      <c r="QSM35" s="14"/>
      <c r="QSN35" s="14"/>
      <c r="QSO35" s="14"/>
      <c r="QSP35" s="14"/>
      <c r="QSQ35" s="14"/>
      <c r="QSR35" s="14"/>
      <c r="QSS35" s="14"/>
      <c r="QST35" s="14"/>
      <c r="QSU35" s="14"/>
      <c r="QSV35" s="14"/>
      <c r="QSW35" s="14"/>
      <c r="QSX35" s="14"/>
      <c r="QSY35" s="14"/>
      <c r="QSZ35" s="14"/>
      <c r="QTA35" s="14"/>
      <c r="QTB35" s="14"/>
      <c r="QTC35" s="14"/>
      <c r="QTD35" s="14"/>
      <c r="QTE35" s="14"/>
      <c r="QTF35" s="14"/>
      <c r="QTG35" s="14"/>
      <c r="QTH35" s="14"/>
      <c r="QTI35" s="14"/>
      <c r="QTJ35" s="14"/>
      <c r="QTK35" s="14"/>
      <c r="QTL35" s="14"/>
      <c r="QTM35" s="14"/>
      <c r="QTN35" s="14"/>
      <c r="QTO35" s="14"/>
      <c r="QTP35" s="14"/>
      <c r="QTQ35" s="14"/>
      <c r="QTR35" s="14"/>
      <c r="QTS35" s="14"/>
      <c r="QTT35" s="14"/>
      <c r="QTU35" s="14"/>
      <c r="QTV35" s="14"/>
      <c r="QTW35" s="14"/>
      <c r="QTX35" s="14"/>
      <c r="QTY35" s="14"/>
      <c r="QTZ35" s="14"/>
      <c r="QUA35" s="14"/>
      <c r="QUB35" s="14"/>
      <c r="QUC35" s="14"/>
      <c r="QUD35" s="14"/>
      <c r="QUE35" s="14"/>
      <c r="QUF35" s="14"/>
      <c r="QUG35" s="14"/>
      <c r="QUH35" s="14"/>
      <c r="QUI35" s="14"/>
      <c r="QUJ35" s="14"/>
      <c r="QUK35" s="14"/>
      <c r="QUL35" s="14"/>
      <c r="QUM35" s="14"/>
      <c r="QUN35" s="14"/>
      <c r="QUO35" s="14"/>
      <c r="QUP35" s="14"/>
      <c r="QUQ35" s="14"/>
      <c r="QUR35" s="14"/>
      <c r="QUS35" s="14"/>
      <c r="QUT35" s="14"/>
      <c r="QUU35" s="14"/>
      <c r="QUV35" s="14"/>
      <c r="QUW35" s="14"/>
      <c r="QUX35" s="14"/>
      <c r="QUY35" s="14"/>
      <c r="QUZ35" s="14"/>
      <c r="QVA35" s="14"/>
      <c r="QVB35" s="14"/>
      <c r="QVC35" s="14"/>
      <c r="QVD35" s="14"/>
      <c r="QVE35" s="14"/>
      <c r="QVF35" s="14"/>
      <c r="QVG35" s="14"/>
      <c r="QVH35" s="14"/>
      <c r="QVI35" s="14"/>
      <c r="QVJ35" s="14"/>
      <c r="QVK35" s="14"/>
      <c r="QVL35" s="14"/>
      <c r="QVM35" s="14"/>
      <c r="QVN35" s="14"/>
      <c r="QVO35" s="14"/>
      <c r="QVP35" s="14"/>
      <c r="QVQ35" s="14"/>
      <c r="QVR35" s="14"/>
      <c r="QVS35" s="14"/>
      <c r="QVT35" s="14"/>
      <c r="QVU35" s="14"/>
      <c r="QVV35" s="14"/>
      <c r="QVW35" s="14"/>
      <c r="QVX35" s="14"/>
      <c r="QVY35" s="14"/>
      <c r="QVZ35" s="14"/>
      <c r="QWA35" s="14"/>
      <c r="QWB35" s="14"/>
      <c r="QWC35" s="14"/>
      <c r="QWD35" s="14"/>
      <c r="QWE35" s="14"/>
      <c r="QWF35" s="14"/>
      <c r="QWG35" s="14"/>
      <c r="QWH35" s="14"/>
      <c r="QWI35" s="14"/>
      <c r="QWJ35" s="14"/>
      <c r="QWK35" s="14"/>
      <c r="QWL35" s="14"/>
      <c r="QWM35" s="14"/>
      <c r="QWN35" s="14"/>
      <c r="QWO35" s="14"/>
      <c r="QWP35" s="14"/>
      <c r="QWQ35" s="14"/>
      <c r="QWR35" s="14"/>
      <c r="QWS35" s="14"/>
      <c r="QWT35" s="14"/>
      <c r="QWU35" s="14"/>
      <c r="QWV35" s="14"/>
      <c r="QWW35" s="14"/>
      <c r="QWX35" s="14"/>
      <c r="QWY35" s="14"/>
      <c r="QWZ35" s="14"/>
      <c r="QXA35" s="14"/>
      <c r="QXB35" s="14"/>
      <c r="QXC35" s="14"/>
      <c r="QXD35" s="14"/>
      <c r="QXE35" s="14"/>
      <c r="QXF35" s="14"/>
      <c r="QXG35" s="14"/>
      <c r="QXH35" s="14"/>
      <c r="QXI35" s="14"/>
      <c r="QXJ35" s="14"/>
      <c r="QXK35" s="14"/>
      <c r="QXL35" s="14"/>
      <c r="QXM35" s="14"/>
      <c r="QXN35" s="14"/>
      <c r="QXO35" s="14"/>
      <c r="QXP35" s="14"/>
      <c r="QXQ35" s="14"/>
      <c r="QXR35" s="14"/>
      <c r="QXS35" s="14"/>
      <c r="QXT35" s="14"/>
      <c r="QXU35" s="14"/>
      <c r="QXV35" s="14"/>
      <c r="QXW35" s="14"/>
      <c r="QXX35" s="14"/>
      <c r="QXY35" s="14"/>
      <c r="QXZ35" s="14"/>
      <c r="QYA35" s="14"/>
      <c r="QYB35" s="14"/>
      <c r="QYC35" s="14"/>
      <c r="QYD35" s="14"/>
      <c r="QYE35" s="14"/>
      <c r="QYF35" s="14"/>
      <c r="QYG35" s="14"/>
      <c r="QYH35" s="14"/>
      <c r="QYI35" s="14"/>
      <c r="QYJ35" s="14"/>
      <c r="QYK35" s="14"/>
      <c r="QYL35" s="14"/>
      <c r="QYM35" s="14"/>
      <c r="QYN35" s="14"/>
      <c r="QYO35" s="14"/>
      <c r="QYP35" s="14"/>
      <c r="QYQ35" s="14"/>
      <c r="QYR35" s="14"/>
      <c r="QYS35" s="14"/>
      <c r="QYT35" s="14"/>
      <c r="QYU35" s="14"/>
      <c r="QYV35" s="14"/>
      <c r="QYW35" s="14"/>
      <c r="QYX35" s="14"/>
      <c r="QYY35" s="14"/>
      <c r="QYZ35" s="14"/>
      <c r="QZA35" s="14"/>
      <c r="QZB35" s="14"/>
      <c r="QZC35" s="14"/>
      <c r="QZD35" s="14"/>
      <c r="QZE35" s="14"/>
      <c r="QZF35" s="14"/>
      <c r="QZG35" s="14"/>
      <c r="QZH35" s="14"/>
      <c r="QZI35" s="14"/>
      <c r="QZJ35" s="14"/>
      <c r="QZK35" s="14"/>
      <c r="QZL35" s="14"/>
      <c r="QZM35" s="14"/>
      <c r="QZN35" s="14"/>
      <c r="QZO35" s="14"/>
      <c r="QZP35" s="14"/>
      <c r="QZQ35" s="14"/>
      <c r="QZR35" s="14"/>
      <c r="QZS35" s="14"/>
      <c r="QZT35" s="14"/>
      <c r="QZU35" s="14"/>
      <c r="QZV35" s="14"/>
      <c r="QZW35" s="14"/>
      <c r="QZX35" s="14"/>
      <c r="QZY35" s="14"/>
      <c r="QZZ35" s="14"/>
      <c r="RAA35" s="14"/>
      <c r="RAB35" s="14"/>
      <c r="RAC35" s="14"/>
      <c r="RAD35" s="14"/>
      <c r="RAE35" s="14"/>
      <c r="RAF35" s="14"/>
      <c r="RAG35" s="14"/>
      <c r="RAH35" s="14"/>
      <c r="RAI35" s="14"/>
      <c r="RAJ35" s="14"/>
      <c r="RAK35" s="14"/>
      <c r="RAL35" s="14"/>
      <c r="RAM35" s="14"/>
      <c r="RAN35" s="14"/>
      <c r="RAO35" s="14"/>
      <c r="RAP35" s="14"/>
      <c r="RAQ35" s="14"/>
      <c r="RAR35" s="14"/>
      <c r="RAS35" s="14"/>
      <c r="RAT35" s="14"/>
      <c r="RAU35" s="14"/>
      <c r="RAV35" s="14"/>
      <c r="RAW35" s="14"/>
      <c r="RAX35" s="14"/>
      <c r="RAY35" s="14"/>
      <c r="RAZ35" s="14"/>
      <c r="RBA35" s="14"/>
      <c r="RBB35" s="14"/>
      <c r="RBC35" s="14"/>
      <c r="RBD35" s="14"/>
      <c r="RBE35" s="14"/>
      <c r="RBF35" s="14"/>
      <c r="RBG35" s="14"/>
      <c r="RBH35" s="14"/>
      <c r="RBI35" s="14"/>
      <c r="RBJ35" s="14"/>
      <c r="RBK35" s="14"/>
      <c r="RBL35" s="14"/>
      <c r="RBM35" s="14"/>
      <c r="RBN35" s="14"/>
      <c r="RBO35" s="14"/>
      <c r="RBP35" s="14"/>
      <c r="RBQ35" s="14"/>
      <c r="RBR35" s="14"/>
      <c r="RBS35" s="14"/>
      <c r="RBT35" s="14"/>
      <c r="RBU35" s="14"/>
      <c r="RBV35" s="14"/>
      <c r="RBW35" s="14"/>
      <c r="RBX35" s="14"/>
      <c r="RBY35" s="14"/>
      <c r="RBZ35" s="14"/>
      <c r="RCA35" s="14"/>
      <c r="RCB35" s="14"/>
      <c r="RCC35" s="14"/>
      <c r="RCD35" s="14"/>
      <c r="RCE35" s="14"/>
      <c r="RCF35" s="14"/>
      <c r="RCG35" s="14"/>
      <c r="RCH35" s="14"/>
      <c r="RCI35" s="14"/>
      <c r="RCJ35" s="14"/>
      <c r="RCK35" s="14"/>
      <c r="RCL35" s="14"/>
      <c r="RCM35" s="14"/>
      <c r="RCN35" s="14"/>
      <c r="RCO35" s="14"/>
      <c r="RCP35" s="14"/>
      <c r="RCQ35" s="14"/>
      <c r="RCR35" s="14"/>
      <c r="RCS35" s="14"/>
      <c r="RCT35" s="14"/>
      <c r="RCU35" s="14"/>
      <c r="RCV35" s="14"/>
      <c r="RCW35" s="14"/>
      <c r="RCX35" s="14"/>
      <c r="RCY35" s="14"/>
      <c r="RCZ35" s="14"/>
      <c r="RDA35" s="14"/>
      <c r="RDB35" s="14"/>
      <c r="RDC35" s="14"/>
      <c r="RDD35" s="14"/>
      <c r="RDE35" s="14"/>
      <c r="RDF35" s="14"/>
      <c r="RDG35" s="14"/>
      <c r="RDH35" s="14"/>
      <c r="RDI35" s="14"/>
      <c r="RDJ35" s="14"/>
      <c r="RDK35" s="14"/>
      <c r="RDL35" s="14"/>
      <c r="RDM35" s="14"/>
      <c r="RDN35" s="14"/>
      <c r="RDO35" s="14"/>
      <c r="RDP35" s="14"/>
      <c r="RDQ35" s="14"/>
      <c r="RDR35" s="14"/>
      <c r="RDS35" s="14"/>
      <c r="RDT35" s="14"/>
      <c r="RDU35" s="14"/>
      <c r="RDV35" s="14"/>
      <c r="RDW35" s="14"/>
      <c r="RDX35" s="14"/>
      <c r="RDY35" s="14"/>
      <c r="RDZ35" s="14"/>
      <c r="REA35" s="14"/>
      <c r="REB35" s="14"/>
      <c r="REC35" s="14"/>
      <c r="RED35" s="14"/>
      <c r="REE35" s="14"/>
      <c r="REF35" s="14"/>
      <c r="REG35" s="14"/>
      <c r="REH35" s="14"/>
      <c r="REI35" s="14"/>
      <c r="REJ35" s="14"/>
      <c r="REK35" s="14"/>
      <c r="REL35" s="14"/>
      <c r="REM35" s="14"/>
      <c r="REN35" s="14"/>
      <c r="REO35" s="14"/>
      <c r="REP35" s="14"/>
      <c r="REQ35" s="14"/>
      <c r="RER35" s="14"/>
      <c r="RES35" s="14"/>
      <c r="RET35" s="14"/>
      <c r="REU35" s="14"/>
      <c r="REV35" s="14"/>
      <c r="REW35" s="14"/>
      <c r="REX35" s="14"/>
      <c r="REY35" s="14"/>
      <c r="REZ35" s="14"/>
      <c r="RFA35" s="14"/>
      <c r="RFB35" s="14"/>
      <c r="RFC35" s="14"/>
      <c r="RFD35" s="14"/>
      <c r="RFE35" s="14"/>
      <c r="RFF35" s="14"/>
      <c r="RFG35" s="14"/>
      <c r="RFH35" s="14"/>
      <c r="RFI35" s="14"/>
      <c r="RFJ35" s="14"/>
      <c r="RFK35" s="14"/>
      <c r="RFL35" s="14"/>
      <c r="RFM35" s="14"/>
      <c r="RFN35" s="14"/>
      <c r="RFO35" s="14"/>
      <c r="RFP35" s="14"/>
      <c r="RFQ35" s="14"/>
      <c r="RFR35" s="14"/>
      <c r="RFS35" s="14"/>
      <c r="RFT35" s="14"/>
      <c r="RFU35" s="14"/>
      <c r="RFV35" s="14"/>
      <c r="RFW35" s="14"/>
      <c r="RFX35" s="14"/>
      <c r="RFY35" s="14"/>
      <c r="RFZ35" s="14"/>
      <c r="RGA35" s="14"/>
      <c r="RGB35" s="14"/>
      <c r="RGC35" s="14"/>
      <c r="RGD35" s="14"/>
      <c r="RGE35" s="14"/>
      <c r="RGF35" s="14"/>
      <c r="RGG35" s="14"/>
      <c r="RGH35" s="14"/>
      <c r="RGI35" s="14"/>
      <c r="RGJ35" s="14"/>
      <c r="RGK35" s="14"/>
      <c r="RGL35" s="14"/>
      <c r="RGM35" s="14"/>
      <c r="RGN35" s="14"/>
      <c r="RGO35" s="14"/>
      <c r="RGP35" s="14"/>
      <c r="RGQ35" s="14"/>
      <c r="RGR35" s="14"/>
      <c r="RGS35" s="14"/>
      <c r="RGT35" s="14"/>
      <c r="RGU35" s="14"/>
      <c r="RGV35" s="14"/>
      <c r="RGW35" s="14"/>
      <c r="RGX35" s="14"/>
      <c r="RGY35" s="14"/>
      <c r="RGZ35" s="14"/>
      <c r="RHA35" s="14"/>
      <c r="RHB35" s="14"/>
      <c r="RHC35" s="14"/>
      <c r="RHD35" s="14"/>
      <c r="RHE35" s="14"/>
      <c r="RHF35" s="14"/>
      <c r="RHG35" s="14"/>
      <c r="RHH35" s="14"/>
      <c r="RHI35" s="14"/>
      <c r="RHJ35" s="14"/>
      <c r="RHK35" s="14"/>
      <c r="RHL35" s="14"/>
      <c r="RHM35" s="14"/>
      <c r="RHN35" s="14"/>
      <c r="RHO35" s="14"/>
      <c r="RHP35" s="14"/>
      <c r="RHQ35" s="14"/>
      <c r="RHR35" s="14"/>
      <c r="RHS35" s="14"/>
      <c r="RHT35" s="14"/>
      <c r="RHU35" s="14"/>
      <c r="RHV35" s="14"/>
      <c r="RHW35" s="14"/>
      <c r="RHX35" s="14"/>
      <c r="RHY35" s="14"/>
      <c r="RHZ35" s="14"/>
      <c r="RIA35" s="14"/>
      <c r="RIB35" s="14"/>
      <c r="RIC35" s="14"/>
      <c r="RID35" s="14"/>
      <c r="RIE35" s="14"/>
      <c r="RIF35" s="14"/>
      <c r="RIG35" s="14"/>
      <c r="RIH35" s="14"/>
      <c r="RII35" s="14"/>
      <c r="RIJ35" s="14"/>
      <c r="RIK35" s="14"/>
      <c r="RIL35" s="14"/>
      <c r="RIM35" s="14"/>
      <c r="RIN35" s="14"/>
      <c r="RIO35" s="14"/>
      <c r="RIP35" s="14"/>
      <c r="RIQ35" s="14"/>
      <c r="RIR35" s="14"/>
      <c r="RIS35" s="14"/>
      <c r="RIT35" s="14"/>
      <c r="RIU35" s="14"/>
      <c r="RIV35" s="14"/>
      <c r="RIW35" s="14"/>
      <c r="RIX35" s="14"/>
      <c r="RIY35" s="14"/>
      <c r="RIZ35" s="14"/>
      <c r="RJA35" s="14"/>
      <c r="RJB35" s="14"/>
      <c r="RJC35" s="14"/>
      <c r="RJD35" s="14"/>
      <c r="RJE35" s="14"/>
      <c r="RJF35" s="14"/>
      <c r="RJG35" s="14"/>
      <c r="RJH35" s="14"/>
      <c r="RJI35" s="14"/>
      <c r="RJJ35" s="14"/>
      <c r="RJK35" s="14"/>
      <c r="RJL35" s="14"/>
      <c r="RJM35" s="14"/>
      <c r="RJN35" s="14"/>
      <c r="RJO35" s="14"/>
      <c r="RJP35" s="14"/>
      <c r="RJQ35" s="14"/>
      <c r="RJR35" s="14"/>
      <c r="RJS35" s="14"/>
      <c r="RJT35" s="14"/>
      <c r="RJU35" s="14"/>
      <c r="RJV35" s="14"/>
      <c r="RJW35" s="14"/>
      <c r="RJX35" s="14"/>
      <c r="RJY35" s="14"/>
      <c r="RJZ35" s="14"/>
      <c r="RKA35" s="14"/>
      <c r="RKB35" s="14"/>
      <c r="RKC35" s="14"/>
      <c r="RKD35" s="14"/>
      <c r="RKE35" s="14"/>
      <c r="RKF35" s="14"/>
      <c r="RKG35" s="14"/>
      <c r="RKH35" s="14"/>
      <c r="RKI35" s="14"/>
      <c r="RKJ35" s="14"/>
      <c r="RKK35" s="14"/>
      <c r="RKL35" s="14"/>
      <c r="RKM35" s="14"/>
      <c r="RKN35" s="14"/>
      <c r="RKO35" s="14"/>
      <c r="RKP35" s="14"/>
      <c r="RKQ35" s="14"/>
      <c r="RKR35" s="14"/>
      <c r="RKS35" s="14"/>
      <c r="RKT35" s="14"/>
      <c r="RKU35" s="14"/>
      <c r="RKV35" s="14"/>
      <c r="RKW35" s="14"/>
      <c r="RKX35" s="14"/>
      <c r="RKY35" s="14"/>
      <c r="RKZ35" s="14"/>
      <c r="RLA35" s="14"/>
      <c r="RLB35" s="14"/>
      <c r="RLC35" s="14"/>
      <c r="RLD35" s="14"/>
      <c r="RLE35" s="14"/>
      <c r="RLF35" s="14"/>
      <c r="RLG35" s="14"/>
      <c r="RLH35" s="14"/>
      <c r="RLI35" s="14"/>
      <c r="RLJ35" s="14"/>
      <c r="RLK35" s="14"/>
      <c r="RLL35" s="14"/>
      <c r="RLM35" s="14"/>
      <c r="RLN35" s="14"/>
      <c r="RLO35" s="14"/>
      <c r="RLP35" s="14"/>
      <c r="RLQ35" s="14"/>
      <c r="RLR35" s="14"/>
      <c r="RLS35" s="14"/>
      <c r="RLT35" s="14"/>
      <c r="RLU35" s="14"/>
      <c r="RLV35" s="14"/>
      <c r="RLW35" s="14"/>
      <c r="RLX35" s="14"/>
      <c r="RLY35" s="14"/>
      <c r="RLZ35" s="14"/>
      <c r="RMA35" s="14"/>
      <c r="RMB35" s="14"/>
      <c r="RMC35" s="14"/>
      <c r="RMD35" s="14"/>
      <c r="RME35" s="14"/>
      <c r="RMF35" s="14"/>
      <c r="RMG35" s="14"/>
      <c r="RMH35" s="14"/>
      <c r="RMI35" s="14"/>
      <c r="RMJ35" s="14"/>
      <c r="RMK35" s="14"/>
      <c r="RML35" s="14"/>
      <c r="RMM35" s="14"/>
      <c r="RMN35" s="14"/>
      <c r="RMO35" s="14"/>
      <c r="RMP35" s="14"/>
      <c r="RMQ35" s="14"/>
      <c r="RMR35" s="14"/>
      <c r="RMS35" s="14"/>
      <c r="RMT35" s="14"/>
      <c r="RMU35" s="14"/>
      <c r="RMV35" s="14"/>
      <c r="RMW35" s="14"/>
      <c r="RMX35" s="14"/>
      <c r="RMY35" s="14"/>
      <c r="RMZ35" s="14"/>
      <c r="RNA35" s="14"/>
      <c r="RNB35" s="14"/>
      <c r="RNC35" s="14"/>
      <c r="RND35" s="14"/>
      <c r="RNE35" s="14"/>
      <c r="RNF35" s="14"/>
      <c r="RNG35" s="14"/>
      <c r="RNH35" s="14"/>
      <c r="RNI35" s="14"/>
      <c r="RNJ35" s="14"/>
      <c r="RNK35" s="14"/>
      <c r="RNL35" s="14"/>
      <c r="RNM35" s="14"/>
      <c r="RNN35" s="14"/>
      <c r="RNO35" s="14"/>
      <c r="RNP35" s="14"/>
      <c r="RNQ35" s="14"/>
      <c r="RNR35" s="14"/>
      <c r="RNS35" s="14"/>
      <c r="RNT35" s="14"/>
      <c r="RNU35" s="14"/>
      <c r="RNV35" s="14"/>
      <c r="RNW35" s="14"/>
      <c r="RNX35" s="14"/>
      <c r="RNY35" s="14"/>
      <c r="RNZ35" s="14"/>
      <c r="ROA35" s="14"/>
      <c r="ROB35" s="14"/>
      <c r="ROC35" s="14"/>
      <c r="ROD35" s="14"/>
      <c r="ROE35" s="14"/>
      <c r="ROF35" s="14"/>
      <c r="ROG35" s="14"/>
      <c r="ROH35" s="14"/>
      <c r="ROI35" s="14"/>
      <c r="ROJ35" s="14"/>
      <c r="ROK35" s="14"/>
      <c r="ROL35" s="14"/>
      <c r="ROM35" s="14"/>
      <c r="RON35" s="14"/>
      <c r="ROO35" s="14"/>
      <c r="ROP35" s="14"/>
      <c r="ROQ35" s="14"/>
      <c r="ROR35" s="14"/>
      <c r="ROS35" s="14"/>
      <c r="ROT35" s="14"/>
      <c r="ROU35" s="14"/>
      <c r="ROV35" s="14"/>
      <c r="ROW35" s="14"/>
      <c r="ROX35" s="14"/>
      <c r="ROY35" s="14"/>
      <c r="ROZ35" s="14"/>
      <c r="RPA35" s="14"/>
      <c r="RPB35" s="14"/>
      <c r="RPC35" s="14"/>
      <c r="RPD35" s="14"/>
      <c r="RPE35" s="14"/>
      <c r="RPF35" s="14"/>
      <c r="RPG35" s="14"/>
      <c r="RPH35" s="14"/>
      <c r="RPI35" s="14"/>
      <c r="RPJ35" s="14"/>
      <c r="RPK35" s="14"/>
      <c r="RPL35" s="14"/>
      <c r="RPM35" s="14"/>
      <c r="RPN35" s="14"/>
      <c r="RPO35" s="14"/>
      <c r="RPP35" s="14"/>
      <c r="RPQ35" s="14"/>
      <c r="RPR35" s="14"/>
      <c r="RPS35" s="14"/>
      <c r="RPT35" s="14"/>
      <c r="RPU35" s="14"/>
      <c r="RPV35" s="14"/>
      <c r="RPW35" s="14"/>
      <c r="RPX35" s="14"/>
      <c r="RPY35" s="14"/>
      <c r="RPZ35" s="14"/>
      <c r="RQA35" s="14"/>
      <c r="RQB35" s="14"/>
      <c r="RQC35" s="14"/>
      <c r="RQD35" s="14"/>
      <c r="RQE35" s="14"/>
      <c r="RQF35" s="14"/>
      <c r="RQG35" s="14"/>
      <c r="RQH35" s="14"/>
      <c r="RQI35" s="14"/>
      <c r="RQJ35" s="14"/>
      <c r="RQK35" s="14"/>
      <c r="RQL35" s="14"/>
      <c r="RQM35" s="14"/>
      <c r="RQN35" s="14"/>
      <c r="RQO35" s="14"/>
      <c r="RQP35" s="14"/>
      <c r="RQQ35" s="14"/>
      <c r="RQR35" s="14"/>
      <c r="RQS35" s="14"/>
      <c r="RQT35" s="14"/>
      <c r="RQU35" s="14"/>
      <c r="RQV35" s="14"/>
      <c r="RQW35" s="14"/>
      <c r="RQX35" s="14"/>
      <c r="RQY35" s="14"/>
      <c r="RQZ35" s="14"/>
      <c r="RRA35" s="14"/>
      <c r="RRB35" s="14"/>
      <c r="RRC35" s="14"/>
      <c r="RRD35" s="14"/>
      <c r="RRE35" s="14"/>
      <c r="RRF35" s="14"/>
      <c r="RRG35" s="14"/>
      <c r="RRH35" s="14"/>
      <c r="RRI35" s="14"/>
      <c r="RRJ35" s="14"/>
      <c r="RRK35" s="14"/>
      <c r="RRL35" s="14"/>
      <c r="RRM35" s="14"/>
      <c r="RRN35" s="14"/>
      <c r="RRO35" s="14"/>
      <c r="RRP35" s="14"/>
      <c r="RRQ35" s="14"/>
      <c r="RRR35" s="14"/>
      <c r="RRS35" s="14"/>
      <c r="RRT35" s="14"/>
      <c r="RRU35" s="14"/>
      <c r="RRV35" s="14"/>
      <c r="RRW35" s="14"/>
      <c r="RRX35" s="14"/>
      <c r="RRY35" s="14"/>
      <c r="RRZ35" s="14"/>
      <c r="RSA35" s="14"/>
      <c r="RSB35" s="14"/>
      <c r="RSC35" s="14"/>
      <c r="RSD35" s="14"/>
      <c r="RSE35" s="14"/>
      <c r="RSF35" s="14"/>
      <c r="RSG35" s="14"/>
      <c r="RSH35" s="14"/>
      <c r="RSI35" s="14"/>
      <c r="RSJ35" s="14"/>
      <c r="RSK35" s="14"/>
      <c r="RSL35" s="14"/>
      <c r="RSM35" s="14"/>
      <c r="RSN35" s="14"/>
      <c r="RSO35" s="14"/>
      <c r="RSP35" s="14"/>
      <c r="RSQ35" s="14"/>
      <c r="RSR35" s="14"/>
      <c r="RSS35" s="14"/>
      <c r="RST35" s="14"/>
      <c r="RSU35" s="14"/>
      <c r="RSV35" s="14"/>
      <c r="RSW35" s="14"/>
      <c r="RSX35" s="14"/>
      <c r="RSY35" s="14"/>
      <c r="RSZ35" s="14"/>
      <c r="RTA35" s="14"/>
      <c r="RTB35" s="14"/>
      <c r="RTC35" s="14"/>
      <c r="RTD35" s="14"/>
      <c r="RTE35" s="14"/>
      <c r="RTF35" s="14"/>
      <c r="RTG35" s="14"/>
      <c r="RTH35" s="14"/>
      <c r="RTI35" s="14"/>
      <c r="RTJ35" s="14"/>
      <c r="RTK35" s="14"/>
      <c r="RTL35" s="14"/>
      <c r="RTM35" s="14"/>
      <c r="RTN35" s="14"/>
      <c r="RTO35" s="14"/>
      <c r="RTP35" s="14"/>
      <c r="RTQ35" s="14"/>
      <c r="RTR35" s="14"/>
      <c r="RTS35" s="14"/>
      <c r="RTT35" s="14"/>
      <c r="RTU35" s="14"/>
      <c r="RTV35" s="14"/>
      <c r="RTW35" s="14"/>
      <c r="RTX35" s="14"/>
      <c r="RTY35" s="14"/>
      <c r="RTZ35" s="14"/>
      <c r="RUA35" s="14"/>
      <c r="RUB35" s="14"/>
      <c r="RUC35" s="14"/>
      <c r="RUD35" s="14"/>
      <c r="RUE35" s="14"/>
      <c r="RUF35" s="14"/>
      <c r="RUG35" s="14"/>
      <c r="RUH35" s="14"/>
      <c r="RUI35" s="14"/>
      <c r="RUJ35" s="14"/>
      <c r="RUK35" s="14"/>
      <c r="RUL35" s="14"/>
      <c r="RUM35" s="14"/>
      <c r="RUN35" s="14"/>
      <c r="RUO35" s="14"/>
      <c r="RUP35" s="14"/>
      <c r="RUQ35" s="14"/>
      <c r="RUR35" s="14"/>
      <c r="RUS35" s="14"/>
      <c r="RUT35" s="14"/>
      <c r="RUU35" s="14"/>
      <c r="RUV35" s="14"/>
      <c r="RUW35" s="14"/>
      <c r="RUX35" s="14"/>
      <c r="RUY35" s="14"/>
      <c r="RUZ35" s="14"/>
      <c r="RVA35" s="14"/>
      <c r="RVB35" s="14"/>
      <c r="RVC35" s="14"/>
      <c r="RVD35" s="14"/>
      <c r="RVE35" s="14"/>
      <c r="RVF35" s="14"/>
      <c r="RVG35" s="14"/>
      <c r="RVH35" s="14"/>
      <c r="RVI35" s="14"/>
      <c r="RVJ35" s="14"/>
      <c r="RVK35" s="14"/>
      <c r="RVL35" s="14"/>
      <c r="RVM35" s="14"/>
      <c r="RVN35" s="14"/>
      <c r="RVO35" s="14"/>
      <c r="RVP35" s="14"/>
      <c r="RVQ35" s="14"/>
      <c r="RVR35" s="14"/>
      <c r="RVS35" s="14"/>
      <c r="RVT35" s="14"/>
      <c r="RVU35" s="14"/>
      <c r="RVV35" s="14"/>
      <c r="RVW35" s="14"/>
      <c r="RVX35" s="14"/>
      <c r="RVY35" s="14"/>
      <c r="RVZ35" s="14"/>
      <c r="RWA35" s="14"/>
      <c r="RWB35" s="14"/>
      <c r="RWC35" s="14"/>
      <c r="RWD35" s="14"/>
      <c r="RWE35" s="14"/>
      <c r="RWF35" s="14"/>
      <c r="RWG35" s="14"/>
      <c r="RWH35" s="14"/>
      <c r="RWI35" s="14"/>
      <c r="RWJ35" s="14"/>
      <c r="RWK35" s="14"/>
      <c r="RWL35" s="14"/>
      <c r="RWM35" s="14"/>
      <c r="RWN35" s="14"/>
      <c r="RWO35" s="14"/>
      <c r="RWP35" s="14"/>
      <c r="RWQ35" s="14"/>
      <c r="RWR35" s="14"/>
      <c r="RWS35" s="14"/>
      <c r="RWT35" s="14"/>
      <c r="RWU35" s="14"/>
      <c r="RWV35" s="14"/>
      <c r="RWW35" s="14"/>
      <c r="RWX35" s="14"/>
      <c r="RWY35" s="14"/>
      <c r="RWZ35" s="14"/>
      <c r="RXA35" s="14"/>
      <c r="RXB35" s="14"/>
      <c r="RXC35" s="14"/>
      <c r="RXD35" s="14"/>
      <c r="RXE35" s="14"/>
      <c r="RXF35" s="14"/>
      <c r="RXG35" s="14"/>
      <c r="RXH35" s="14"/>
      <c r="RXI35" s="14"/>
      <c r="RXJ35" s="14"/>
      <c r="RXK35" s="14"/>
      <c r="RXL35" s="14"/>
      <c r="RXM35" s="14"/>
      <c r="RXN35" s="14"/>
      <c r="RXO35" s="14"/>
      <c r="RXP35" s="14"/>
      <c r="RXQ35" s="14"/>
      <c r="RXR35" s="14"/>
      <c r="RXS35" s="14"/>
      <c r="RXT35" s="14"/>
      <c r="RXU35" s="14"/>
      <c r="RXV35" s="14"/>
      <c r="RXW35" s="14"/>
      <c r="RXX35" s="14"/>
      <c r="RXY35" s="14"/>
      <c r="RXZ35" s="14"/>
      <c r="RYA35" s="14"/>
      <c r="RYB35" s="14"/>
      <c r="RYC35" s="14"/>
      <c r="RYD35" s="14"/>
      <c r="RYE35" s="14"/>
      <c r="RYF35" s="14"/>
      <c r="RYG35" s="14"/>
      <c r="RYH35" s="14"/>
      <c r="RYI35" s="14"/>
      <c r="RYJ35" s="14"/>
      <c r="RYK35" s="14"/>
      <c r="RYL35" s="14"/>
      <c r="RYM35" s="14"/>
      <c r="RYN35" s="14"/>
      <c r="RYO35" s="14"/>
      <c r="RYP35" s="14"/>
      <c r="RYQ35" s="14"/>
      <c r="RYR35" s="14"/>
      <c r="RYS35" s="14"/>
      <c r="RYT35" s="14"/>
      <c r="RYU35" s="14"/>
      <c r="RYV35" s="14"/>
      <c r="RYW35" s="14"/>
      <c r="RYX35" s="14"/>
      <c r="RYY35" s="14"/>
      <c r="RYZ35" s="14"/>
      <c r="RZA35" s="14"/>
      <c r="RZB35" s="14"/>
      <c r="RZC35" s="14"/>
      <c r="RZD35" s="14"/>
      <c r="RZE35" s="14"/>
      <c r="RZF35" s="14"/>
      <c r="RZG35" s="14"/>
      <c r="RZH35" s="14"/>
      <c r="RZI35" s="14"/>
      <c r="RZJ35" s="14"/>
      <c r="RZK35" s="14"/>
      <c r="RZL35" s="14"/>
      <c r="RZM35" s="14"/>
      <c r="RZN35" s="14"/>
      <c r="RZO35" s="14"/>
      <c r="RZP35" s="14"/>
      <c r="RZQ35" s="14"/>
      <c r="RZR35" s="14"/>
      <c r="RZS35" s="14"/>
      <c r="RZT35" s="14"/>
      <c r="RZU35" s="14"/>
      <c r="RZV35" s="14"/>
      <c r="RZW35" s="14"/>
      <c r="RZX35" s="14"/>
      <c r="RZY35" s="14"/>
      <c r="RZZ35" s="14"/>
      <c r="SAA35" s="14"/>
      <c r="SAB35" s="14"/>
      <c r="SAC35" s="14"/>
      <c r="SAD35" s="14"/>
      <c r="SAE35" s="14"/>
      <c r="SAF35" s="14"/>
      <c r="SAG35" s="14"/>
      <c r="SAH35" s="14"/>
      <c r="SAI35" s="14"/>
      <c r="SAJ35" s="14"/>
      <c r="SAK35" s="14"/>
      <c r="SAL35" s="14"/>
      <c r="SAM35" s="14"/>
      <c r="SAN35" s="14"/>
      <c r="SAO35" s="14"/>
      <c r="SAP35" s="14"/>
      <c r="SAQ35" s="14"/>
      <c r="SAR35" s="14"/>
      <c r="SAS35" s="14"/>
      <c r="SAT35" s="14"/>
      <c r="SAU35" s="14"/>
      <c r="SAV35" s="14"/>
      <c r="SAW35" s="14"/>
      <c r="SAX35" s="14"/>
      <c r="SAY35" s="14"/>
      <c r="SAZ35" s="14"/>
      <c r="SBA35" s="14"/>
      <c r="SBB35" s="14"/>
      <c r="SBC35" s="14"/>
      <c r="SBD35" s="14"/>
      <c r="SBE35" s="14"/>
      <c r="SBF35" s="14"/>
      <c r="SBG35" s="14"/>
      <c r="SBH35" s="14"/>
      <c r="SBI35" s="14"/>
      <c r="SBJ35" s="14"/>
      <c r="SBK35" s="14"/>
      <c r="SBL35" s="14"/>
      <c r="SBM35" s="14"/>
      <c r="SBN35" s="14"/>
      <c r="SBO35" s="14"/>
      <c r="SBP35" s="14"/>
      <c r="SBQ35" s="14"/>
      <c r="SBR35" s="14"/>
      <c r="SBS35" s="14"/>
      <c r="SBT35" s="14"/>
      <c r="SBU35" s="14"/>
      <c r="SBV35" s="14"/>
      <c r="SBW35" s="14"/>
      <c r="SBX35" s="14"/>
      <c r="SBY35" s="14"/>
      <c r="SBZ35" s="14"/>
      <c r="SCA35" s="14"/>
      <c r="SCB35" s="14"/>
      <c r="SCC35" s="14"/>
      <c r="SCD35" s="14"/>
      <c r="SCE35" s="14"/>
      <c r="SCF35" s="14"/>
      <c r="SCG35" s="14"/>
      <c r="SCH35" s="14"/>
      <c r="SCI35" s="14"/>
      <c r="SCJ35" s="14"/>
      <c r="SCK35" s="14"/>
      <c r="SCL35" s="14"/>
      <c r="SCM35" s="14"/>
      <c r="SCN35" s="14"/>
      <c r="SCO35" s="14"/>
      <c r="SCP35" s="14"/>
      <c r="SCQ35" s="14"/>
      <c r="SCR35" s="14"/>
      <c r="SCS35" s="14"/>
      <c r="SCT35" s="14"/>
      <c r="SCU35" s="14"/>
      <c r="SCV35" s="14"/>
      <c r="SCW35" s="14"/>
      <c r="SCX35" s="14"/>
      <c r="SCY35" s="14"/>
      <c r="SCZ35" s="14"/>
      <c r="SDA35" s="14"/>
      <c r="SDB35" s="14"/>
      <c r="SDC35" s="14"/>
      <c r="SDD35" s="14"/>
      <c r="SDE35" s="14"/>
      <c r="SDF35" s="14"/>
      <c r="SDG35" s="14"/>
      <c r="SDH35" s="14"/>
      <c r="SDI35" s="14"/>
      <c r="SDJ35" s="14"/>
      <c r="SDK35" s="14"/>
      <c r="SDL35" s="14"/>
      <c r="SDM35" s="14"/>
      <c r="SDN35" s="14"/>
      <c r="SDO35" s="14"/>
      <c r="SDP35" s="14"/>
      <c r="SDQ35" s="14"/>
      <c r="SDR35" s="14"/>
      <c r="SDS35" s="14"/>
      <c r="SDT35" s="14"/>
      <c r="SDU35" s="14"/>
      <c r="SDV35" s="14"/>
      <c r="SDW35" s="14"/>
      <c r="SDX35" s="14"/>
      <c r="SDY35" s="14"/>
      <c r="SDZ35" s="14"/>
      <c r="SEA35" s="14"/>
      <c r="SEB35" s="14"/>
      <c r="SEC35" s="14"/>
      <c r="SED35" s="14"/>
      <c r="SEE35" s="14"/>
      <c r="SEF35" s="14"/>
      <c r="SEG35" s="14"/>
      <c r="SEH35" s="14"/>
      <c r="SEI35" s="14"/>
      <c r="SEJ35" s="14"/>
      <c r="SEK35" s="14"/>
      <c r="SEL35" s="14"/>
      <c r="SEM35" s="14"/>
      <c r="SEN35" s="14"/>
      <c r="SEO35" s="14"/>
      <c r="SEP35" s="14"/>
      <c r="SEQ35" s="14"/>
      <c r="SER35" s="14"/>
      <c r="SES35" s="14"/>
      <c r="SET35" s="14"/>
      <c r="SEU35" s="14"/>
      <c r="SEV35" s="14"/>
      <c r="SEW35" s="14"/>
      <c r="SEX35" s="14"/>
      <c r="SEY35" s="14"/>
      <c r="SEZ35" s="14"/>
      <c r="SFA35" s="14"/>
      <c r="SFB35" s="14"/>
      <c r="SFC35" s="14"/>
      <c r="SFD35" s="14"/>
      <c r="SFE35" s="14"/>
      <c r="SFF35" s="14"/>
      <c r="SFG35" s="14"/>
      <c r="SFH35" s="14"/>
      <c r="SFI35" s="14"/>
      <c r="SFJ35" s="14"/>
      <c r="SFK35" s="14"/>
      <c r="SFL35" s="14"/>
      <c r="SFM35" s="14"/>
      <c r="SFN35" s="14"/>
      <c r="SFO35" s="14"/>
      <c r="SFP35" s="14"/>
      <c r="SFQ35" s="14"/>
      <c r="SFR35" s="14"/>
      <c r="SFS35" s="14"/>
      <c r="SFT35" s="14"/>
      <c r="SFU35" s="14"/>
      <c r="SFV35" s="14"/>
      <c r="SFW35" s="14"/>
      <c r="SFX35" s="14"/>
      <c r="SFY35" s="14"/>
      <c r="SFZ35" s="14"/>
      <c r="SGA35" s="14"/>
      <c r="SGB35" s="14"/>
      <c r="SGC35" s="14"/>
      <c r="SGD35" s="14"/>
      <c r="SGE35" s="14"/>
      <c r="SGF35" s="14"/>
      <c r="SGG35" s="14"/>
      <c r="SGH35" s="14"/>
      <c r="SGI35" s="14"/>
      <c r="SGJ35" s="14"/>
      <c r="SGK35" s="14"/>
      <c r="SGL35" s="14"/>
      <c r="SGM35" s="14"/>
      <c r="SGN35" s="14"/>
      <c r="SGO35" s="14"/>
      <c r="SGP35" s="14"/>
      <c r="SGQ35" s="14"/>
      <c r="SGR35" s="14"/>
      <c r="SGS35" s="14"/>
      <c r="SGT35" s="14"/>
      <c r="SGU35" s="14"/>
      <c r="SGV35" s="14"/>
      <c r="SGW35" s="14"/>
      <c r="SGX35" s="14"/>
      <c r="SGY35" s="14"/>
      <c r="SGZ35" s="14"/>
      <c r="SHA35" s="14"/>
      <c r="SHB35" s="14"/>
      <c r="SHC35" s="14"/>
      <c r="SHD35" s="14"/>
      <c r="SHE35" s="14"/>
      <c r="SHF35" s="14"/>
      <c r="SHG35" s="14"/>
      <c r="SHH35" s="14"/>
      <c r="SHI35" s="14"/>
      <c r="SHJ35" s="14"/>
      <c r="SHK35" s="14"/>
      <c r="SHL35" s="14"/>
      <c r="SHM35" s="14"/>
      <c r="SHN35" s="14"/>
      <c r="SHO35" s="14"/>
      <c r="SHP35" s="14"/>
      <c r="SHQ35" s="14"/>
      <c r="SHR35" s="14"/>
      <c r="SHS35" s="14"/>
      <c r="SHT35" s="14"/>
      <c r="SHU35" s="14"/>
      <c r="SHV35" s="14"/>
      <c r="SHW35" s="14"/>
      <c r="SHX35" s="14"/>
      <c r="SHY35" s="14"/>
      <c r="SHZ35" s="14"/>
      <c r="SIA35" s="14"/>
      <c r="SIB35" s="14"/>
      <c r="SIC35" s="14"/>
      <c r="SID35" s="14"/>
      <c r="SIE35" s="14"/>
      <c r="SIF35" s="14"/>
      <c r="SIG35" s="14"/>
      <c r="SIH35" s="14"/>
      <c r="SII35" s="14"/>
      <c r="SIJ35" s="14"/>
      <c r="SIK35" s="14"/>
      <c r="SIL35" s="14"/>
      <c r="SIM35" s="14"/>
      <c r="SIN35" s="14"/>
      <c r="SIO35" s="14"/>
      <c r="SIP35" s="14"/>
      <c r="SIQ35" s="14"/>
      <c r="SIR35" s="14"/>
      <c r="SIS35" s="14"/>
      <c r="SIT35" s="14"/>
      <c r="SIU35" s="14"/>
      <c r="SIV35" s="14"/>
      <c r="SIW35" s="14"/>
      <c r="SIX35" s="14"/>
      <c r="SIY35" s="14"/>
      <c r="SIZ35" s="14"/>
      <c r="SJA35" s="14"/>
      <c r="SJB35" s="14"/>
      <c r="SJC35" s="14"/>
      <c r="SJD35" s="14"/>
      <c r="SJE35" s="14"/>
      <c r="SJF35" s="14"/>
      <c r="SJG35" s="14"/>
      <c r="SJH35" s="14"/>
      <c r="SJI35" s="14"/>
      <c r="SJJ35" s="14"/>
      <c r="SJK35" s="14"/>
      <c r="SJL35" s="14"/>
      <c r="SJM35" s="14"/>
      <c r="SJN35" s="14"/>
      <c r="SJO35" s="14"/>
      <c r="SJP35" s="14"/>
      <c r="SJQ35" s="14"/>
      <c r="SJR35" s="14"/>
      <c r="SJS35" s="14"/>
      <c r="SJT35" s="14"/>
      <c r="SJU35" s="14"/>
      <c r="SJV35" s="14"/>
      <c r="SJW35" s="14"/>
      <c r="SJX35" s="14"/>
      <c r="SJY35" s="14"/>
      <c r="SJZ35" s="14"/>
      <c r="SKA35" s="14"/>
      <c r="SKB35" s="14"/>
      <c r="SKC35" s="14"/>
      <c r="SKD35" s="14"/>
      <c r="SKE35" s="14"/>
      <c r="SKF35" s="14"/>
      <c r="SKG35" s="14"/>
      <c r="SKH35" s="14"/>
      <c r="SKI35" s="14"/>
      <c r="SKJ35" s="14"/>
      <c r="SKK35" s="14"/>
      <c r="SKL35" s="14"/>
      <c r="SKM35" s="14"/>
      <c r="SKN35" s="14"/>
      <c r="SKO35" s="14"/>
      <c r="SKP35" s="14"/>
      <c r="SKQ35" s="14"/>
      <c r="SKR35" s="14"/>
      <c r="SKS35" s="14"/>
      <c r="SKT35" s="14"/>
      <c r="SKU35" s="14"/>
      <c r="SKV35" s="14"/>
      <c r="SKW35" s="14"/>
      <c r="SKX35" s="14"/>
      <c r="SKY35" s="14"/>
      <c r="SKZ35" s="14"/>
      <c r="SLA35" s="14"/>
      <c r="SLB35" s="14"/>
      <c r="SLC35" s="14"/>
      <c r="SLD35" s="14"/>
      <c r="SLE35" s="14"/>
      <c r="SLF35" s="14"/>
      <c r="SLG35" s="14"/>
      <c r="SLH35" s="14"/>
      <c r="SLI35" s="14"/>
      <c r="SLJ35" s="14"/>
      <c r="SLK35" s="14"/>
      <c r="SLL35" s="14"/>
      <c r="SLM35" s="14"/>
      <c r="SLN35" s="14"/>
      <c r="SLO35" s="14"/>
      <c r="SLP35" s="14"/>
      <c r="SLQ35" s="14"/>
      <c r="SLR35" s="14"/>
      <c r="SLS35" s="14"/>
      <c r="SLT35" s="14"/>
      <c r="SLU35" s="14"/>
      <c r="SLV35" s="14"/>
      <c r="SLW35" s="14"/>
      <c r="SLX35" s="14"/>
      <c r="SLY35" s="14"/>
      <c r="SLZ35" s="14"/>
      <c r="SMA35" s="14"/>
      <c r="SMB35" s="14"/>
      <c r="SMC35" s="14"/>
      <c r="SMD35" s="14"/>
      <c r="SME35" s="14"/>
      <c r="SMF35" s="14"/>
      <c r="SMG35" s="14"/>
      <c r="SMH35" s="14"/>
      <c r="SMI35" s="14"/>
      <c r="SMJ35" s="14"/>
      <c r="SMK35" s="14"/>
      <c r="SML35" s="14"/>
      <c r="SMM35" s="14"/>
      <c r="SMN35" s="14"/>
      <c r="SMO35" s="14"/>
      <c r="SMP35" s="14"/>
      <c r="SMQ35" s="14"/>
      <c r="SMR35" s="14"/>
      <c r="SMS35" s="14"/>
      <c r="SMT35" s="14"/>
      <c r="SMU35" s="14"/>
      <c r="SMV35" s="14"/>
      <c r="SMW35" s="14"/>
      <c r="SMX35" s="14"/>
      <c r="SMY35" s="14"/>
      <c r="SMZ35" s="14"/>
      <c r="SNA35" s="14"/>
      <c r="SNB35" s="14"/>
      <c r="SNC35" s="14"/>
      <c r="SND35" s="14"/>
      <c r="SNE35" s="14"/>
      <c r="SNF35" s="14"/>
      <c r="SNG35" s="14"/>
      <c r="SNH35" s="14"/>
      <c r="SNI35" s="14"/>
      <c r="SNJ35" s="14"/>
      <c r="SNK35" s="14"/>
      <c r="SNL35" s="14"/>
      <c r="SNM35" s="14"/>
      <c r="SNN35" s="14"/>
      <c r="SNO35" s="14"/>
      <c r="SNP35" s="14"/>
      <c r="SNQ35" s="14"/>
      <c r="SNR35" s="14"/>
      <c r="SNS35" s="14"/>
      <c r="SNT35" s="14"/>
      <c r="SNU35" s="14"/>
      <c r="SNV35" s="14"/>
      <c r="SNW35" s="14"/>
      <c r="SNX35" s="14"/>
      <c r="SNY35" s="14"/>
      <c r="SNZ35" s="14"/>
      <c r="SOA35" s="14"/>
      <c r="SOB35" s="14"/>
      <c r="SOC35" s="14"/>
      <c r="SOD35" s="14"/>
      <c r="SOE35" s="14"/>
      <c r="SOF35" s="14"/>
      <c r="SOG35" s="14"/>
      <c r="SOH35" s="14"/>
      <c r="SOI35" s="14"/>
      <c r="SOJ35" s="14"/>
      <c r="SOK35" s="14"/>
      <c r="SOL35" s="14"/>
      <c r="SOM35" s="14"/>
      <c r="SON35" s="14"/>
      <c r="SOO35" s="14"/>
      <c r="SOP35" s="14"/>
      <c r="SOQ35" s="14"/>
      <c r="SOR35" s="14"/>
      <c r="SOS35" s="14"/>
      <c r="SOT35" s="14"/>
      <c r="SOU35" s="14"/>
      <c r="SOV35" s="14"/>
      <c r="SOW35" s="14"/>
      <c r="SOX35" s="14"/>
      <c r="SOY35" s="14"/>
      <c r="SOZ35" s="14"/>
      <c r="SPA35" s="14"/>
      <c r="SPB35" s="14"/>
      <c r="SPC35" s="14"/>
      <c r="SPD35" s="14"/>
      <c r="SPE35" s="14"/>
      <c r="SPF35" s="14"/>
      <c r="SPG35" s="14"/>
      <c r="SPH35" s="14"/>
      <c r="SPI35" s="14"/>
      <c r="SPJ35" s="14"/>
      <c r="SPK35" s="14"/>
      <c r="SPL35" s="14"/>
      <c r="SPM35" s="14"/>
      <c r="SPN35" s="14"/>
      <c r="SPO35" s="14"/>
      <c r="SPP35" s="14"/>
      <c r="SPQ35" s="14"/>
      <c r="SPR35" s="14"/>
      <c r="SPS35" s="14"/>
      <c r="SPT35" s="14"/>
      <c r="SPU35" s="14"/>
      <c r="SPV35" s="14"/>
      <c r="SPW35" s="14"/>
      <c r="SPX35" s="14"/>
      <c r="SPY35" s="14"/>
      <c r="SPZ35" s="14"/>
      <c r="SQA35" s="14"/>
      <c r="SQB35" s="14"/>
      <c r="SQC35" s="14"/>
      <c r="SQD35" s="14"/>
      <c r="SQE35" s="14"/>
      <c r="SQF35" s="14"/>
      <c r="SQG35" s="14"/>
      <c r="SQH35" s="14"/>
      <c r="SQI35" s="14"/>
      <c r="SQJ35" s="14"/>
      <c r="SQK35" s="14"/>
      <c r="SQL35" s="14"/>
      <c r="SQM35" s="14"/>
      <c r="SQN35" s="14"/>
      <c r="SQO35" s="14"/>
      <c r="SQP35" s="14"/>
      <c r="SQQ35" s="14"/>
      <c r="SQR35" s="14"/>
      <c r="SQS35" s="14"/>
      <c r="SQT35" s="14"/>
      <c r="SQU35" s="14"/>
      <c r="SQV35" s="14"/>
      <c r="SQW35" s="14"/>
      <c r="SQX35" s="14"/>
      <c r="SQY35" s="14"/>
      <c r="SQZ35" s="14"/>
      <c r="SRA35" s="14"/>
      <c r="SRB35" s="14"/>
      <c r="SRC35" s="14"/>
      <c r="SRD35" s="14"/>
      <c r="SRE35" s="14"/>
      <c r="SRF35" s="14"/>
      <c r="SRG35" s="14"/>
      <c r="SRH35" s="14"/>
      <c r="SRI35" s="14"/>
      <c r="SRJ35" s="14"/>
      <c r="SRK35" s="14"/>
      <c r="SRL35" s="14"/>
      <c r="SRM35" s="14"/>
      <c r="SRN35" s="14"/>
      <c r="SRO35" s="14"/>
      <c r="SRP35" s="14"/>
      <c r="SRQ35" s="14"/>
      <c r="SRR35" s="14"/>
      <c r="SRS35" s="14"/>
      <c r="SRT35" s="14"/>
      <c r="SRU35" s="14"/>
      <c r="SRV35" s="14"/>
      <c r="SRW35" s="14"/>
      <c r="SRX35" s="14"/>
      <c r="SRY35" s="14"/>
      <c r="SRZ35" s="14"/>
      <c r="SSA35" s="14"/>
      <c r="SSB35" s="14"/>
      <c r="SSC35" s="14"/>
      <c r="SSD35" s="14"/>
      <c r="SSE35" s="14"/>
      <c r="SSF35" s="14"/>
      <c r="SSG35" s="14"/>
      <c r="SSH35" s="14"/>
      <c r="SSI35" s="14"/>
      <c r="SSJ35" s="14"/>
      <c r="SSK35" s="14"/>
      <c r="SSL35" s="14"/>
      <c r="SSM35" s="14"/>
      <c r="SSN35" s="14"/>
      <c r="SSO35" s="14"/>
      <c r="SSP35" s="14"/>
      <c r="SSQ35" s="14"/>
      <c r="SSR35" s="14"/>
      <c r="SSS35" s="14"/>
      <c r="SST35" s="14"/>
      <c r="SSU35" s="14"/>
      <c r="SSV35" s="14"/>
      <c r="SSW35" s="14"/>
      <c r="SSX35" s="14"/>
      <c r="SSY35" s="14"/>
      <c r="SSZ35" s="14"/>
      <c r="STA35" s="14"/>
      <c r="STB35" s="14"/>
      <c r="STC35" s="14"/>
      <c r="STD35" s="14"/>
      <c r="STE35" s="14"/>
      <c r="STF35" s="14"/>
      <c r="STG35" s="14"/>
      <c r="STH35" s="14"/>
      <c r="STI35" s="14"/>
      <c r="STJ35" s="14"/>
      <c r="STK35" s="14"/>
      <c r="STL35" s="14"/>
      <c r="STM35" s="14"/>
      <c r="STN35" s="14"/>
      <c r="STO35" s="14"/>
      <c r="STP35" s="14"/>
      <c r="STQ35" s="14"/>
      <c r="STR35" s="14"/>
      <c r="STS35" s="14"/>
      <c r="STT35" s="14"/>
      <c r="STU35" s="14"/>
      <c r="STV35" s="14"/>
      <c r="STW35" s="14"/>
      <c r="STX35" s="14"/>
      <c r="STY35" s="14"/>
      <c r="STZ35" s="14"/>
      <c r="SUA35" s="14"/>
      <c r="SUB35" s="14"/>
      <c r="SUC35" s="14"/>
      <c r="SUD35" s="14"/>
      <c r="SUE35" s="14"/>
      <c r="SUF35" s="14"/>
      <c r="SUG35" s="14"/>
      <c r="SUH35" s="14"/>
      <c r="SUI35" s="14"/>
      <c r="SUJ35" s="14"/>
      <c r="SUK35" s="14"/>
      <c r="SUL35" s="14"/>
      <c r="SUM35" s="14"/>
      <c r="SUN35" s="14"/>
      <c r="SUO35" s="14"/>
      <c r="SUP35" s="14"/>
      <c r="SUQ35" s="14"/>
      <c r="SUR35" s="14"/>
      <c r="SUS35" s="14"/>
      <c r="SUT35" s="14"/>
      <c r="SUU35" s="14"/>
      <c r="SUV35" s="14"/>
      <c r="SUW35" s="14"/>
      <c r="SUX35" s="14"/>
      <c r="SUY35" s="14"/>
      <c r="SUZ35" s="14"/>
      <c r="SVA35" s="14"/>
      <c r="SVB35" s="14"/>
      <c r="SVC35" s="14"/>
      <c r="SVD35" s="14"/>
      <c r="SVE35" s="14"/>
      <c r="SVF35" s="14"/>
      <c r="SVG35" s="14"/>
      <c r="SVH35" s="14"/>
      <c r="SVI35" s="14"/>
      <c r="SVJ35" s="14"/>
      <c r="SVK35" s="14"/>
      <c r="SVL35" s="14"/>
      <c r="SVM35" s="14"/>
      <c r="SVN35" s="14"/>
      <c r="SVO35" s="14"/>
      <c r="SVP35" s="14"/>
      <c r="SVQ35" s="14"/>
      <c r="SVR35" s="14"/>
      <c r="SVS35" s="14"/>
      <c r="SVT35" s="14"/>
      <c r="SVU35" s="14"/>
      <c r="SVV35" s="14"/>
      <c r="SVW35" s="14"/>
      <c r="SVX35" s="14"/>
      <c r="SVY35" s="14"/>
      <c r="SVZ35" s="14"/>
      <c r="SWA35" s="14"/>
      <c r="SWB35" s="14"/>
      <c r="SWC35" s="14"/>
      <c r="SWD35" s="14"/>
      <c r="SWE35" s="14"/>
      <c r="SWF35" s="14"/>
      <c r="SWG35" s="14"/>
      <c r="SWH35" s="14"/>
      <c r="SWI35" s="14"/>
      <c r="SWJ35" s="14"/>
      <c r="SWK35" s="14"/>
      <c r="SWL35" s="14"/>
      <c r="SWM35" s="14"/>
      <c r="SWN35" s="14"/>
      <c r="SWO35" s="14"/>
      <c r="SWP35" s="14"/>
      <c r="SWQ35" s="14"/>
      <c r="SWR35" s="14"/>
      <c r="SWS35" s="14"/>
      <c r="SWT35" s="14"/>
      <c r="SWU35" s="14"/>
      <c r="SWV35" s="14"/>
      <c r="SWW35" s="14"/>
      <c r="SWX35" s="14"/>
      <c r="SWY35" s="14"/>
      <c r="SWZ35" s="14"/>
      <c r="SXA35" s="14"/>
      <c r="SXB35" s="14"/>
      <c r="SXC35" s="14"/>
      <c r="SXD35" s="14"/>
      <c r="SXE35" s="14"/>
      <c r="SXF35" s="14"/>
      <c r="SXG35" s="14"/>
      <c r="SXH35" s="14"/>
      <c r="SXI35" s="14"/>
      <c r="SXJ35" s="14"/>
      <c r="SXK35" s="14"/>
      <c r="SXL35" s="14"/>
      <c r="SXM35" s="14"/>
      <c r="SXN35" s="14"/>
      <c r="SXO35" s="14"/>
      <c r="SXP35" s="14"/>
      <c r="SXQ35" s="14"/>
      <c r="SXR35" s="14"/>
      <c r="SXS35" s="14"/>
      <c r="SXT35" s="14"/>
      <c r="SXU35" s="14"/>
      <c r="SXV35" s="14"/>
      <c r="SXW35" s="14"/>
      <c r="SXX35" s="14"/>
      <c r="SXY35" s="14"/>
      <c r="SXZ35" s="14"/>
      <c r="SYA35" s="14"/>
      <c r="SYB35" s="14"/>
      <c r="SYC35" s="14"/>
      <c r="SYD35" s="14"/>
      <c r="SYE35" s="14"/>
      <c r="SYF35" s="14"/>
      <c r="SYG35" s="14"/>
      <c r="SYH35" s="14"/>
      <c r="SYI35" s="14"/>
      <c r="SYJ35" s="14"/>
      <c r="SYK35" s="14"/>
      <c r="SYL35" s="14"/>
      <c r="SYM35" s="14"/>
      <c r="SYN35" s="14"/>
      <c r="SYO35" s="14"/>
      <c r="SYP35" s="14"/>
      <c r="SYQ35" s="14"/>
      <c r="SYR35" s="14"/>
      <c r="SYS35" s="14"/>
      <c r="SYT35" s="14"/>
      <c r="SYU35" s="14"/>
      <c r="SYV35" s="14"/>
      <c r="SYW35" s="14"/>
      <c r="SYX35" s="14"/>
      <c r="SYY35" s="14"/>
      <c r="SYZ35" s="14"/>
      <c r="SZA35" s="14"/>
      <c r="SZB35" s="14"/>
      <c r="SZC35" s="14"/>
      <c r="SZD35" s="14"/>
      <c r="SZE35" s="14"/>
      <c r="SZF35" s="14"/>
      <c r="SZG35" s="14"/>
      <c r="SZH35" s="14"/>
      <c r="SZI35" s="14"/>
      <c r="SZJ35" s="14"/>
      <c r="SZK35" s="14"/>
      <c r="SZL35" s="14"/>
      <c r="SZM35" s="14"/>
      <c r="SZN35" s="14"/>
      <c r="SZO35" s="14"/>
      <c r="SZP35" s="14"/>
      <c r="SZQ35" s="14"/>
      <c r="SZR35" s="14"/>
      <c r="SZS35" s="14"/>
      <c r="SZT35" s="14"/>
      <c r="SZU35" s="14"/>
      <c r="SZV35" s="14"/>
      <c r="SZW35" s="14"/>
      <c r="SZX35" s="14"/>
      <c r="SZY35" s="14"/>
      <c r="SZZ35" s="14"/>
      <c r="TAA35" s="14"/>
      <c r="TAB35" s="14"/>
      <c r="TAC35" s="14"/>
      <c r="TAD35" s="14"/>
      <c r="TAE35" s="14"/>
      <c r="TAF35" s="14"/>
      <c r="TAG35" s="14"/>
      <c r="TAH35" s="14"/>
      <c r="TAI35" s="14"/>
      <c r="TAJ35" s="14"/>
      <c r="TAK35" s="14"/>
      <c r="TAL35" s="14"/>
      <c r="TAM35" s="14"/>
      <c r="TAN35" s="14"/>
      <c r="TAO35" s="14"/>
      <c r="TAP35" s="14"/>
      <c r="TAQ35" s="14"/>
      <c r="TAR35" s="14"/>
      <c r="TAS35" s="14"/>
      <c r="TAT35" s="14"/>
      <c r="TAU35" s="14"/>
      <c r="TAV35" s="14"/>
      <c r="TAW35" s="14"/>
      <c r="TAX35" s="14"/>
      <c r="TAY35" s="14"/>
      <c r="TAZ35" s="14"/>
      <c r="TBA35" s="14"/>
      <c r="TBB35" s="14"/>
      <c r="TBC35" s="14"/>
      <c r="TBD35" s="14"/>
      <c r="TBE35" s="14"/>
      <c r="TBF35" s="14"/>
      <c r="TBG35" s="14"/>
      <c r="TBH35" s="14"/>
      <c r="TBI35" s="14"/>
      <c r="TBJ35" s="14"/>
      <c r="TBK35" s="14"/>
      <c r="TBL35" s="14"/>
      <c r="TBM35" s="14"/>
      <c r="TBN35" s="14"/>
      <c r="TBO35" s="14"/>
      <c r="TBP35" s="14"/>
      <c r="TBQ35" s="14"/>
      <c r="TBR35" s="14"/>
      <c r="TBS35" s="14"/>
      <c r="TBT35" s="14"/>
      <c r="TBU35" s="14"/>
      <c r="TBV35" s="14"/>
      <c r="TBW35" s="14"/>
      <c r="TBX35" s="14"/>
      <c r="TBY35" s="14"/>
      <c r="TBZ35" s="14"/>
      <c r="TCA35" s="14"/>
      <c r="TCB35" s="14"/>
      <c r="TCC35" s="14"/>
      <c r="TCD35" s="14"/>
      <c r="TCE35" s="14"/>
      <c r="TCF35" s="14"/>
      <c r="TCG35" s="14"/>
      <c r="TCH35" s="14"/>
      <c r="TCI35" s="14"/>
      <c r="TCJ35" s="14"/>
      <c r="TCK35" s="14"/>
      <c r="TCL35" s="14"/>
      <c r="TCM35" s="14"/>
      <c r="TCN35" s="14"/>
      <c r="TCO35" s="14"/>
      <c r="TCP35" s="14"/>
      <c r="TCQ35" s="14"/>
      <c r="TCR35" s="14"/>
      <c r="TCS35" s="14"/>
      <c r="TCT35" s="14"/>
      <c r="TCU35" s="14"/>
      <c r="TCV35" s="14"/>
      <c r="TCW35" s="14"/>
      <c r="TCX35" s="14"/>
      <c r="TCY35" s="14"/>
      <c r="TCZ35" s="14"/>
      <c r="TDA35" s="14"/>
      <c r="TDB35" s="14"/>
      <c r="TDC35" s="14"/>
      <c r="TDD35" s="14"/>
      <c r="TDE35" s="14"/>
      <c r="TDF35" s="14"/>
      <c r="TDG35" s="14"/>
      <c r="TDH35" s="14"/>
      <c r="TDI35" s="14"/>
      <c r="TDJ35" s="14"/>
      <c r="TDK35" s="14"/>
      <c r="TDL35" s="14"/>
      <c r="TDM35" s="14"/>
      <c r="TDN35" s="14"/>
      <c r="TDO35" s="14"/>
      <c r="TDP35" s="14"/>
      <c r="TDQ35" s="14"/>
      <c r="TDR35" s="14"/>
      <c r="TDS35" s="14"/>
      <c r="TDT35" s="14"/>
      <c r="TDU35" s="14"/>
      <c r="TDV35" s="14"/>
      <c r="TDW35" s="14"/>
      <c r="TDX35" s="14"/>
      <c r="TDY35" s="14"/>
      <c r="TDZ35" s="14"/>
      <c r="TEA35" s="14"/>
      <c r="TEB35" s="14"/>
      <c r="TEC35" s="14"/>
      <c r="TED35" s="14"/>
      <c r="TEE35" s="14"/>
      <c r="TEF35" s="14"/>
      <c r="TEG35" s="14"/>
      <c r="TEH35" s="14"/>
      <c r="TEI35" s="14"/>
      <c r="TEJ35" s="14"/>
      <c r="TEK35" s="14"/>
      <c r="TEL35" s="14"/>
      <c r="TEM35" s="14"/>
      <c r="TEN35" s="14"/>
      <c r="TEO35" s="14"/>
      <c r="TEP35" s="14"/>
      <c r="TEQ35" s="14"/>
      <c r="TER35" s="14"/>
      <c r="TES35" s="14"/>
      <c r="TET35" s="14"/>
      <c r="TEU35" s="14"/>
      <c r="TEV35" s="14"/>
      <c r="TEW35" s="14"/>
      <c r="TEX35" s="14"/>
      <c r="TEY35" s="14"/>
      <c r="TEZ35" s="14"/>
      <c r="TFA35" s="14"/>
      <c r="TFB35" s="14"/>
      <c r="TFC35" s="14"/>
      <c r="TFD35" s="14"/>
      <c r="TFE35" s="14"/>
      <c r="TFF35" s="14"/>
      <c r="TFG35" s="14"/>
      <c r="TFH35" s="14"/>
      <c r="TFI35" s="14"/>
      <c r="TFJ35" s="14"/>
      <c r="TFK35" s="14"/>
      <c r="TFL35" s="14"/>
      <c r="TFM35" s="14"/>
      <c r="TFN35" s="14"/>
      <c r="TFO35" s="14"/>
      <c r="TFP35" s="14"/>
      <c r="TFQ35" s="14"/>
      <c r="TFR35" s="14"/>
      <c r="TFS35" s="14"/>
      <c r="TFT35" s="14"/>
      <c r="TFU35" s="14"/>
      <c r="TFV35" s="14"/>
      <c r="TFW35" s="14"/>
      <c r="TFX35" s="14"/>
      <c r="TFY35" s="14"/>
      <c r="TFZ35" s="14"/>
      <c r="TGA35" s="14"/>
      <c r="TGB35" s="14"/>
      <c r="TGC35" s="14"/>
      <c r="TGD35" s="14"/>
      <c r="TGE35" s="14"/>
      <c r="TGF35" s="14"/>
      <c r="TGG35" s="14"/>
      <c r="TGH35" s="14"/>
      <c r="TGI35" s="14"/>
      <c r="TGJ35" s="14"/>
      <c r="TGK35" s="14"/>
      <c r="TGL35" s="14"/>
      <c r="TGM35" s="14"/>
      <c r="TGN35" s="14"/>
      <c r="TGO35" s="14"/>
      <c r="TGP35" s="14"/>
      <c r="TGQ35" s="14"/>
      <c r="TGR35" s="14"/>
      <c r="TGS35" s="14"/>
      <c r="TGT35" s="14"/>
      <c r="TGU35" s="14"/>
      <c r="TGV35" s="14"/>
      <c r="TGW35" s="14"/>
      <c r="TGX35" s="14"/>
      <c r="TGY35" s="14"/>
      <c r="TGZ35" s="14"/>
      <c r="THA35" s="14"/>
      <c r="THB35" s="14"/>
      <c r="THC35" s="14"/>
      <c r="THD35" s="14"/>
      <c r="THE35" s="14"/>
      <c r="THF35" s="14"/>
      <c r="THG35" s="14"/>
      <c r="THH35" s="14"/>
      <c r="THI35" s="14"/>
      <c r="THJ35" s="14"/>
      <c r="THK35" s="14"/>
      <c r="THL35" s="14"/>
      <c r="THM35" s="14"/>
      <c r="THN35" s="14"/>
      <c r="THO35" s="14"/>
      <c r="THP35" s="14"/>
      <c r="THQ35" s="14"/>
      <c r="THR35" s="14"/>
      <c r="THS35" s="14"/>
      <c r="THT35" s="14"/>
      <c r="THU35" s="14"/>
      <c r="THV35" s="14"/>
      <c r="THW35" s="14"/>
      <c r="THX35" s="14"/>
      <c r="THY35" s="14"/>
      <c r="THZ35" s="14"/>
      <c r="TIA35" s="14"/>
      <c r="TIB35" s="14"/>
      <c r="TIC35" s="14"/>
      <c r="TID35" s="14"/>
      <c r="TIE35" s="14"/>
      <c r="TIF35" s="14"/>
      <c r="TIG35" s="14"/>
      <c r="TIH35" s="14"/>
      <c r="TII35" s="14"/>
      <c r="TIJ35" s="14"/>
      <c r="TIK35" s="14"/>
      <c r="TIL35" s="14"/>
      <c r="TIM35" s="14"/>
      <c r="TIN35" s="14"/>
      <c r="TIO35" s="14"/>
      <c r="TIP35" s="14"/>
      <c r="TIQ35" s="14"/>
      <c r="TIR35" s="14"/>
      <c r="TIS35" s="14"/>
      <c r="TIT35" s="14"/>
      <c r="TIU35" s="14"/>
      <c r="TIV35" s="14"/>
      <c r="TIW35" s="14"/>
      <c r="TIX35" s="14"/>
      <c r="TIY35" s="14"/>
      <c r="TIZ35" s="14"/>
      <c r="TJA35" s="14"/>
      <c r="TJB35" s="14"/>
      <c r="TJC35" s="14"/>
      <c r="TJD35" s="14"/>
      <c r="TJE35" s="14"/>
      <c r="TJF35" s="14"/>
      <c r="TJG35" s="14"/>
      <c r="TJH35" s="14"/>
      <c r="TJI35" s="14"/>
      <c r="TJJ35" s="14"/>
      <c r="TJK35" s="14"/>
      <c r="TJL35" s="14"/>
      <c r="TJM35" s="14"/>
      <c r="TJN35" s="14"/>
      <c r="TJO35" s="14"/>
      <c r="TJP35" s="14"/>
      <c r="TJQ35" s="14"/>
      <c r="TJR35" s="14"/>
      <c r="TJS35" s="14"/>
      <c r="TJT35" s="14"/>
      <c r="TJU35" s="14"/>
      <c r="TJV35" s="14"/>
      <c r="TJW35" s="14"/>
      <c r="TJX35" s="14"/>
      <c r="TJY35" s="14"/>
      <c r="TJZ35" s="14"/>
      <c r="TKA35" s="14"/>
      <c r="TKB35" s="14"/>
      <c r="TKC35" s="14"/>
      <c r="TKD35" s="14"/>
      <c r="TKE35" s="14"/>
      <c r="TKF35" s="14"/>
      <c r="TKG35" s="14"/>
      <c r="TKH35" s="14"/>
      <c r="TKI35" s="14"/>
      <c r="TKJ35" s="14"/>
      <c r="TKK35" s="14"/>
      <c r="TKL35" s="14"/>
      <c r="TKM35" s="14"/>
      <c r="TKN35" s="14"/>
      <c r="TKO35" s="14"/>
      <c r="TKP35" s="14"/>
      <c r="TKQ35" s="14"/>
      <c r="TKR35" s="14"/>
      <c r="TKS35" s="14"/>
      <c r="TKT35" s="14"/>
      <c r="TKU35" s="14"/>
      <c r="TKV35" s="14"/>
      <c r="TKW35" s="14"/>
      <c r="TKX35" s="14"/>
      <c r="TKY35" s="14"/>
      <c r="TKZ35" s="14"/>
      <c r="TLA35" s="14"/>
      <c r="TLB35" s="14"/>
      <c r="TLC35" s="14"/>
      <c r="TLD35" s="14"/>
      <c r="TLE35" s="14"/>
      <c r="TLF35" s="14"/>
      <c r="TLG35" s="14"/>
      <c r="TLH35" s="14"/>
      <c r="TLI35" s="14"/>
      <c r="TLJ35" s="14"/>
      <c r="TLK35" s="14"/>
      <c r="TLL35" s="14"/>
      <c r="TLM35" s="14"/>
      <c r="TLN35" s="14"/>
      <c r="TLO35" s="14"/>
      <c r="TLP35" s="14"/>
      <c r="TLQ35" s="14"/>
      <c r="TLR35" s="14"/>
      <c r="TLS35" s="14"/>
      <c r="TLT35" s="14"/>
      <c r="TLU35" s="14"/>
      <c r="TLV35" s="14"/>
      <c r="TLW35" s="14"/>
      <c r="TLX35" s="14"/>
      <c r="TLY35" s="14"/>
      <c r="TLZ35" s="14"/>
      <c r="TMA35" s="14"/>
      <c r="TMB35" s="14"/>
      <c r="TMC35" s="14"/>
      <c r="TMD35" s="14"/>
      <c r="TME35" s="14"/>
      <c r="TMF35" s="14"/>
      <c r="TMG35" s="14"/>
      <c r="TMH35" s="14"/>
      <c r="TMI35" s="14"/>
      <c r="TMJ35" s="14"/>
      <c r="TMK35" s="14"/>
      <c r="TML35" s="14"/>
      <c r="TMM35" s="14"/>
      <c r="TMN35" s="14"/>
      <c r="TMO35" s="14"/>
      <c r="TMP35" s="14"/>
      <c r="TMQ35" s="14"/>
      <c r="TMR35" s="14"/>
      <c r="TMS35" s="14"/>
      <c r="TMT35" s="14"/>
      <c r="TMU35" s="14"/>
      <c r="TMV35" s="14"/>
      <c r="TMW35" s="14"/>
      <c r="TMX35" s="14"/>
      <c r="TMY35" s="14"/>
      <c r="TMZ35" s="14"/>
      <c r="TNA35" s="14"/>
      <c r="TNB35" s="14"/>
      <c r="TNC35" s="14"/>
      <c r="TND35" s="14"/>
      <c r="TNE35" s="14"/>
      <c r="TNF35" s="14"/>
      <c r="TNG35" s="14"/>
      <c r="TNH35" s="14"/>
      <c r="TNI35" s="14"/>
      <c r="TNJ35" s="14"/>
      <c r="TNK35" s="14"/>
      <c r="TNL35" s="14"/>
      <c r="TNM35" s="14"/>
      <c r="TNN35" s="14"/>
      <c r="TNO35" s="14"/>
      <c r="TNP35" s="14"/>
      <c r="TNQ35" s="14"/>
      <c r="TNR35" s="14"/>
      <c r="TNS35" s="14"/>
      <c r="TNT35" s="14"/>
      <c r="TNU35" s="14"/>
      <c r="TNV35" s="14"/>
      <c r="TNW35" s="14"/>
      <c r="TNX35" s="14"/>
      <c r="TNY35" s="14"/>
      <c r="TNZ35" s="14"/>
      <c r="TOA35" s="14"/>
      <c r="TOB35" s="14"/>
      <c r="TOC35" s="14"/>
      <c r="TOD35" s="14"/>
      <c r="TOE35" s="14"/>
      <c r="TOF35" s="14"/>
      <c r="TOG35" s="14"/>
      <c r="TOH35" s="14"/>
      <c r="TOI35" s="14"/>
      <c r="TOJ35" s="14"/>
      <c r="TOK35" s="14"/>
      <c r="TOL35" s="14"/>
      <c r="TOM35" s="14"/>
      <c r="TON35" s="14"/>
      <c r="TOO35" s="14"/>
      <c r="TOP35" s="14"/>
      <c r="TOQ35" s="14"/>
      <c r="TOR35" s="14"/>
      <c r="TOS35" s="14"/>
      <c r="TOT35" s="14"/>
      <c r="TOU35" s="14"/>
      <c r="TOV35" s="14"/>
      <c r="TOW35" s="14"/>
      <c r="TOX35" s="14"/>
      <c r="TOY35" s="14"/>
      <c r="TOZ35" s="14"/>
      <c r="TPA35" s="14"/>
      <c r="TPB35" s="14"/>
      <c r="TPC35" s="14"/>
      <c r="TPD35" s="14"/>
      <c r="TPE35" s="14"/>
      <c r="TPF35" s="14"/>
      <c r="TPG35" s="14"/>
      <c r="TPH35" s="14"/>
      <c r="TPI35" s="14"/>
      <c r="TPJ35" s="14"/>
      <c r="TPK35" s="14"/>
      <c r="TPL35" s="14"/>
      <c r="TPM35" s="14"/>
      <c r="TPN35" s="14"/>
      <c r="TPO35" s="14"/>
      <c r="TPP35" s="14"/>
      <c r="TPQ35" s="14"/>
      <c r="TPR35" s="14"/>
      <c r="TPS35" s="14"/>
      <c r="TPT35" s="14"/>
      <c r="TPU35" s="14"/>
      <c r="TPV35" s="14"/>
      <c r="TPW35" s="14"/>
      <c r="TPX35" s="14"/>
      <c r="TPY35" s="14"/>
      <c r="TPZ35" s="14"/>
      <c r="TQA35" s="14"/>
      <c r="TQB35" s="14"/>
      <c r="TQC35" s="14"/>
      <c r="TQD35" s="14"/>
      <c r="TQE35" s="14"/>
      <c r="TQF35" s="14"/>
      <c r="TQG35" s="14"/>
      <c r="TQH35" s="14"/>
      <c r="TQI35" s="14"/>
      <c r="TQJ35" s="14"/>
      <c r="TQK35" s="14"/>
      <c r="TQL35" s="14"/>
      <c r="TQM35" s="14"/>
      <c r="TQN35" s="14"/>
      <c r="TQO35" s="14"/>
      <c r="TQP35" s="14"/>
      <c r="TQQ35" s="14"/>
      <c r="TQR35" s="14"/>
      <c r="TQS35" s="14"/>
      <c r="TQT35" s="14"/>
      <c r="TQU35" s="14"/>
      <c r="TQV35" s="14"/>
      <c r="TQW35" s="14"/>
      <c r="TQX35" s="14"/>
      <c r="TQY35" s="14"/>
      <c r="TQZ35" s="14"/>
      <c r="TRA35" s="14"/>
      <c r="TRB35" s="14"/>
      <c r="TRC35" s="14"/>
      <c r="TRD35" s="14"/>
      <c r="TRE35" s="14"/>
      <c r="TRF35" s="14"/>
      <c r="TRG35" s="14"/>
      <c r="TRH35" s="14"/>
      <c r="TRI35" s="14"/>
      <c r="TRJ35" s="14"/>
      <c r="TRK35" s="14"/>
      <c r="TRL35" s="14"/>
      <c r="TRM35" s="14"/>
      <c r="TRN35" s="14"/>
      <c r="TRO35" s="14"/>
      <c r="TRP35" s="14"/>
      <c r="TRQ35" s="14"/>
      <c r="TRR35" s="14"/>
      <c r="TRS35" s="14"/>
      <c r="TRT35" s="14"/>
      <c r="TRU35" s="14"/>
      <c r="TRV35" s="14"/>
      <c r="TRW35" s="14"/>
      <c r="TRX35" s="14"/>
      <c r="TRY35" s="14"/>
      <c r="TRZ35" s="14"/>
      <c r="TSA35" s="14"/>
      <c r="TSB35" s="14"/>
      <c r="TSC35" s="14"/>
      <c r="TSD35" s="14"/>
      <c r="TSE35" s="14"/>
      <c r="TSF35" s="14"/>
      <c r="TSG35" s="14"/>
      <c r="TSH35" s="14"/>
      <c r="TSI35" s="14"/>
      <c r="TSJ35" s="14"/>
      <c r="TSK35" s="14"/>
      <c r="TSL35" s="14"/>
      <c r="TSM35" s="14"/>
      <c r="TSN35" s="14"/>
      <c r="TSO35" s="14"/>
      <c r="TSP35" s="14"/>
      <c r="TSQ35" s="14"/>
      <c r="TSR35" s="14"/>
      <c r="TSS35" s="14"/>
      <c r="TST35" s="14"/>
      <c r="TSU35" s="14"/>
      <c r="TSV35" s="14"/>
      <c r="TSW35" s="14"/>
      <c r="TSX35" s="14"/>
      <c r="TSY35" s="14"/>
      <c r="TSZ35" s="14"/>
      <c r="TTA35" s="14"/>
      <c r="TTB35" s="14"/>
      <c r="TTC35" s="14"/>
      <c r="TTD35" s="14"/>
      <c r="TTE35" s="14"/>
      <c r="TTF35" s="14"/>
      <c r="TTG35" s="14"/>
      <c r="TTH35" s="14"/>
      <c r="TTI35" s="14"/>
      <c r="TTJ35" s="14"/>
      <c r="TTK35" s="14"/>
      <c r="TTL35" s="14"/>
      <c r="TTM35" s="14"/>
      <c r="TTN35" s="14"/>
      <c r="TTO35" s="14"/>
      <c r="TTP35" s="14"/>
      <c r="TTQ35" s="14"/>
      <c r="TTR35" s="14"/>
      <c r="TTS35" s="14"/>
      <c r="TTT35" s="14"/>
      <c r="TTU35" s="14"/>
      <c r="TTV35" s="14"/>
      <c r="TTW35" s="14"/>
      <c r="TTX35" s="14"/>
      <c r="TTY35" s="14"/>
      <c r="TTZ35" s="14"/>
      <c r="TUA35" s="14"/>
      <c r="TUB35" s="14"/>
      <c r="TUC35" s="14"/>
      <c r="TUD35" s="14"/>
      <c r="TUE35" s="14"/>
      <c r="TUF35" s="14"/>
      <c r="TUG35" s="14"/>
      <c r="TUH35" s="14"/>
      <c r="TUI35" s="14"/>
      <c r="TUJ35" s="14"/>
      <c r="TUK35" s="14"/>
      <c r="TUL35" s="14"/>
      <c r="TUM35" s="14"/>
      <c r="TUN35" s="14"/>
      <c r="TUO35" s="14"/>
      <c r="TUP35" s="14"/>
      <c r="TUQ35" s="14"/>
      <c r="TUR35" s="14"/>
      <c r="TUS35" s="14"/>
      <c r="TUT35" s="14"/>
      <c r="TUU35" s="14"/>
      <c r="TUV35" s="14"/>
      <c r="TUW35" s="14"/>
      <c r="TUX35" s="14"/>
      <c r="TUY35" s="14"/>
      <c r="TUZ35" s="14"/>
      <c r="TVA35" s="14"/>
      <c r="TVB35" s="14"/>
      <c r="TVC35" s="14"/>
      <c r="TVD35" s="14"/>
      <c r="TVE35" s="14"/>
      <c r="TVF35" s="14"/>
      <c r="TVG35" s="14"/>
      <c r="TVH35" s="14"/>
      <c r="TVI35" s="14"/>
      <c r="TVJ35" s="14"/>
      <c r="TVK35" s="14"/>
      <c r="TVL35" s="14"/>
      <c r="TVM35" s="14"/>
      <c r="TVN35" s="14"/>
      <c r="TVO35" s="14"/>
      <c r="TVP35" s="14"/>
      <c r="TVQ35" s="14"/>
      <c r="TVR35" s="14"/>
      <c r="TVS35" s="14"/>
      <c r="TVT35" s="14"/>
      <c r="TVU35" s="14"/>
      <c r="TVV35" s="14"/>
      <c r="TVW35" s="14"/>
      <c r="TVX35" s="14"/>
      <c r="TVY35" s="14"/>
      <c r="TVZ35" s="14"/>
      <c r="TWA35" s="14"/>
      <c r="TWB35" s="14"/>
      <c r="TWC35" s="14"/>
      <c r="TWD35" s="14"/>
      <c r="TWE35" s="14"/>
      <c r="TWF35" s="14"/>
      <c r="TWG35" s="14"/>
      <c r="TWH35" s="14"/>
      <c r="TWI35" s="14"/>
      <c r="TWJ35" s="14"/>
      <c r="TWK35" s="14"/>
      <c r="TWL35" s="14"/>
      <c r="TWM35" s="14"/>
      <c r="TWN35" s="14"/>
      <c r="TWO35" s="14"/>
      <c r="TWP35" s="14"/>
      <c r="TWQ35" s="14"/>
      <c r="TWR35" s="14"/>
      <c r="TWS35" s="14"/>
      <c r="TWT35" s="14"/>
      <c r="TWU35" s="14"/>
      <c r="TWV35" s="14"/>
      <c r="TWW35" s="14"/>
      <c r="TWX35" s="14"/>
      <c r="TWY35" s="14"/>
      <c r="TWZ35" s="14"/>
      <c r="TXA35" s="14"/>
      <c r="TXB35" s="14"/>
      <c r="TXC35" s="14"/>
      <c r="TXD35" s="14"/>
      <c r="TXE35" s="14"/>
      <c r="TXF35" s="14"/>
      <c r="TXG35" s="14"/>
      <c r="TXH35" s="14"/>
      <c r="TXI35" s="14"/>
      <c r="TXJ35" s="14"/>
      <c r="TXK35" s="14"/>
      <c r="TXL35" s="14"/>
      <c r="TXM35" s="14"/>
      <c r="TXN35" s="14"/>
      <c r="TXO35" s="14"/>
      <c r="TXP35" s="14"/>
      <c r="TXQ35" s="14"/>
      <c r="TXR35" s="14"/>
      <c r="TXS35" s="14"/>
      <c r="TXT35" s="14"/>
      <c r="TXU35" s="14"/>
      <c r="TXV35" s="14"/>
      <c r="TXW35" s="14"/>
      <c r="TXX35" s="14"/>
      <c r="TXY35" s="14"/>
      <c r="TXZ35" s="14"/>
      <c r="TYA35" s="14"/>
      <c r="TYB35" s="14"/>
      <c r="TYC35" s="14"/>
      <c r="TYD35" s="14"/>
      <c r="TYE35" s="14"/>
      <c r="TYF35" s="14"/>
      <c r="TYG35" s="14"/>
      <c r="TYH35" s="14"/>
      <c r="TYI35" s="14"/>
      <c r="TYJ35" s="14"/>
      <c r="TYK35" s="14"/>
      <c r="TYL35" s="14"/>
      <c r="TYM35" s="14"/>
      <c r="TYN35" s="14"/>
      <c r="TYO35" s="14"/>
      <c r="TYP35" s="14"/>
      <c r="TYQ35" s="14"/>
      <c r="TYR35" s="14"/>
      <c r="TYS35" s="14"/>
      <c r="TYT35" s="14"/>
      <c r="TYU35" s="14"/>
      <c r="TYV35" s="14"/>
      <c r="TYW35" s="14"/>
      <c r="TYX35" s="14"/>
      <c r="TYY35" s="14"/>
      <c r="TYZ35" s="14"/>
      <c r="TZA35" s="14"/>
      <c r="TZB35" s="14"/>
      <c r="TZC35" s="14"/>
      <c r="TZD35" s="14"/>
      <c r="TZE35" s="14"/>
      <c r="TZF35" s="14"/>
      <c r="TZG35" s="14"/>
      <c r="TZH35" s="14"/>
      <c r="TZI35" s="14"/>
      <c r="TZJ35" s="14"/>
      <c r="TZK35" s="14"/>
      <c r="TZL35" s="14"/>
      <c r="TZM35" s="14"/>
      <c r="TZN35" s="14"/>
      <c r="TZO35" s="14"/>
      <c r="TZP35" s="14"/>
      <c r="TZQ35" s="14"/>
      <c r="TZR35" s="14"/>
      <c r="TZS35" s="14"/>
      <c r="TZT35" s="14"/>
      <c r="TZU35" s="14"/>
      <c r="TZV35" s="14"/>
      <c r="TZW35" s="14"/>
      <c r="TZX35" s="14"/>
      <c r="TZY35" s="14"/>
      <c r="TZZ35" s="14"/>
      <c r="UAA35" s="14"/>
      <c r="UAB35" s="14"/>
      <c r="UAC35" s="14"/>
      <c r="UAD35" s="14"/>
      <c r="UAE35" s="14"/>
      <c r="UAF35" s="14"/>
      <c r="UAG35" s="14"/>
      <c r="UAH35" s="14"/>
      <c r="UAI35" s="14"/>
      <c r="UAJ35" s="14"/>
      <c r="UAK35" s="14"/>
      <c r="UAL35" s="14"/>
      <c r="UAM35" s="14"/>
      <c r="UAN35" s="14"/>
      <c r="UAO35" s="14"/>
      <c r="UAP35" s="14"/>
      <c r="UAQ35" s="14"/>
      <c r="UAR35" s="14"/>
      <c r="UAS35" s="14"/>
      <c r="UAT35" s="14"/>
      <c r="UAU35" s="14"/>
      <c r="UAV35" s="14"/>
      <c r="UAW35" s="14"/>
      <c r="UAX35" s="14"/>
      <c r="UAY35" s="14"/>
      <c r="UAZ35" s="14"/>
      <c r="UBA35" s="14"/>
      <c r="UBB35" s="14"/>
      <c r="UBC35" s="14"/>
      <c r="UBD35" s="14"/>
      <c r="UBE35" s="14"/>
      <c r="UBF35" s="14"/>
      <c r="UBG35" s="14"/>
      <c r="UBH35" s="14"/>
      <c r="UBI35" s="14"/>
      <c r="UBJ35" s="14"/>
      <c r="UBK35" s="14"/>
      <c r="UBL35" s="14"/>
      <c r="UBM35" s="14"/>
      <c r="UBN35" s="14"/>
      <c r="UBO35" s="14"/>
      <c r="UBP35" s="14"/>
      <c r="UBQ35" s="14"/>
      <c r="UBR35" s="14"/>
      <c r="UBS35" s="14"/>
      <c r="UBT35" s="14"/>
      <c r="UBU35" s="14"/>
      <c r="UBV35" s="14"/>
      <c r="UBW35" s="14"/>
      <c r="UBX35" s="14"/>
      <c r="UBY35" s="14"/>
      <c r="UBZ35" s="14"/>
      <c r="UCA35" s="14"/>
      <c r="UCB35" s="14"/>
      <c r="UCC35" s="14"/>
      <c r="UCD35" s="14"/>
      <c r="UCE35" s="14"/>
      <c r="UCF35" s="14"/>
      <c r="UCG35" s="14"/>
      <c r="UCH35" s="14"/>
      <c r="UCI35" s="14"/>
      <c r="UCJ35" s="14"/>
      <c r="UCK35" s="14"/>
      <c r="UCL35" s="14"/>
      <c r="UCM35" s="14"/>
      <c r="UCN35" s="14"/>
      <c r="UCO35" s="14"/>
      <c r="UCP35" s="14"/>
      <c r="UCQ35" s="14"/>
      <c r="UCR35" s="14"/>
      <c r="UCS35" s="14"/>
      <c r="UCT35" s="14"/>
      <c r="UCU35" s="14"/>
      <c r="UCV35" s="14"/>
      <c r="UCW35" s="14"/>
      <c r="UCX35" s="14"/>
      <c r="UCY35" s="14"/>
      <c r="UCZ35" s="14"/>
      <c r="UDA35" s="14"/>
      <c r="UDB35" s="14"/>
      <c r="UDC35" s="14"/>
      <c r="UDD35" s="14"/>
      <c r="UDE35" s="14"/>
      <c r="UDF35" s="14"/>
      <c r="UDG35" s="14"/>
      <c r="UDH35" s="14"/>
      <c r="UDI35" s="14"/>
      <c r="UDJ35" s="14"/>
      <c r="UDK35" s="14"/>
      <c r="UDL35" s="14"/>
      <c r="UDM35" s="14"/>
      <c r="UDN35" s="14"/>
      <c r="UDO35" s="14"/>
      <c r="UDP35" s="14"/>
      <c r="UDQ35" s="14"/>
      <c r="UDR35" s="14"/>
      <c r="UDS35" s="14"/>
      <c r="UDT35" s="14"/>
      <c r="UDU35" s="14"/>
      <c r="UDV35" s="14"/>
      <c r="UDW35" s="14"/>
      <c r="UDX35" s="14"/>
      <c r="UDY35" s="14"/>
      <c r="UDZ35" s="14"/>
      <c r="UEA35" s="14"/>
      <c r="UEB35" s="14"/>
      <c r="UEC35" s="14"/>
      <c r="UED35" s="14"/>
      <c r="UEE35" s="14"/>
      <c r="UEF35" s="14"/>
      <c r="UEG35" s="14"/>
      <c r="UEH35" s="14"/>
      <c r="UEI35" s="14"/>
      <c r="UEJ35" s="14"/>
      <c r="UEK35" s="14"/>
      <c r="UEL35" s="14"/>
      <c r="UEM35" s="14"/>
      <c r="UEN35" s="14"/>
      <c r="UEO35" s="14"/>
      <c r="UEP35" s="14"/>
      <c r="UEQ35" s="14"/>
      <c r="UER35" s="14"/>
      <c r="UES35" s="14"/>
      <c r="UET35" s="14"/>
      <c r="UEU35" s="14"/>
      <c r="UEV35" s="14"/>
      <c r="UEW35" s="14"/>
      <c r="UEX35" s="14"/>
      <c r="UEY35" s="14"/>
      <c r="UEZ35" s="14"/>
      <c r="UFA35" s="14"/>
      <c r="UFB35" s="14"/>
      <c r="UFC35" s="14"/>
      <c r="UFD35" s="14"/>
      <c r="UFE35" s="14"/>
      <c r="UFF35" s="14"/>
      <c r="UFG35" s="14"/>
      <c r="UFH35" s="14"/>
      <c r="UFI35" s="14"/>
      <c r="UFJ35" s="14"/>
      <c r="UFK35" s="14"/>
      <c r="UFL35" s="14"/>
      <c r="UFM35" s="14"/>
      <c r="UFN35" s="14"/>
      <c r="UFO35" s="14"/>
      <c r="UFP35" s="14"/>
      <c r="UFQ35" s="14"/>
      <c r="UFR35" s="14"/>
      <c r="UFS35" s="14"/>
      <c r="UFT35" s="14"/>
      <c r="UFU35" s="14"/>
      <c r="UFV35" s="14"/>
      <c r="UFW35" s="14"/>
      <c r="UFX35" s="14"/>
      <c r="UFY35" s="14"/>
      <c r="UFZ35" s="14"/>
      <c r="UGA35" s="14"/>
      <c r="UGB35" s="14"/>
      <c r="UGC35" s="14"/>
      <c r="UGD35" s="14"/>
      <c r="UGE35" s="14"/>
      <c r="UGF35" s="14"/>
      <c r="UGG35" s="14"/>
      <c r="UGH35" s="14"/>
      <c r="UGI35" s="14"/>
      <c r="UGJ35" s="14"/>
      <c r="UGK35" s="14"/>
      <c r="UGL35" s="14"/>
      <c r="UGM35" s="14"/>
      <c r="UGN35" s="14"/>
      <c r="UGO35" s="14"/>
      <c r="UGP35" s="14"/>
      <c r="UGQ35" s="14"/>
      <c r="UGR35" s="14"/>
      <c r="UGS35" s="14"/>
      <c r="UGT35" s="14"/>
      <c r="UGU35" s="14"/>
      <c r="UGV35" s="14"/>
      <c r="UGW35" s="14"/>
      <c r="UGX35" s="14"/>
      <c r="UGY35" s="14"/>
      <c r="UGZ35" s="14"/>
      <c r="UHA35" s="14"/>
      <c r="UHB35" s="14"/>
      <c r="UHC35" s="14"/>
      <c r="UHD35" s="14"/>
      <c r="UHE35" s="14"/>
      <c r="UHF35" s="14"/>
      <c r="UHG35" s="14"/>
      <c r="UHH35" s="14"/>
      <c r="UHI35" s="14"/>
      <c r="UHJ35" s="14"/>
      <c r="UHK35" s="14"/>
      <c r="UHL35" s="14"/>
      <c r="UHM35" s="14"/>
      <c r="UHN35" s="14"/>
      <c r="UHO35" s="14"/>
      <c r="UHP35" s="14"/>
      <c r="UHQ35" s="14"/>
      <c r="UHR35" s="14"/>
      <c r="UHS35" s="14"/>
      <c r="UHT35" s="14"/>
      <c r="UHU35" s="14"/>
      <c r="UHV35" s="14"/>
      <c r="UHW35" s="14"/>
      <c r="UHX35" s="14"/>
      <c r="UHY35" s="14"/>
      <c r="UHZ35" s="14"/>
      <c r="UIA35" s="14"/>
      <c r="UIB35" s="14"/>
      <c r="UIC35" s="14"/>
      <c r="UID35" s="14"/>
      <c r="UIE35" s="14"/>
      <c r="UIF35" s="14"/>
      <c r="UIG35" s="14"/>
      <c r="UIH35" s="14"/>
      <c r="UII35" s="14"/>
      <c r="UIJ35" s="14"/>
      <c r="UIK35" s="14"/>
      <c r="UIL35" s="14"/>
      <c r="UIM35" s="14"/>
      <c r="UIN35" s="14"/>
      <c r="UIO35" s="14"/>
      <c r="UIP35" s="14"/>
      <c r="UIQ35" s="14"/>
      <c r="UIR35" s="14"/>
      <c r="UIS35" s="14"/>
      <c r="UIT35" s="14"/>
      <c r="UIU35" s="14"/>
      <c r="UIV35" s="14"/>
      <c r="UIW35" s="14"/>
      <c r="UIX35" s="14"/>
      <c r="UIY35" s="14"/>
      <c r="UIZ35" s="14"/>
      <c r="UJA35" s="14"/>
      <c r="UJB35" s="14"/>
      <c r="UJC35" s="14"/>
      <c r="UJD35" s="14"/>
      <c r="UJE35" s="14"/>
      <c r="UJF35" s="14"/>
      <c r="UJG35" s="14"/>
      <c r="UJH35" s="14"/>
      <c r="UJI35" s="14"/>
      <c r="UJJ35" s="14"/>
      <c r="UJK35" s="14"/>
      <c r="UJL35" s="14"/>
      <c r="UJM35" s="14"/>
      <c r="UJN35" s="14"/>
      <c r="UJO35" s="14"/>
      <c r="UJP35" s="14"/>
      <c r="UJQ35" s="14"/>
      <c r="UJR35" s="14"/>
      <c r="UJS35" s="14"/>
      <c r="UJT35" s="14"/>
      <c r="UJU35" s="14"/>
      <c r="UJV35" s="14"/>
      <c r="UJW35" s="14"/>
      <c r="UJX35" s="14"/>
      <c r="UJY35" s="14"/>
      <c r="UJZ35" s="14"/>
      <c r="UKA35" s="14"/>
      <c r="UKB35" s="14"/>
      <c r="UKC35" s="14"/>
      <c r="UKD35" s="14"/>
      <c r="UKE35" s="14"/>
      <c r="UKF35" s="14"/>
      <c r="UKG35" s="14"/>
      <c r="UKH35" s="14"/>
      <c r="UKI35" s="14"/>
      <c r="UKJ35" s="14"/>
      <c r="UKK35" s="14"/>
      <c r="UKL35" s="14"/>
      <c r="UKM35" s="14"/>
      <c r="UKN35" s="14"/>
      <c r="UKO35" s="14"/>
      <c r="UKP35" s="14"/>
      <c r="UKQ35" s="14"/>
      <c r="UKR35" s="14"/>
      <c r="UKS35" s="14"/>
      <c r="UKT35" s="14"/>
      <c r="UKU35" s="14"/>
      <c r="UKV35" s="14"/>
      <c r="UKW35" s="14"/>
      <c r="UKX35" s="14"/>
      <c r="UKY35" s="14"/>
      <c r="UKZ35" s="14"/>
      <c r="ULA35" s="14"/>
      <c r="ULB35" s="14"/>
      <c r="ULC35" s="14"/>
      <c r="ULD35" s="14"/>
      <c r="ULE35" s="14"/>
      <c r="ULF35" s="14"/>
      <c r="ULG35" s="14"/>
      <c r="ULH35" s="14"/>
      <c r="ULI35" s="14"/>
      <c r="ULJ35" s="14"/>
      <c r="ULK35" s="14"/>
      <c r="ULL35" s="14"/>
      <c r="ULM35" s="14"/>
      <c r="ULN35" s="14"/>
      <c r="ULO35" s="14"/>
      <c r="ULP35" s="14"/>
      <c r="ULQ35" s="14"/>
      <c r="ULR35" s="14"/>
      <c r="ULS35" s="14"/>
      <c r="ULT35" s="14"/>
      <c r="ULU35" s="14"/>
      <c r="ULV35" s="14"/>
      <c r="ULW35" s="14"/>
      <c r="ULX35" s="14"/>
      <c r="ULY35" s="14"/>
      <c r="ULZ35" s="14"/>
      <c r="UMA35" s="14"/>
      <c r="UMB35" s="14"/>
      <c r="UMC35" s="14"/>
      <c r="UMD35" s="14"/>
      <c r="UME35" s="14"/>
      <c r="UMF35" s="14"/>
      <c r="UMG35" s="14"/>
      <c r="UMH35" s="14"/>
      <c r="UMI35" s="14"/>
      <c r="UMJ35" s="14"/>
      <c r="UMK35" s="14"/>
      <c r="UML35" s="14"/>
      <c r="UMM35" s="14"/>
      <c r="UMN35" s="14"/>
      <c r="UMO35" s="14"/>
      <c r="UMP35" s="14"/>
      <c r="UMQ35" s="14"/>
      <c r="UMR35" s="14"/>
      <c r="UMS35" s="14"/>
      <c r="UMT35" s="14"/>
      <c r="UMU35" s="14"/>
      <c r="UMV35" s="14"/>
      <c r="UMW35" s="14"/>
      <c r="UMX35" s="14"/>
      <c r="UMY35" s="14"/>
      <c r="UMZ35" s="14"/>
      <c r="UNA35" s="14"/>
      <c r="UNB35" s="14"/>
      <c r="UNC35" s="14"/>
      <c r="UND35" s="14"/>
      <c r="UNE35" s="14"/>
      <c r="UNF35" s="14"/>
      <c r="UNG35" s="14"/>
      <c r="UNH35" s="14"/>
      <c r="UNI35" s="14"/>
      <c r="UNJ35" s="14"/>
      <c r="UNK35" s="14"/>
      <c r="UNL35" s="14"/>
      <c r="UNM35" s="14"/>
      <c r="UNN35" s="14"/>
      <c r="UNO35" s="14"/>
      <c r="UNP35" s="14"/>
      <c r="UNQ35" s="14"/>
      <c r="UNR35" s="14"/>
      <c r="UNS35" s="14"/>
      <c r="UNT35" s="14"/>
      <c r="UNU35" s="14"/>
      <c r="UNV35" s="14"/>
      <c r="UNW35" s="14"/>
      <c r="UNX35" s="14"/>
      <c r="UNY35" s="14"/>
      <c r="UNZ35" s="14"/>
      <c r="UOA35" s="14"/>
      <c r="UOB35" s="14"/>
      <c r="UOC35" s="14"/>
      <c r="UOD35" s="14"/>
      <c r="UOE35" s="14"/>
      <c r="UOF35" s="14"/>
      <c r="UOG35" s="14"/>
      <c r="UOH35" s="14"/>
      <c r="UOI35" s="14"/>
      <c r="UOJ35" s="14"/>
      <c r="UOK35" s="14"/>
      <c r="UOL35" s="14"/>
      <c r="UOM35" s="14"/>
      <c r="UON35" s="14"/>
      <c r="UOO35" s="14"/>
      <c r="UOP35" s="14"/>
      <c r="UOQ35" s="14"/>
      <c r="UOR35" s="14"/>
      <c r="UOS35" s="14"/>
      <c r="UOT35" s="14"/>
      <c r="UOU35" s="14"/>
      <c r="UOV35" s="14"/>
      <c r="UOW35" s="14"/>
      <c r="UOX35" s="14"/>
      <c r="UOY35" s="14"/>
      <c r="UOZ35" s="14"/>
      <c r="UPA35" s="14"/>
      <c r="UPB35" s="14"/>
      <c r="UPC35" s="14"/>
      <c r="UPD35" s="14"/>
      <c r="UPE35" s="14"/>
      <c r="UPF35" s="14"/>
      <c r="UPG35" s="14"/>
      <c r="UPH35" s="14"/>
      <c r="UPI35" s="14"/>
      <c r="UPJ35" s="14"/>
      <c r="UPK35" s="14"/>
      <c r="UPL35" s="14"/>
      <c r="UPM35" s="14"/>
      <c r="UPN35" s="14"/>
      <c r="UPO35" s="14"/>
      <c r="UPP35" s="14"/>
      <c r="UPQ35" s="14"/>
      <c r="UPR35" s="14"/>
      <c r="UPS35" s="14"/>
      <c r="UPT35" s="14"/>
      <c r="UPU35" s="14"/>
      <c r="UPV35" s="14"/>
      <c r="UPW35" s="14"/>
      <c r="UPX35" s="14"/>
      <c r="UPY35" s="14"/>
      <c r="UPZ35" s="14"/>
      <c r="UQA35" s="14"/>
      <c r="UQB35" s="14"/>
      <c r="UQC35" s="14"/>
      <c r="UQD35" s="14"/>
      <c r="UQE35" s="14"/>
      <c r="UQF35" s="14"/>
      <c r="UQG35" s="14"/>
      <c r="UQH35" s="14"/>
      <c r="UQI35" s="14"/>
      <c r="UQJ35" s="14"/>
      <c r="UQK35" s="14"/>
      <c r="UQL35" s="14"/>
      <c r="UQM35" s="14"/>
      <c r="UQN35" s="14"/>
      <c r="UQO35" s="14"/>
      <c r="UQP35" s="14"/>
      <c r="UQQ35" s="14"/>
      <c r="UQR35" s="14"/>
      <c r="UQS35" s="14"/>
      <c r="UQT35" s="14"/>
      <c r="UQU35" s="14"/>
      <c r="UQV35" s="14"/>
      <c r="UQW35" s="14"/>
      <c r="UQX35" s="14"/>
      <c r="UQY35" s="14"/>
      <c r="UQZ35" s="14"/>
      <c r="URA35" s="14"/>
      <c r="URB35" s="14"/>
      <c r="URC35" s="14"/>
      <c r="URD35" s="14"/>
      <c r="URE35" s="14"/>
      <c r="URF35" s="14"/>
      <c r="URG35" s="14"/>
      <c r="URH35" s="14"/>
      <c r="URI35" s="14"/>
      <c r="URJ35" s="14"/>
      <c r="URK35" s="14"/>
      <c r="URL35" s="14"/>
      <c r="URM35" s="14"/>
      <c r="URN35" s="14"/>
      <c r="URO35" s="14"/>
      <c r="URP35" s="14"/>
      <c r="URQ35" s="14"/>
      <c r="URR35" s="14"/>
      <c r="URS35" s="14"/>
      <c r="URT35" s="14"/>
      <c r="URU35" s="14"/>
      <c r="URV35" s="14"/>
      <c r="URW35" s="14"/>
      <c r="URX35" s="14"/>
      <c r="URY35" s="14"/>
      <c r="URZ35" s="14"/>
      <c r="USA35" s="14"/>
      <c r="USB35" s="14"/>
      <c r="USC35" s="14"/>
      <c r="USD35" s="14"/>
      <c r="USE35" s="14"/>
      <c r="USF35" s="14"/>
      <c r="USG35" s="14"/>
      <c r="USH35" s="14"/>
      <c r="USI35" s="14"/>
      <c r="USJ35" s="14"/>
      <c r="USK35" s="14"/>
      <c r="USL35" s="14"/>
      <c r="USM35" s="14"/>
      <c r="USN35" s="14"/>
      <c r="USO35" s="14"/>
      <c r="USP35" s="14"/>
      <c r="USQ35" s="14"/>
      <c r="USR35" s="14"/>
      <c r="USS35" s="14"/>
      <c r="UST35" s="14"/>
      <c r="USU35" s="14"/>
      <c r="USV35" s="14"/>
      <c r="USW35" s="14"/>
      <c r="USX35" s="14"/>
      <c r="USY35" s="14"/>
      <c r="USZ35" s="14"/>
      <c r="UTA35" s="14"/>
      <c r="UTB35" s="14"/>
      <c r="UTC35" s="14"/>
      <c r="UTD35" s="14"/>
      <c r="UTE35" s="14"/>
      <c r="UTF35" s="14"/>
      <c r="UTG35" s="14"/>
      <c r="UTH35" s="14"/>
      <c r="UTI35" s="14"/>
      <c r="UTJ35" s="14"/>
      <c r="UTK35" s="14"/>
      <c r="UTL35" s="14"/>
      <c r="UTM35" s="14"/>
      <c r="UTN35" s="14"/>
      <c r="UTO35" s="14"/>
      <c r="UTP35" s="14"/>
      <c r="UTQ35" s="14"/>
      <c r="UTR35" s="14"/>
      <c r="UTS35" s="14"/>
      <c r="UTT35" s="14"/>
      <c r="UTU35" s="14"/>
      <c r="UTV35" s="14"/>
      <c r="UTW35" s="14"/>
      <c r="UTX35" s="14"/>
      <c r="UTY35" s="14"/>
      <c r="UTZ35" s="14"/>
      <c r="UUA35" s="14"/>
      <c r="UUB35" s="14"/>
      <c r="UUC35" s="14"/>
      <c r="UUD35" s="14"/>
      <c r="UUE35" s="14"/>
      <c r="UUF35" s="14"/>
      <c r="UUG35" s="14"/>
      <c r="UUH35" s="14"/>
      <c r="UUI35" s="14"/>
      <c r="UUJ35" s="14"/>
      <c r="UUK35" s="14"/>
      <c r="UUL35" s="14"/>
      <c r="UUM35" s="14"/>
      <c r="UUN35" s="14"/>
      <c r="UUO35" s="14"/>
      <c r="UUP35" s="14"/>
      <c r="UUQ35" s="14"/>
      <c r="UUR35" s="14"/>
      <c r="UUS35" s="14"/>
      <c r="UUT35" s="14"/>
      <c r="UUU35" s="14"/>
      <c r="UUV35" s="14"/>
      <c r="UUW35" s="14"/>
      <c r="UUX35" s="14"/>
      <c r="UUY35" s="14"/>
      <c r="UUZ35" s="14"/>
      <c r="UVA35" s="14"/>
      <c r="UVB35" s="14"/>
      <c r="UVC35" s="14"/>
      <c r="UVD35" s="14"/>
      <c r="UVE35" s="14"/>
      <c r="UVF35" s="14"/>
      <c r="UVG35" s="14"/>
      <c r="UVH35" s="14"/>
      <c r="UVI35" s="14"/>
      <c r="UVJ35" s="14"/>
      <c r="UVK35" s="14"/>
      <c r="UVL35" s="14"/>
      <c r="UVM35" s="14"/>
      <c r="UVN35" s="14"/>
      <c r="UVO35" s="14"/>
      <c r="UVP35" s="14"/>
      <c r="UVQ35" s="14"/>
      <c r="UVR35" s="14"/>
      <c r="UVS35" s="14"/>
      <c r="UVT35" s="14"/>
      <c r="UVU35" s="14"/>
      <c r="UVV35" s="14"/>
      <c r="UVW35" s="14"/>
      <c r="UVX35" s="14"/>
      <c r="UVY35" s="14"/>
      <c r="UVZ35" s="14"/>
      <c r="UWA35" s="14"/>
      <c r="UWB35" s="14"/>
      <c r="UWC35" s="14"/>
      <c r="UWD35" s="14"/>
      <c r="UWE35" s="14"/>
      <c r="UWF35" s="14"/>
      <c r="UWG35" s="14"/>
      <c r="UWH35" s="14"/>
      <c r="UWI35" s="14"/>
      <c r="UWJ35" s="14"/>
      <c r="UWK35" s="14"/>
      <c r="UWL35" s="14"/>
      <c r="UWM35" s="14"/>
      <c r="UWN35" s="14"/>
      <c r="UWO35" s="14"/>
      <c r="UWP35" s="14"/>
      <c r="UWQ35" s="14"/>
      <c r="UWR35" s="14"/>
      <c r="UWS35" s="14"/>
      <c r="UWT35" s="14"/>
      <c r="UWU35" s="14"/>
      <c r="UWV35" s="14"/>
      <c r="UWW35" s="14"/>
      <c r="UWX35" s="14"/>
      <c r="UWY35" s="14"/>
      <c r="UWZ35" s="14"/>
      <c r="UXA35" s="14"/>
      <c r="UXB35" s="14"/>
      <c r="UXC35" s="14"/>
      <c r="UXD35" s="14"/>
      <c r="UXE35" s="14"/>
      <c r="UXF35" s="14"/>
      <c r="UXG35" s="14"/>
      <c r="UXH35" s="14"/>
      <c r="UXI35" s="14"/>
      <c r="UXJ35" s="14"/>
      <c r="UXK35" s="14"/>
      <c r="UXL35" s="14"/>
      <c r="UXM35" s="14"/>
      <c r="UXN35" s="14"/>
      <c r="UXO35" s="14"/>
      <c r="UXP35" s="14"/>
      <c r="UXQ35" s="14"/>
      <c r="UXR35" s="14"/>
      <c r="UXS35" s="14"/>
      <c r="UXT35" s="14"/>
      <c r="UXU35" s="14"/>
      <c r="UXV35" s="14"/>
      <c r="UXW35" s="14"/>
      <c r="UXX35" s="14"/>
      <c r="UXY35" s="14"/>
      <c r="UXZ35" s="14"/>
      <c r="UYA35" s="14"/>
      <c r="UYB35" s="14"/>
      <c r="UYC35" s="14"/>
      <c r="UYD35" s="14"/>
      <c r="UYE35" s="14"/>
      <c r="UYF35" s="14"/>
      <c r="UYG35" s="14"/>
      <c r="UYH35" s="14"/>
      <c r="UYI35" s="14"/>
      <c r="UYJ35" s="14"/>
      <c r="UYK35" s="14"/>
      <c r="UYL35" s="14"/>
      <c r="UYM35" s="14"/>
      <c r="UYN35" s="14"/>
      <c r="UYO35" s="14"/>
      <c r="UYP35" s="14"/>
      <c r="UYQ35" s="14"/>
      <c r="UYR35" s="14"/>
      <c r="UYS35" s="14"/>
      <c r="UYT35" s="14"/>
      <c r="UYU35" s="14"/>
      <c r="UYV35" s="14"/>
      <c r="UYW35" s="14"/>
      <c r="UYX35" s="14"/>
      <c r="UYY35" s="14"/>
      <c r="UYZ35" s="14"/>
      <c r="UZA35" s="14"/>
      <c r="UZB35" s="14"/>
      <c r="UZC35" s="14"/>
      <c r="UZD35" s="14"/>
      <c r="UZE35" s="14"/>
      <c r="UZF35" s="14"/>
      <c r="UZG35" s="14"/>
      <c r="UZH35" s="14"/>
      <c r="UZI35" s="14"/>
      <c r="UZJ35" s="14"/>
      <c r="UZK35" s="14"/>
      <c r="UZL35" s="14"/>
      <c r="UZM35" s="14"/>
      <c r="UZN35" s="14"/>
      <c r="UZO35" s="14"/>
      <c r="UZP35" s="14"/>
      <c r="UZQ35" s="14"/>
      <c r="UZR35" s="14"/>
      <c r="UZS35" s="14"/>
      <c r="UZT35" s="14"/>
      <c r="UZU35" s="14"/>
      <c r="UZV35" s="14"/>
      <c r="UZW35" s="14"/>
      <c r="UZX35" s="14"/>
      <c r="UZY35" s="14"/>
      <c r="UZZ35" s="14"/>
      <c r="VAA35" s="14"/>
      <c r="VAB35" s="14"/>
      <c r="VAC35" s="14"/>
      <c r="VAD35" s="14"/>
      <c r="VAE35" s="14"/>
      <c r="VAF35" s="14"/>
      <c r="VAG35" s="14"/>
      <c r="VAH35" s="14"/>
      <c r="VAI35" s="14"/>
      <c r="VAJ35" s="14"/>
      <c r="VAK35" s="14"/>
      <c r="VAL35" s="14"/>
      <c r="VAM35" s="14"/>
      <c r="VAN35" s="14"/>
      <c r="VAO35" s="14"/>
      <c r="VAP35" s="14"/>
      <c r="VAQ35" s="14"/>
      <c r="VAR35" s="14"/>
      <c r="VAS35" s="14"/>
      <c r="VAT35" s="14"/>
      <c r="VAU35" s="14"/>
      <c r="VAV35" s="14"/>
      <c r="VAW35" s="14"/>
      <c r="VAX35" s="14"/>
      <c r="VAY35" s="14"/>
      <c r="VAZ35" s="14"/>
      <c r="VBA35" s="14"/>
      <c r="VBB35" s="14"/>
      <c r="VBC35" s="14"/>
      <c r="VBD35" s="14"/>
      <c r="VBE35" s="14"/>
      <c r="VBF35" s="14"/>
      <c r="VBG35" s="14"/>
      <c r="VBH35" s="14"/>
      <c r="VBI35" s="14"/>
      <c r="VBJ35" s="14"/>
      <c r="VBK35" s="14"/>
      <c r="VBL35" s="14"/>
      <c r="VBM35" s="14"/>
      <c r="VBN35" s="14"/>
      <c r="VBO35" s="14"/>
      <c r="VBP35" s="14"/>
      <c r="VBQ35" s="14"/>
      <c r="VBR35" s="14"/>
      <c r="VBS35" s="14"/>
      <c r="VBT35" s="14"/>
      <c r="VBU35" s="14"/>
      <c r="VBV35" s="14"/>
      <c r="VBW35" s="14"/>
      <c r="VBX35" s="14"/>
      <c r="VBY35" s="14"/>
      <c r="VBZ35" s="14"/>
      <c r="VCA35" s="14"/>
      <c r="VCB35" s="14"/>
      <c r="VCC35" s="14"/>
      <c r="VCD35" s="14"/>
      <c r="VCE35" s="14"/>
      <c r="VCF35" s="14"/>
      <c r="VCG35" s="14"/>
      <c r="VCH35" s="14"/>
      <c r="VCI35" s="14"/>
      <c r="VCJ35" s="14"/>
      <c r="VCK35" s="14"/>
      <c r="VCL35" s="14"/>
      <c r="VCM35" s="14"/>
      <c r="VCN35" s="14"/>
      <c r="VCO35" s="14"/>
      <c r="VCP35" s="14"/>
      <c r="VCQ35" s="14"/>
      <c r="VCR35" s="14"/>
      <c r="VCS35" s="14"/>
      <c r="VCT35" s="14"/>
      <c r="VCU35" s="14"/>
      <c r="VCV35" s="14"/>
      <c r="VCW35" s="14"/>
      <c r="VCX35" s="14"/>
      <c r="VCY35" s="14"/>
      <c r="VCZ35" s="14"/>
      <c r="VDA35" s="14"/>
      <c r="VDB35" s="14"/>
      <c r="VDC35" s="14"/>
      <c r="VDD35" s="14"/>
      <c r="VDE35" s="14"/>
      <c r="VDF35" s="14"/>
      <c r="VDG35" s="14"/>
      <c r="VDH35" s="14"/>
      <c r="VDI35" s="14"/>
      <c r="VDJ35" s="14"/>
      <c r="VDK35" s="14"/>
      <c r="VDL35" s="14"/>
      <c r="VDM35" s="14"/>
      <c r="VDN35" s="14"/>
      <c r="VDO35" s="14"/>
      <c r="VDP35" s="14"/>
      <c r="VDQ35" s="14"/>
      <c r="VDR35" s="14"/>
      <c r="VDS35" s="14"/>
      <c r="VDT35" s="14"/>
      <c r="VDU35" s="14"/>
      <c r="VDV35" s="14"/>
      <c r="VDW35" s="14"/>
      <c r="VDX35" s="14"/>
      <c r="VDY35" s="14"/>
      <c r="VDZ35" s="14"/>
      <c r="VEA35" s="14"/>
      <c r="VEB35" s="14"/>
      <c r="VEC35" s="14"/>
      <c r="VED35" s="14"/>
      <c r="VEE35" s="14"/>
      <c r="VEF35" s="14"/>
      <c r="VEG35" s="14"/>
      <c r="VEH35" s="14"/>
      <c r="VEI35" s="14"/>
      <c r="VEJ35" s="14"/>
      <c r="VEK35" s="14"/>
      <c r="VEL35" s="14"/>
      <c r="VEM35" s="14"/>
      <c r="VEN35" s="14"/>
      <c r="VEO35" s="14"/>
      <c r="VEP35" s="14"/>
      <c r="VEQ35" s="14"/>
      <c r="VER35" s="14"/>
      <c r="VES35" s="14"/>
      <c r="VET35" s="14"/>
      <c r="VEU35" s="14"/>
      <c r="VEV35" s="14"/>
      <c r="VEW35" s="14"/>
      <c r="VEX35" s="14"/>
      <c r="VEY35" s="14"/>
      <c r="VEZ35" s="14"/>
      <c r="VFA35" s="14"/>
      <c r="VFB35" s="14"/>
      <c r="VFC35" s="14"/>
      <c r="VFD35" s="14"/>
      <c r="VFE35" s="14"/>
      <c r="VFF35" s="14"/>
      <c r="VFG35" s="14"/>
      <c r="VFH35" s="14"/>
      <c r="VFI35" s="14"/>
      <c r="VFJ35" s="14"/>
      <c r="VFK35" s="14"/>
      <c r="VFL35" s="14"/>
      <c r="VFM35" s="14"/>
      <c r="VFN35" s="14"/>
      <c r="VFO35" s="14"/>
      <c r="VFP35" s="14"/>
      <c r="VFQ35" s="14"/>
      <c r="VFR35" s="14"/>
      <c r="VFS35" s="14"/>
      <c r="VFT35" s="14"/>
      <c r="VFU35" s="14"/>
      <c r="VFV35" s="14"/>
      <c r="VFW35" s="14"/>
      <c r="VFX35" s="14"/>
      <c r="VFY35" s="14"/>
      <c r="VFZ35" s="14"/>
      <c r="VGA35" s="14"/>
      <c r="VGB35" s="14"/>
      <c r="VGC35" s="14"/>
      <c r="VGD35" s="14"/>
      <c r="VGE35" s="14"/>
      <c r="VGF35" s="14"/>
      <c r="VGG35" s="14"/>
      <c r="VGH35" s="14"/>
      <c r="VGI35" s="14"/>
      <c r="VGJ35" s="14"/>
      <c r="VGK35" s="14"/>
      <c r="VGL35" s="14"/>
      <c r="VGM35" s="14"/>
      <c r="VGN35" s="14"/>
      <c r="VGO35" s="14"/>
      <c r="VGP35" s="14"/>
      <c r="VGQ35" s="14"/>
      <c r="VGR35" s="14"/>
      <c r="VGS35" s="14"/>
      <c r="VGT35" s="14"/>
      <c r="VGU35" s="14"/>
      <c r="VGV35" s="14"/>
      <c r="VGW35" s="14"/>
      <c r="VGX35" s="14"/>
      <c r="VGY35" s="14"/>
      <c r="VGZ35" s="14"/>
      <c r="VHA35" s="14"/>
      <c r="VHB35" s="14"/>
      <c r="VHC35" s="14"/>
      <c r="VHD35" s="14"/>
      <c r="VHE35" s="14"/>
      <c r="VHF35" s="14"/>
      <c r="VHG35" s="14"/>
      <c r="VHH35" s="14"/>
      <c r="VHI35" s="14"/>
      <c r="VHJ35" s="14"/>
      <c r="VHK35" s="14"/>
      <c r="VHL35" s="14"/>
      <c r="VHM35" s="14"/>
      <c r="VHN35" s="14"/>
      <c r="VHO35" s="14"/>
      <c r="VHP35" s="14"/>
      <c r="VHQ35" s="14"/>
      <c r="VHR35" s="14"/>
      <c r="VHS35" s="14"/>
      <c r="VHT35" s="14"/>
      <c r="VHU35" s="14"/>
      <c r="VHV35" s="14"/>
      <c r="VHW35" s="14"/>
      <c r="VHX35" s="14"/>
      <c r="VHY35" s="14"/>
      <c r="VHZ35" s="14"/>
      <c r="VIA35" s="14"/>
      <c r="VIB35" s="14"/>
      <c r="VIC35" s="14"/>
      <c r="VID35" s="14"/>
      <c r="VIE35" s="14"/>
      <c r="VIF35" s="14"/>
      <c r="VIG35" s="14"/>
      <c r="VIH35" s="14"/>
      <c r="VII35" s="14"/>
      <c r="VIJ35" s="14"/>
      <c r="VIK35" s="14"/>
      <c r="VIL35" s="14"/>
      <c r="VIM35" s="14"/>
      <c r="VIN35" s="14"/>
      <c r="VIO35" s="14"/>
      <c r="VIP35" s="14"/>
      <c r="VIQ35" s="14"/>
      <c r="VIR35" s="14"/>
      <c r="VIS35" s="14"/>
      <c r="VIT35" s="14"/>
      <c r="VIU35" s="14"/>
      <c r="VIV35" s="14"/>
      <c r="VIW35" s="14"/>
      <c r="VIX35" s="14"/>
      <c r="VIY35" s="14"/>
      <c r="VIZ35" s="14"/>
      <c r="VJA35" s="14"/>
      <c r="VJB35" s="14"/>
      <c r="VJC35" s="14"/>
      <c r="VJD35" s="14"/>
      <c r="VJE35" s="14"/>
      <c r="VJF35" s="14"/>
      <c r="VJG35" s="14"/>
      <c r="VJH35" s="14"/>
      <c r="VJI35" s="14"/>
      <c r="VJJ35" s="14"/>
      <c r="VJK35" s="14"/>
      <c r="VJL35" s="14"/>
      <c r="VJM35" s="14"/>
      <c r="VJN35" s="14"/>
      <c r="VJO35" s="14"/>
      <c r="VJP35" s="14"/>
      <c r="VJQ35" s="14"/>
      <c r="VJR35" s="14"/>
      <c r="VJS35" s="14"/>
      <c r="VJT35" s="14"/>
      <c r="VJU35" s="14"/>
      <c r="VJV35" s="14"/>
      <c r="VJW35" s="14"/>
      <c r="VJX35" s="14"/>
      <c r="VJY35" s="14"/>
      <c r="VJZ35" s="14"/>
      <c r="VKA35" s="14"/>
      <c r="VKB35" s="14"/>
      <c r="VKC35" s="14"/>
      <c r="VKD35" s="14"/>
      <c r="VKE35" s="14"/>
      <c r="VKF35" s="14"/>
      <c r="VKG35" s="14"/>
      <c r="VKH35" s="14"/>
      <c r="VKI35" s="14"/>
      <c r="VKJ35" s="14"/>
      <c r="VKK35" s="14"/>
      <c r="VKL35" s="14"/>
      <c r="VKM35" s="14"/>
      <c r="VKN35" s="14"/>
      <c r="VKO35" s="14"/>
      <c r="VKP35" s="14"/>
      <c r="VKQ35" s="14"/>
      <c r="VKR35" s="14"/>
      <c r="VKS35" s="14"/>
      <c r="VKT35" s="14"/>
      <c r="VKU35" s="14"/>
      <c r="VKV35" s="14"/>
      <c r="VKW35" s="14"/>
      <c r="VKX35" s="14"/>
      <c r="VKY35" s="14"/>
      <c r="VKZ35" s="14"/>
      <c r="VLA35" s="14"/>
      <c r="VLB35" s="14"/>
      <c r="VLC35" s="14"/>
      <c r="VLD35" s="14"/>
      <c r="VLE35" s="14"/>
      <c r="VLF35" s="14"/>
      <c r="VLG35" s="14"/>
      <c r="VLH35" s="14"/>
      <c r="VLI35" s="14"/>
      <c r="VLJ35" s="14"/>
      <c r="VLK35" s="14"/>
      <c r="VLL35" s="14"/>
      <c r="VLM35" s="14"/>
      <c r="VLN35" s="14"/>
      <c r="VLO35" s="14"/>
      <c r="VLP35" s="14"/>
      <c r="VLQ35" s="14"/>
      <c r="VLR35" s="14"/>
      <c r="VLS35" s="14"/>
      <c r="VLT35" s="14"/>
      <c r="VLU35" s="14"/>
      <c r="VLV35" s="14"/>
      <c r="VLW35" s="14"/>
      <c r="VLX35" s="14"/>
      <c r="VLY35" s="14"/>
      <c r="VLZ35" s="14"/>
      <c r="VMA35" s="14"/>
      <c r="VMB35" s="14"/>
      <c r="VMC35" s="14"/>
      <c r="VMD35" s="14"/>
      <c r="VME35" s="14"/>
      <c r="VMF35" s="14"/>
      <c r="VMG35" s="14"/>
      <c r="VMH35" s="14"/>
      <c r="VMI35" s="14"/>
      <c r="VMJ35" s="14"/>
      <c r="VMK35" s="14"/>
      <c r="VML35" s="14"/>
      <c r="VMM35" s="14"/>
      <c r="VMN35" s="14"/>
      <c r="VMO35" s="14"/>
      <c r="VMP35" s="14"/>
      <c r="VMQ35" s="14"/>
      <c r="VMR35" s="14"/>
      <c r="VMS35" s="14"/>
      <c r="VMT35" s="14"/>
      <c r="VMU35" s="14"/>
      <c r="VMV35" s="14"/>
      <c r="VMW35" s="14"/>
      <c r="VMX35" s="14"/>
      <c r="VMY35" s="14"/>
      <c r="VMZ35" s="14"/>
      <c r="VNA35" s="14"/>
      <c r="VNB35" s="14"/>
      <c r="VNC35" s="14"/>
      <c r="VND35" s="14"/>
      <c r="VNE35" s="14"/>
      <c r="VNF35" s="14"/>
      <c r="VNG35" s="14"/>
      <c r="VNH35" s="14"/>
      <c r="VNI35" s="14"/>
      <c r="VNJ35" s="14"/>
      <c r="VNK35" s="14"/>
      <c r="VNL35" s="14"/>
      <c r="VNM35" s="14"/>
      <c r="VNN35" s="14"/>
      <c r="VNO35" s="14"/>
      <c r="VNP35" s="14"/>
      <c r="VNQ35" s="14"/>
      <c r="VNR35" s="14"/>
      <c r="VNS35" s="14"/>
      <c r="VNT35" s="14"/>
      <c r="VNU35" s="14"/>
      <c r="VNV35" s="14"/>
      <c r="VNW35" s="14"/>
      <c r="VNX35" s="14"/>
      <c r="VNY35" s="14"/>
      <c r="VNZ35" s="14"/>
      <c r="VOA35" s="14"/>
      <c r="VOB35" s="14"/>
      <c r="VOC35" s="14"/>
      <c r="VOD35" s="14"/>
      <c r="VOE35" s="14"/>
      <c r="VOF35" s="14"/>
      <c r="VOG35" s="14"/>
      <c r="VOH35" s="14"/>
      <c r="VOI35" s="14"/>
      <c r="VOJ35" s="14"/>
      <c r="VOK35" s="14"/>
      <c r="VOL35" s="14"/>
      <c r="VOM35" s="14"/>
      <c r="VON35" s="14"/>
      <c r="VOO35" s="14"/>
      <c r="VOP35" s="14"/>
      <c r="VOQ35" s="14"/>
      <c r="VOR35" s="14"/>
      <c r="VOS35" s="14"/>
      <c r="VOT35" s="14"/>
      <c r="VOU35" s="14"/>
      <c r="VOV35" s="14"/>
      <c r="VOW35" s="14"/>
      <c r="VOX35" s="14"/>
      <c r="VOY35" s="14"/>
      <c r="VOZ35" s="14"/>
      <c r="VPA35" s="14"/>
      <c r="VPB35" s="14"/>
      <c r="VPC35" s="14"/>
      <c r="VPD35" s="14"/>
      <c r="VPE35" s="14"/>
      <c r="VPF35" s="14"/>
      <c r="VPG35" s="14"/>
      <c r="VPH35" s="14"/>
      <c r="VPI35" s="14"/>
      <c r="VPJ35" s="14"/>
      <c r="VPK35" s="14"/>
      <c r="VPL35" s="14"/>
      <c r="VPM35" s="14"/>
      <c r="VPN35" s="14"/>
      <c r="VPO35" s="14"/>
      <c r="VPP35" s="14"/>
      <c r="VPQ35" s="14"/>
      <c r="VPR35" s="14"/>
      <c r="VPS35" s="14"/>
      <c r="VPT35" s="14"/>
      <c r="VPU35" s="14"/>
      <c r="VPV35" s="14"/>
      <c r="VPW35" s="14"/>
      <c r="VPX35" s="14"/>
      <c r="VPY35" s="14"/>
      <c r="VPZ35" s="14"/>
      <c r="VQA35" s="14"/>
      <c r="VQB35" s="14"/>
      <c r="VQC35" s="14"/>
      <c r="VQD35" s="14"/>
      <c r="VQE35" s="14"/>
      <c r="VQF35" s="14"/>
      <c r="VQG35" s="14"/>
      <c r="VQH35" s="14"/>
      <c r="VQI35" s="14"/>
      <c r="VQJ35" s="14"/>
      <c r="VQK35" s="14"/>
      <c r="VQL35" s="14"/>
      <c r="VQM35" s="14"/>
      <c r="VQN35" s="14"/>
      <c r="VQO35" s="14"/>
      <c r="VQP35" s="14"/>
      <c r="VQQ35" s="14"/>
      <c r="VQR35" s="14"/>
      <c r="VQS35" s="14"/>
      <c r="VQT35" s="14"/>
      <c r="VQU35" s="14"/>
      <c r="VQV35" s="14"/>
      <c r="VQW35" s="14"/>
      <c r="VQX35" s="14"/>
      <c r="VQY35" s="14"/>
      <c r="VQZ35" s="14"/>
      <c r="VRA35" s="14"/>
      <c r="VRB35" s="14"/>
      <c r="VRC35" s="14"/>
      <c r="VRD35" s="14"/>
      <c r="VRE35" s="14"/>
      <c r="VRF35" s="14"/>
      <c r="VRG35" s="14"/>
      <c r="VRH35" s="14"/>
      <c r="VRI35" s="14"/>
      <c r="VRJ35" s="14"/>
      <c r="VRK35" s="14"/>
      <c r="VRL35" s="14"/>
      <c r="VRM35" s="14"/>
      <c r="VRN35" s="14"/>
      <c r="VRO35" s="14"/>
      <c r="VRP35" s="14"/>
      <c r="VRQ35" s="14"/>
      <c r="VRR35" s="14"/>
      <c r="VRS35" s="14"/>
      <c r="VRT35" s="14"/>
      <c r="VRU35" s="14"/>
      <c r="VRV35" s="14"/>
      <c r="VRW35" s="14"/>
      <c r="VRX35" s="14"/>
      <c r="VRY35" s="14"/>
      <c r="VRZ35" s="14"/>
      <c r="VSA35" s="14"/>
      <c r="VSB35" s="14"/>
      <c r="VSC35" s="14"/>
      <c r="VSD35" s="14"/>
      <c r="VSE35" s="14"/>
      <c r="VSF35" s="14"/>
      <c r="VSG35" s="14"/>
      <c r="VSH35" s="14"/>
      <c r="VSI35" s="14"/>
      <c r="VSJ35" s="14"/>
      <c r="VSK35" s="14"/>
      <c r="VSL35" s="14"/>
      <c r="VSM35" s="14"/>
      <c r="VSN35" s="14"/>
      <c r="VSO35" s="14"/>
      <c r="VSP35" s="14"/>
      <c r="VSQ35" s="14"/>
      <c r="VSR35" s="14"/>
      <c r="VSS35" s="14"/>
      <c r="VST35" s="14"/>
      <c r="VSU35" s="14"/>
      <c r="VSV35" s="14"/>
      <c r="VSW35" s="14"/>
      <c r="VSX35" s="14"/>
      <c r="VSY35" s="14"/>
      <c r="VSZ35" s="14"/>
      <c r="VTA35" s="14"/>
      <c r="VTB35" s="14"/>
      <c r="VTC35" s="14"/>
      <c r="VTD35" s="14"/>
      <c r="VTE35" s="14"/>
      <c r="VTF35" s="14"/>
      <c r="VTG35" s="14"/>
      <c r="VTH35" s="14"/>
      <c r="VTI35" s="14"/>
      <c r="VTJ35" s="14"/>
      <c r="VTK35" s="14"/>
      <c r="VTL35" s="14"/>
      <c r="VTM35" s="14"/>
      <c r="VTN35" s="14"/>
      <c r="VTO35" s="14"/>
      <c r="VTP35" s="14"/>
      <c r="VTQ35" s="14"/>
      <c r="VTR35" s="14"/>
      <c r="VTS35" s="14"/>
      <c r="VTT35" s="14"/>
      <c r="VTU35" s="14"/>
      <c r="VTV35" s="14"/>
      <c r="VTW35" s="14"/>
      <c r="VTX35" s="14"/>
      <c r="VTY35" s="14"/>
      <c r="VTZ35" s="14"/>
      <c r="VUA35" s="14"/>
      <c r="VUB35" s="14"/>
      <c r="VUC35" s="14"/>
      <c r="VUD35" s="14"/>
      <c r="VUE35" s="14"/>
      <c r="VUF35" s="14"/>
      <c r="VUG35" s="14"/>
      <c r="VUH35" s="14"/>
      <c r="VUI35" s="14"/>
      <c r="VUJ35" s="14"/>
      <c r="VUK35" s="14"/>
      <c r="VUL35" s="14"/>
      <c r="VUM35" s="14"/>
      <c r="VUN35" s="14"/>
      <c r="VUO35" s="14"/>
      <c r="VUP35" s="14"/>
      <c r="VUQ35" s="14"/>
      <c r="VUR35" s="14"/>
      <c r="VUS35" s="14"/>
      <c r="VUT35" s="14"/>
      <c r="VUU35" s="14"/>
      <c r="VUV35" s="14"/>
      <c r="VUW35" s="14"/>
      <c r="VUX35" s="14"/>
      <c r="VUY35" s="14"/>
      <c r="VUZ35" s="14"/>
      <c r="VVA35" s="14"/>
      <c r="VVB35" s="14"/>
      <c r="VVC35" s="14"/>
      <c r="VVD35" s="14"/>
      <c r="VVE35" s="14"/>
      <c r="VVF35" s="14"/>
      <c r="VVG35" s="14"/>
      <c r="VVH35" s="14"/>
      <c r="VVI35" s="14"/>
      <c r="VVJ35" s="14"/>
      <c r="VVK35" s="14"/>
      <c r="VVL35" s="14"/>
      <c r="VVM35" s="14"/>
      <c r="VVN35" s="14"/>
      <c r="VVO35" s="14"/>
      <c r="VVP35" s="14"/>
      <c r="VVQ35" s="14"/>
      <c r="VVR35" s="14"/>
      <c r="VVS35" s="14"/>
      <c r="VVT35" s="14"/>
      <c r="VVU35" s="14"/>
      <c r="VVV35" s="14"/>
      <c r="VVW35" s="14"/>
      <c r="VVX35" s="14"/>
      <c r="VVY35" s="14"/>
      <c r="VVZ35" s="14"/>
      <c r="VWA35" s="14"/>
      <c r="VWB35" s="14"/>
      <c r="VWC35" s="14"/>
      <c r="VWD35" s="14"/>
      <c r="VWE35" s="14"/>
      <c r="VWF35" s="14"/>
      <c r="VWG35" s="14"/>
      <c r="VWH35" s="14"/>
      <c r="VWI35" s="14"/>
      <c r="VWJ35" s="14"/>
      <c r="VWK35" s="14"/>
      <c r="VWL35" s="14"/>
      <c r="VWM35" s="14"/>
      <c r="VWN35" s="14"/>
      <c r="VWO35" s="14"/>
      <c r="VWP35" s="14"/>
      <c r="VWQ35" s="14"/>
      <c r="VWR35" s="14"/>
      <c r="VWS35" s="14"/>
      <c r="VWT35" s="14"/>
      <c r="VWU35" s="14"/>
      <c r="VWV35" s="14"/>
      <c r="VWW35" s="14"/>
      <c r="VWX35" s="14"/>
      <c r="VWY35" s="14"/>
      <c r="VWZ35" s="14"/>
      <c r="VXA35" s="14"/>
      <c r="VXB35" s="14"/>
      <c r="VXC35" s="14"/>
      <c r="VXD35" s="14"/>
      <c r="VXE35" s="14"/>
      <c r="VXF35" s="14"/>
      <c r="VXG35" s="14"/>
      <c r="VXH35" s="14"/>
      <c r="VXI35" s="14"/>
      <c r="VXJ35" s="14"/>
      <c r="VXK35" s="14"/>
      <c r="VXL35" s="14"/>
      <c r="VXM35" s="14"/>
      <c r="VXN35" s="14"/>
      <c r="VXO35" s="14"/>
      <c r="VXP35" s="14"/>
      <c r="VXQ35" s="14"/>
      <c r="VXR35" s="14"/>
      <c r="VXS35" s="14"/>
      <c r="VXT35" s="14"/>
      <c r="VXU35" s="14"/>
      <c r="VXV35" s="14"/>
      <c r="VXW35" s="14"/>
      <c r="VXX35" s="14"/>
      <c r="VXY35" s="14"/>
      <c r="VXZ35" s="14"/>
      <c r="VYA35" s="14"/>
      <c r="VYB35" s="14"/>
      <c r="VYC35" s="14"/>
      <c r="VYD35" s="14"/>
      <c r="VYE35" s="14"/>
      <c r="VYF35" s="14"/>
      <c r="VYG35" s="14"/>
      <c r="VYH35" s="14"/>
      <c r="VYI35" s="14"/>
      <c r="VYJ35" s="14"/>
      <c r="VYK35" s="14"/>
      <c r="VYL35" s="14"/>
      <c r="VYM35" s="14"/>
      <c r="VYN35" s="14"/>
      <c r="VYO35" s="14"/>
      <c r="VYP35" s="14"/>
      <c r="VYQ35" s="14"/>
      <c r="VYR35" s="14"/>
      <c r="VYS35" s="14"/>
      <c r="VYT35" s="14"/>
      <c r="VYU35" s="14"/>
      <c r="VYV35" s="14"/>
      <c r="VYW35" s="14"/>
      <c r="VYX35" s="14"/>
      <c r="VYY35" s="14"/>
      <c r="VYZ35" s="14"/>
      <c r="VZA35" s="14"/>
      <c r="VZB35" s="14"/>
      <c r="VZC35" s="14"/>
      <c r="VZD35" s="14"/>
      <c r="VZE35" s="14"/>
      <c r="VZF35" s="14"/>
      <c r="VZG35" s="14"/>
      <c r="VZH35" s="14"/>
      <c r="VZI35" s="14"/>
      <c r="VZJ35" s="14"/>
      <c r="VZK35" s="14"/>
      <c r="VZL35" s="14"/>
      <c r="VZM35" s="14"/>
      <c r="VZN35" s="14"/>
      <c r="VZO35" s="14"/>
      <c r="VZP35" s="14"/>
      <c r="VZQ35" s="14"/>
      <c r="VZR35" s="14"/>
      <c r="VZS35" s="14"/>
      <c r="VZT35" s="14"/>
      <c r="VZU35" s="14"/>
      <c r="VZV35" s="14"/>
      <c r="VZW35" s="14"/>
      <c r="VZX35" s="14"/>
      <c r="VZY35" s="14"/>
      <c r="VZZ35" s="14"/>
      <c r="WAA35" s="14"/>
      <c r="WAB35" s="14"/>
      <c r="WAC35" s="14"/>
      <c r="WAD35" s="14"/>
      <c r="WAE35" s="14"/>
      <c r="WAF35" s="14"/>
      <c r="WAG35" s="14"/>
      <c r="WAH35" s="14"/>
      <c r="WAI35" s="14"/>
      <c r="WAJ35" s="14"/>
      <c r="WAK35" s="14"/>
      <c r="WAL35" s="14"/>
      <c r="WAM35" s="14"/>
      <c r="WAN35" s="14"/>
      <c r="WAO35" s="14"/>
      <c r="WAP35" s="14"/>
      <c r="WAQ35" s="14"/>
      <c r="WAR35" s="14"/>
      <c r="WAS35" s="14"/>
      <c r="WAT35" s="14"/>
      <c r="WAU35" s="14"/>
      <c r="WAV35" s="14"/>
      <c r="WAW35" s="14"/>
      <c r="WAX35" s="14"/>
      <c r="WAY35" s="14"/>
      <c r="WAZ35" s="14"/>
      <c r="WBA35" s="14"/>
      <c r="WBB35" s="14"/>
      <c r="WBC35" s="14"/>
      <c r="WBD35" s="14"/>
      <c r="WBE35" s="14"/>
      <c r="WBF35" s="14"/>
      <c r="WBG35" s="14"/>
      <c r="WBH35" s="14"/>
      <c r="WBI35" s="14"/>
      <c r="WBJ35" s="14"/>
      <c r="WBK35" s="14"/>
      <c r="WBL35" s="14"/>
      <c r="WBM35" s="14"/>
      <c r="WBN35" s="14"/>
      <c r="WBO35" s="14"/>
      <c r="WBP35" s="14"/>
      <c r="WBQ35" s="14"/>
      <c r="WBR35" s="14"/>
      <c r="WBS35" s="14"/>
      <c r="WBT35" s="14"/>
      <c r="WBU35" s="14"/>
      <c r="WBV35" s="14"/>
      <c r="WBW35" s="14"/>
      <c r="WBX35" s="14"/>
      <c r="WBY35" s="14"/>
      <c r="WBZ35" s="14"/>
      <c r="WCA35" s="14"/>
      <c r="WCB35" s="14"/>
      <c r="WCC35" s="14"/>
      <c r="WCD35" s="14"/>
      <c r="WCE35" s="14"/>
      <c r="WCF35" s="14"/>
      <c r="WCG35" s="14"/>
      <c r="WCH35" s="14"/>
      <c r="WCI35" s="14"/>
      <c r="WCJ35" s="14"/>
      <c r="WCK35" s="14"/>
      <c r="WCL35" s="14"/>
      <c r="WCM35" s="14"/>
      <c r="WCN35" s="14"/>
      <c r="WCO35" s="14"/>
      <c r="WCP35" s="14"/>
      <c r="WCQ35" s="14"/>
      <c r="WCR35" s="14"/>
      <c r="WCS35" s="14"/>
      <c r="WCT35" s="14"/>
      <c r="WCU35" s="14"/>
      <c r="WCV35" s="14"/>
      <c r="WCW35" s="14"/>
      <c r="WCX35" s="14"/>
      <c r="WCY35" s="14"/>
      <c r="WCZ35" s="14"/>
      <c r="WDA35" s="14"/>
      <c r="WDB35" s="14"/>
      <c r="WDC35" s="14"/>
      <c r="WDD35" s="14"/>
      <c r="WDE35" s="14"/>
      <c r="WDF35" s="14"/>
      <c r="WDG35" s="14"/>
      <c r="WDH35" s="14"/>
      <c r="WDI35" s="14"/>
      <c r="WDJ35" s="14"/>
      <c r="WDK35" s="14"/>
      <c r="WDL35" s="14"/>
      <c r="WDM35" s="14"/>
      <c r="WDN35" s="14"/>
      <c r="WDO35" s="14"/>
      <c r="WDP35" s="14"/>
      <c r="WDQ35" s="14"/>
      <c r="WDR35" s="14"/>
      <c r="WDS35" s="14"/>
      <c r="WDT35" s="14"/>
      <c r="WDU35" s="14"/>
      <c r="WDV35" s="14"/>
      <c r="WDW35" s="14"/>
      <c r="WDX35" s="14"/>
      <c r="WDY35" s="14"/>
      <c r="WDZ35" s="14"/>
      <c r="WEA35" s="14"/>
      <c r="WEB35" s="14"/>
      <c r="WEC35" s="14"/>
      <c r="WED35" s="14"/>
      <c r="WEE35" s="14"/>
      <c r="WEF35" s="14"/>
      <c r="WEG35" s="14"/>
      <c r="WEH35" s="14"/>
      <c r="WEI35" s="14"/>
      <c r="WEJ35" s="14"/>
      <c r="WEK35" s="14"/>
      <c r="WEL35" s="14"/>
      <c r="WEM35" s="14"/>
      <c r="WEN35" s="14"/>
      <c r="WEO35" s="14"/>
      <c r="WEP35" s="14"/>
      <c r="WEQ35" s="14"/>
      <c r="WER35" s="14"/>
      <c r="WES35" s="14"/>
      <c r="WET35" s="14"/>
      <c r="WEU35" s="14"/>
      <c r="WEV35" s="14"/>
      <c r="WEW35" s="14"/>
      <c r="WEX35" s="14"/>
      <c r="WEY35" s="14"/>
      <c r="WEZ35" s="14"/>
      <c r="WFA35" s="14"/>
      <c r="WFB35" s="14"/>
      <c r="WFC35" s="14"/>
      <c r="WFD35" s="14"/>
      <c r="WFE35" s="14"/>
      <c r="WFF35" s="14"/>
      <c r="WFG35" s="14"/>
      <c r="WFH35" s="14"/>
      <c r="WFI35" s="14"/>
      <c r="WFJ35" s="14"/>
      <c r="WFK35" s="14"/>
      <c r="WFL35" s="14"/>
      <c r="WFM35" s="14"/>
      <c r="WFN35" s="14"/>
      <c r="WFO35" s="14"/>
      <c r="WFP35" s="14"/>
      <c r="WFQ35" s="14"/>
      <c r="WFR35" s="14"/>
      <c r="WFS35" s="14"/>
      <c r="WFT35" s="14"/>
      <c r="WFU35" s="14"/>
      <c r="WFV35" s="14"/>
      <c r="WFW35" s="14"/>
      <c r="WFX35" s="14"/>
      <c r="WFY35" s="14"/>
      <c r="WFZ35" s="14"/>
      <c r="WGA35" s="14"/>
      <c r="WGB35" s="14"/>
      <c r="WGC35" s="14"/>
      <c r="WGD35" s="14"/>
      <c r="WGE35" s="14"/>
      <c r="WGF35" s="14"/>
      <c r="WGG35" s="14"/>
      <c r="WGH35" s="14"/>
      <c r="WGI35" s="14"/>
      <c r="WGJ35" s="14"/>
      <c r="WGK35" s="14"/>
      <c r="WGL35" s="14"/>
      <c r="WGM35" s="14"/>
      <c r="WGN35" s="14"/>
      <c r="WGO35" s="14"/>
      <c r="WGP35" s="14"/>
      <c r="WGQ35" s="14"/>
      <c r="WGR35" s="14"/>
      <c r="WGS35" s="14"/>
      <c r="WGT35" s="14"/>
      <c r="WGU35" s="14"/>
      <c r="WGV35" s="14"/>
      <c r="WGW35" s="14"/>
      <c r="WGX35" s="14"/>
      <c r="WGY35" s="14"/>
      <c r="WGZ35" s="14"/>
      <c r="WHA35" s="14"/>
      <c r="WHB35" s="14"/>
      <c r="WHC35" s="14"/>
      <c r="WHD35" s="14"/>
      <c r="WHE35" s="14"/>
      <c r="WHF35" s="14"/>
      <c r="WHG35" s="14"/>
      <c r="WHH35" s="14"/>
      <c r="WHI35" s="14"/>
      <c r="WHJ35" s="14"/>
      <c r="WHK35" s="14"/>
      <c r="WHL35" s="14"/>
      <c r="WHM35" s="14"/>
      <c r="WHN35" s="14"/>
      <c r="WHO35" s="14"/>
      <c r="WHP35" s="14"/>
      <c r="WHQ35" s="14"/>
      <c r="WHR35" s="14"/>
      <c r="WHS35" s="14"/>
      <c r="WHT35" s="14"/>
      <c r="WHU35" s="14"/>
      <c r="WHV35" s="14"/>
      <c r="WHW35" s="14"/>
      <c r="WHX35" s="14"/>
      <c r="WHY35" s="14"/>
      <c r="WHZ35" s="14"/>
      <c r="WIA35" s="14"/>
      <c r="WIB35" s="14"/>
      <c r="WIC35" s="14"/>
      <c r="WID35" s="14"/>
      <c r="WIE35" s="14"/>
      <c r="WIF35" s="14"/>
      <c r="WIG35" s="14"/>
      <c r="WIH35" s="14"/>
      <c r="WII35" s="14"/>
      <c r="WIJ35" s="14"/>
      <c r="WIK35" s="14"/>
      <c r="WIL35" s="14"/>
      <c r="WIM35" s="14"/>
      <c r="WIN35" s="14"/>
      <c r="WIO35" s="14"/>
      <c r="WIP35" s="14"/>
      <c r="WIQ35" s="14"/>
      <c r="WIR35" s="14"/>
      <c r="WIS35" s="14"/>
      <c r="WIT35" s="14"/>
      <c r="WIU35" s="14"/>
      <c r="WIV35" s="14"/>
      <c r="WIW35" s="14"/>
      <c r="WIX35" s="14"/>
      <c r="WIY35" s="14"/>
      <c r="WIZ35" s="14"/>
      <c r="WJA35" s="14"/>
      <c r="WJB35" s="14"/>
      <c r="WJC35" s="14"/>
      <c r="WJD35" s="14"/>
      <c r="WJE35" s="14"/>
      <c r="WJF35" s="14"/>
      <c r="WJG35" s="14"/>
      <c r="WJH35" s="14"/>
      <c r="WJI35" s="14"/>
      <c r="WJJ35" s="14"/>
      <c r="WJK35" s="14"/>
      <c r="WJL35" s="14"/>
      <c r="WJM35" s="14"/>
      <c r="WJN35" s="14"/>
      <c r="WJO35" s="14"/>
      <c r="WJP35" s="14"/>
      <c r="WJQ35" s="14"/>
      <c r="WJR35" s="14"/>
      <c r="WJS35" s="14"/>
      <c r="WJT35" s="14"/>
      <c r="WJU35" s="14"/>
      <c r="WJV35" s="14"/>
      <c r="WJW35" s="14"/>
      <c r="WJX35" s="14"/>
      <c r="WJY35" s="14"/>
      <c r="WJZ35" s="14"/>
      <c r="WKA35" s="14"/>
      <c r="WKB35" s="14"/>
      <c r="WKC35" s="14"/>
      <c r="WKD35" s="14"/>
      <c r="WKE35" s="14"/>
      <c r="WKF35" s="14"/>
      <c r="WKG35" s="14"/>
      <c r="WKH35" s="14"/>
      <c r="WKI35" s="14"/>
      <c r="WKJ35" s="14"/>
      <c r="WKK35" s="14"/>
      <c r="WKL35" s="14"/>
      <c r="WKM35" s="14"/>
      <c r="WKN35" s="14"/>
      <c r="WKO35" s="14"/>
      <c r="WKP35" s="14"/>
      <c r="WKQ35" s="14"/>
      <c r="WKR35" s="14"/>
      <c r="WKS35" s="14"/>
      <c r="WKT35" s="14"/>
      <c r="WKU35" s="14"/>
      <c r="WKV35" s="14"/>
      <c r="WKW35" s="14"/>
      <c r="WKX35" s="14"/>
      <c r="WKY35" s="14"/>
      <c r="WKZ35" s="14"/>
      <c r="WLA35" s="14"/>
      <c r="WLB35" s="14"/>
      <c r="WLC35" s="14"/>
      <c r="WLD35" s="14"/>
      <c r="WLE35" s="14"/>
      <c r="WLF35" s="14"/>
      <c r="WLG35" s="14"/>
      <c r="WLH35" s="14"/>
      <c r="WLI35" s="14"/>
      <c r="WLJ35" s="14"/>
      <c r="WLK35" s="14"/>
      <c r="WLL35" s="14"/>
      <c r="WLM35" s="14"/>
      <c r="WLN35" s="14"/>
      <c r="WLO35" s="14"/>
      <c r="WLP35" s="14"/>
      <c r="WLQ35" s="14"/>
      <c r="WLR35" s="14"/>
      <c r="WLS35" s="14"/>
      <c r="WLT35" s="14"/>
      <c r="WLU35" s="14"/>
      <c r="WLV35" s="14"/>
      <c r="WLW35" s="14"/>
      <c r="WLX35" s="14"/>
      <c r="WLY35" s="14"/>
      <c r="WLZ35" s="14"/>
      <c r="WMA35" s="14"/>
      <c r="WMB35" s="14"/>
      <c r="WMC35" s="14"/>
      <c r="WMD35" s="14"/>
      <c r="WME35" s="14"/>
      <c r="WMF35" s="14"/>
      <c r="WMG35" s="14"/>
      <c r="WMH35" s="14"/>
      <c r="WMI35" s="14"/>
      <c r="WMJ35" s="14"/>
      <c r="WMK35" s="14"/>
      <c r="WML35" s="14"/>
      <c r="WMM35" s="14"/>
      <c r="WMN35" s="14"/>
      <c r="WMO35" s="14"/>
      <c r="WMP35" s="14"/>
      <c r="WMQ35" s="14"/>
      <c r="WMR35" s="14"/>
      <c r="WMS35" s="14"/>
      <c r="WMT35" s="14"/>
      <c r="WMU35" s="14"/>
      <c r="WMV35" s="14"/>
      <c r="WMW35" s="14"/>
      <c r="WMX35" s="14"/>
      <c r="WMY35" s="14"/>
      <c r="WMZ35" s="14"/>
      <c r="WNA35" s="14"/>
      <c r="WNB35" s="14"/>
      <c r="WNC35" s="14"/>
      <c r="WND35" s="14"/>
      <c r="WNE35" s="14"/>
      <c r="WNF35" s="14"/>
      <c r="WNG35" s="14"/>
      <c r="WNH35" s="14"/>
      <c r="WNI35" s="14"/>
      <c r="WNJ35" s="14"/>
      <c r="WNK35" s="14"/>
      <c r="WNL35" s="14"/>
      <c r="WNM35" s="14"/>
      <c r="WNN35" s="14"/>
      <c r="WNO35" s="14"/>
      <c r="WNP35" s="14"/>
      <c r="WNQ35" s="14"/>
      <c r="WNR35" s="14"/>
      <c r="WNS35" s="14"/>
      <c r="WNT35" s="14"/>
      <c r="WNU35" s="14"/>
      <c r="WNV35" s="14"/>
      <c r="WNW35" s="14"/>
      <c r="WNX35" s="14"/>
      <c r="WNY35" s="14"/>
      <c r="WNZ35" s="14"/>
      <c r="WOA35" s="14"/>
      <c r="WOB35" s="14"/>
      <c r="WOC35" s="14"/>
      <c r="WOD35" s="14"/>
      <c r="WOE35" s="14"/>
      <c r="WOF35" s="14"/>
      <c r="WOG35" s="14"/>
      <c r="WOH35" s="14"/>
      <c r="WOI35" s="14"/>
      <c r="WOJ35" s="14"/>
      <c r="WOK35" s="14"/>
      <c r="WOL35" s="14"/>
      <c r="WOM35" s="14"/>
      <c r="WON35" s="14"/>
      <c r="WOO35" s="14"/>
      <c r="WOP35" s="14"/>
      <c r="WOQ35" s="14"/>
      <c r="WOR35" s="14"/>
      <c r="WOS35" s="14"/>
      <c r="WOT35" s="14"/>
      <c r="WOU35" s="14"/>
      <c r="WOV35" s="14"/>
      <c r="WOW35" s="14"/>
      <c r="WOX35" s="14"/>
      <c r="WOY35" s="14"/>
      <c r="WOZ35" s="14"/>
      <c r="WPA35" s="14"/>
      <c r="WPB35" s="14"/>
      <c r="WPC35" s="14"/>
      <c r="WPD35" s="14"/>
      <c r="WPE35" s="14"/>
      <c r="WPF35" s="14"/>
      <c r="WPG35" s="14"/>
      <c r="WPH35" s="14"/>
      <c r="WPI35" s="14"/>
      <c r="WPJ35" s="14"/>
      <c r="WPK35" s="14"/>
      <c r="WPL35" s="14"/>
      <c r="WPM35" s="14"/>
      <c r="WPN35" s="14"/>
      <c r="WPO35" s="14"/>
      <c r="WPP35" s="14"/>
      <c r="WPQ35" s="14"/>
      <c r="WPR35" s="14"/>
      <c r="WPS35" s="14"/>
      <c r="WPT35" s="14"/>
      <c r="WPU35" s="14"/>
      <c r="WPV35" s="14"/>
      <c r="WPW35" s="14"/>
      <c r="WPX35" s="14"/>
      <c r="WPY35" s="14"/>
      <c r="WPZ35" s="14"/>
      <c r="WQA35" s="14"/>
      <c r="WQB35" s="14"/>
      <c r="WQC35" s="14"/>
      <c r="WQD35" s="14"/>
      <c r="WQE35" s="14"/>
      <c r="WQF35" s="14"/>
      <c r="WQG35" s="14"/>
      <c r="WQH35" s="14"/>
      <c r="WQI35" s="14"/>
      <c r="WQJ35" s="14"/>
      <c r="WQK35" s="14"/>
      <c r="WQL35" s="14"/>
      <c r="WQM35" s="14"/>
      <c r="WQN35" s="14"/>
      <c r="WQO35" s="14"/>
      <c r="WQP35" s="14"/>
      <c r="WQQ35" s="14"/>
      <c r="WQR35" s="14"/>
      <c r="WQS35" s="14"/>
      <c r="WQT35" s="14"/>
      <c r="WQU35" s="14"/>
      <c r="WQV35" s="14"/>
      <c r="WQW35" s="14"/>
      <c r="WQX35" s="14"/>
      <c r="WQY35" s="14"/>
      <c r="WQZ35" s="14"/>
      <c r="WRA35" s="14"/>
      <c r="WRB35" s="14"/>
      <c r="WRC35" s="14"/>
      <c r="WRD35" s="14"/>
      <c r="WRE35" s="14"/>
      <c r="WRF35" s="14"/>
      <c r="WRG35" s="14"/>
      <c r="WRH35" s="14"/>
      <c r="WRI35" s="14"/>
      <c r="WRJ35" s="14"/>
      <c r="WRK35" s="14"/>
      <c r="WRL35" s="14"/>
      <c r="WRM35" s="14"/>
      <c r="WRN35" s="14"/>
      <c r="WRO35" s="14"/>
      <c r="WRP35" s="14"/>
      <c r="WRQ35" s="14"/>
      <c r="WRR35" s="14"/>
      <c r="WRS35" s="14"/>
      <c r="WRT35" s="14"/>
      <c r="WRU35" s="14"/>
      <c r="WRV35" s="14"/>
      <c r="WRW35" s="14"/>
      <c r="WRX35" s="14"/>
      <c r="WRY35" s="14"/>
      <c r="WRZ35" s="14"/>
      <c r="WSA35" s="14"/>
      <c r="WSB35" s="14"/>
      <c r="WSC35" s="14"/>
      <c r="WSD35" s="14"/>
      <c r="WSE35" s="14"/>
      <c r="WSF35" s="14"/>
      <c r="WSG35" s="14"/>
      <c r="WSH35" s="14"/>
      <c r="WSI35" s="14"/>
      <c r="WSJ35" s="14"/>
      <c r="WSK35" s="14"/>
      <c r="WSL35" s="14"/>
      <c r="WSM35" s="14"/>
      <c r="WSN35" s="14"/>
      <c r="WSO35" s="14"/>
      <c r="WSP35" s="14"/>
      <c r="WSQ35" s="14"/>
      <c r="WSR35" s="14"/>
      <c r="WSS35" s="14"/>
      <c r="WST35" s="14"/>
      <c r="WSU35" s="14"/>
      <c r="WSV35" s="14"/>
      <c r="WSW35" s="14"/>
      <c r="WSX35" s="14"/>
      <c r="WSY35" s="14"/>
      <c r="WSZ35" s="14"/>
      <c r="WTA35" s="14"/>
      <c r="WTB35" s="14"/>
      <c r="WTC35" s="14"/>
      <c r="WTD35" s="14"/>
      <c r="WTE35" s="14"/>
      <c r="WTF35" s="14"/>
      <c r="WTG35" s="14"/>
      <c r="WTH35" s="14"/>
      <c r="WTI35" s="14"/>
      <c r="WTJ35" s="14"/>
      <c r="WTK35" s="14"/>
      <c r="WTL35" s="14"/>
      <c r="WTM35" s="14"/>
      <c r="WTN35" s="14"/>
      <c r="WTO35" s="14"/>
      <c r="WTP35" s="14"/>
      <c r="WTQ35" s="14"/>
      <c r="WTR35" s="14"/>
      <c r="WTS35" s="14"/>
      <c r="WTT35" s="14"/>
      <c r="WTU35" s="14"/>
      <c r="WTV35" s="14"/>
      <c r="WTW35" s="14"/>
      <c r="WTX35" s="14"/>
      <c r="WTY35" s="14"/>
      <c r="WTZ35" s="14"/>
      <c r="WUA35" s="14"/>
      <c r="WUB35" s="14"/>
      <c r="WUC35" s="14"/>
      <c r="WUD35" s="14"/>
      <c r="WUE35" s="14"/>
      <c r="WUF35" s="14"/>
      <c r="WUG35" s="14"/>
      <c r="WUH35" s="14"/>
      <c r="WUI35" s="14"/>
      <c r="WUJ35" s="14"/>
      <c r="WUK35" s="14"/>
      <c r="WUL35" s="14"/>
      <c r="WUM35" s="14"/>
      <c r="WUN35" s="14"/>
      <c r="WUO35" s="14"/>
      <c r="WUP35" s="14"/>
      <c r="WUQ35" s="14"/>
      <c r="WUR35" s="14"/>
      <c r="WUS35" s="14"/>
      <c r="WUT35" s="14"/>
      <c r="WUU35" s="14"/>
      <c r="WUV35" s="14"/>
      <c r="WUW35" s="14"/>
      <c r="WUX35" s="14"/>
      <c r="WUY35" s="14"/>
      <c r="WUZ35" s="14"/>
      <c r="WVA35" s="14"/>
      <c r="WVB35" s="14"/>
      <c r="WVC35" s="14"/>
      <c r="WVD35" s="14"/>
      <c r="WVE35" s="14"/>
      <c r="WVF35" s="14"/>
      <c r="WVG35" s="14"/>
      <c r="WVH35" s="14"/>
      <c r="WVI35" s="14"/>
      <c r="WVJ35" s="14"/>
      <c r="WVK35" s="14"/>
      <c r="WVL35" s="14"/>
      <c r="WVM35" s="14"/>
      <c r="WVN35" s="14"/>
      <c r="WVO35" s="14"/>
      <c r="WVP35" s="14"/>
      <c r="WVQ35" s="14"/>
      <c r="WVR35" s="14"/>
      <c r="WVS35" s="14"/>
      <c r="WVT35" s="14"/>
      <c r="WVU35" s="14"/>
      <c r="WVV35" s="14"/>
      <c r="WVW35" s="14"/>
      <c r="WVX35" s="14"/>
      <c r="WVY35" s="14"/>
      <c r="WVZ35" s="14"/>
      <c r="WWA35" s="14"/>
      <c r="WWB35" s="14"/>
      <c r="WWC35" s="14"/>
      <c r="WWD35" s="14"/>
      <c r="WWE35" s="14"/>
      <c r="WWF35" s="14"/>
      <c r="WWG35" s="14"/>
      <c r="WWH35" s="14"/>
      <c r="WWI35" s="14"/>
      <c r="WWJ35" s="14"/>
      <c r="WWK35" s="14"/>
      <c r="WWL35" s="14"/>
      <c r="WWM35" s="14"/>
      <c r="WWN35" s="14"/>
      <c r="WWO35" s="14"/>
      <c r="WWP35" s="14"/>
      <c r="WWQ35" s="14"/>
      <c r="WWR35" s="14"/>
      <c r="WWS35" s="14"/>
      <c r="WWT35" s="14"/>
      <c r="WWU35" s="14"/>
      <c r="WWV35" s="14"/>
      <c r="WWW35" s="14"/>
      <c r="WWX35" s="14"/>
      <c r="WWY35" s="14"/>
      <c r="WWZ35" s="14"/>
      <c r="WXA35" s="14"/>
      <c r="WXB35" s="14"/>
      <c r="WXC35" s="14"/>
      <c r="WXD35" s="14"/>
      <c r="WXE35" s="14"/>
      <c r="WXF35" s="14"/>
      <c r="WXG35" s="14"/>
      <c r="WXH35" s="14"/>
      <c r="WXI35" s="14"/>
      <c r="WXJ35" s="14"/>
      <c r="WXK35" s="14"/>
      <c r="WXL35" s="14"/>
      <c r="WXM35" s="14"/>
      <c r="WXN35" s="14"/>
      <c r="WXO35" s="14"/>
      <c r="WXP35" s="14"/>
      <c r="WXQ35" s="14"/>
      <c r="WXR35" s="14"/>
      <c r="WXS35" s="14"/>
      <c r="WXT35" s="14"/>
      <c r="WXU35" s="14"/>
      <c r="WXV35" s="14"/>
      <c r="WXW35" s="14"/>
      <c r="WXX35" s="14"/>
      <c r="WXY35" s="14"/>
      <c r="WXZ35" s="14"/>
      <c r="WYA35" s="14"/>
      <c r="WYB35" s="14"/>
      <c r="WYC35" s="14"/>
      <c r="WYD35" s="14"/>
      <c r="WYE35" s="14"/>
      <c r="WYF35" s="14"/>
      <c r="WYG35" s="14"/>
      <c r="WYH35" s="14"/>
      <c r="WYI35" s="14"/>
      <c r="WYJ35" s="14"/>
      <c r="WYK35" s="14"/>
      <c r="WYL35" s="14"/>
      <c r="WYM35" s="14"/>
      <c r="WYN35" s="14"/>
      <c r="WYO35" s="14"/>
      <c r="WYP35" s="14"/>
      <c r="WYQ35" s="14"/>
      <c r="WYR35" s="14"/>
      <c r="WYS35" s="14"/>
      <c r="WYT35" s="14"/>
      <c r="WYU35" s="14"/>
      <c r="WYV35" s="14"/>
      <c r="WYW35" s="14"/>
      <c r="WYX35" s="14"/>
      <c r="WYY35" s="14"/>
      <c r="WYZ35" s="14"/>
      <c r="WZA35" s="14"/>
      <c r="WZB35" s="14"/>
      <c r="WZC35" s="14"/>
      <c r="WZD35" s="14"/>
      <c r="WZE35" s="14"/>
      <c r="WZF35" s="14"/>
      <c r="WZG35" s="14"/>
      <c r="WZH35" s="14"/>
      <c r="WZI35" s="14"/>
      <c r="WZJ35" s="14"/>
      <c r="WZK35" s="14"/>
      <c r="WZL35" s="14"/>
      <c r="WZM35" s="14"/>
      <c r="WZN35" s="14"/>
      <c r="WZO35" s="14"/>
      <c r="WZP35" s="14"/>
      <c r="WZQ35" s="14"/>
      <c r="WZR35" s="14"/>
      <c r="WZS35" s="14"/>
      <c r="WZT35" s="14"/>
      <c r="WZU35" s="14"/>
      <c r="WZV35" s="14"/>
      <c r="WZW35" s="14"/>
      <c r="WZX35" s="14"/>
      <c r="WZY35" s="14"/>
      <c r="WZZ35" s="14"/>
      <c r="XAA35" s="14"/>
      <c r="XAB35" s="14"/>
      <c r="XAC35" s="14"/>
      <c r="XAD35" s="14"/>
      <c r="XAE35" s="14"/>
      <c r="XAF35" s="14"/>
      <c r="XAG35" s="14"/>
      <c r="XAH35" s="14"/>
      <c r="XAI35" s="14"/>
      <c r="XAJ35" s="14"/>
      <c r="XAK35" s="14"/>
      <c r="XAL35" s="14"/>
      <c r="XAM35" s="14"/>
      <c r="XAN35" s="14"/>
      <c r="XAO35" s="14"/>
      <c r="XAP35" s="14"/>
      <c r="XAQ35" s="14"/>
      <c r="XAR35" s="14"/>
      <c r="XAS35" s="14"/>
      <c r="XAT35" s="14"/>
      <c r="XAU35" s="14"/>
      <c r="XAV35" s="14"/>
      <c r="XAW35" s="14"/>
      <c r="XAX35" s="14"/>
      <c r="XAY35" s="14"/>
      <c r="XAZ35" s="14"/>
      <c r="XBA35" s="14"/>
      <c r="XBB35" s="14"/>
      <c r="XBC35" s="14"/>
      <c r="XBD35" s="14"/>
      <c r="XBE35" s="14"/>
      <c r="XBF35" s="14"/>
      <c r="XBG35" s="14"/>
      <c r="XBH35" s="14"/>
      <c r="XBI35" s="14"/>
      <c r="XBJ35" s="14"/>
      <c r="XBK35" s="14"/>
      <c r="XBL35" s="14"/>
      <c r="XBM35" s="14"/>
      <c r="XBN35" s="14"/>
      <c r="XBO35" s="14"/>
      <c r="XBP35" s="14"/>
      <c r="XBQ35" s="14"/>
      <c r="XBR35" s="14"/>
      <c r="XBS35" s="14"/>
      <c r="XBT35" s="14"/>
      <c r="XBU35" s="14"/>
      <c r="XBV35" s="14"/>
      <c r="XBW35" s="14"/>
      <c r="XBX35" s="14"/>
      <c r="XBY35" s="14"/>
      <c r="XBZ35" s="14"/>
      <c r="XCA35" s="14"/>
      <c r="XCB35" s="14"/>
      <c r="XCC35" s="14"/>
      <c r="XCD35" s="14"/>
      <c r="XCE35" s="14"/>
      <c r="XCF35" s="14"/>
      <c r="XCG35" s="14"/>
      <c r="XCH35" s="14"/>
      <c r="XCI35" s="14"/>
      <c r="XCJ35" s="14"/>
      <c r="XCK35" s="14"/>
      <c r="XCL35" s="14"/>
      <c r="XCM35" s="14"/>
      <c r="XCN35" s="14"/>
      <c r="XCO35" s="14"/>
      <c r="XCP35" s="14"/>
      <c r="XCQ35" s="14"/>
      <c r="XCR35" s="14"/>
      <c r="XCS35" s="14"/>
      <c r="XCT35" s="14"/>
      <c r="XCU35" s="14"/>
      <c r="XCV35" s="14"/>
      <c r="XCW35" s="14"/>
      <c r="XCX35" s="14"/>
      <c r="XCY35" s="14"/>
      <c r="XCZ35" s="14"/>
      <c r="XDA35" s="14"/>
      <c r="XDB35" s="14"/>
      <c r="XDC35" s="14"/>
      <c r="XDD35" s="14"/>
      <c r="XDE35" s="14"/>
      <c r="XDF35" s="14"/>
      <c r="XDG35" s="14"/>
      <c r="XDH35" s="14"/>
      <c r="XDI35" s="14"/>
      <c r="XDJ35" s="14"/>
      <c r="XDK35" s="14"/>
      <c r="XDL35" s="14"/>
      <c r="XDM35" s="14"/>
      <c r="XDN35" s="14"/>
      <c r="XDO35" s="14"/>
      <c r="XDP35" s="14"/>
      <c r="XDQ35" s="14"/>
      <c r="XDR35" s="14"/>
      <c r="XDS35" s="14"/>
      <c r="XDT35" s="14"/>
      <c r="XDU35" s="14"/>
      <c r="XDV35" s="14"/>
      <c r="XDW35" s="14"/>
      <c r="XDX35" s="14"/>
      <c r="XDY35" s="14"/>
      <c r="XDZ35" s="14"/>
      <c r="XEA35" s="14"/>
      <c r="XEB35" s="14"/>
      <c r="XEC35" s="14"/>
      <c r="XED35" s="14"/>
      <c r="XEE35" s="14"/>
      <c r="XEF35" s="14"/>
      <c r="XEG35" s="14"/>
      <c r="XEH35" s="14"/>
      <c r="XEI35" s="14"/>
      <c r="XEJ35" s="14"/>
      <c r="XEK35" s="14"/>
      <c r="XEL35" s="14"/>
      <c r="XEM35" s="14"/>
      <c r="XEN35" s="14"/>
      <c r="XEO35" s="14"/>
      <c r="XEP35" s="14"/>
      <c r="XEQ35" s="14"/>
      <c r="XER35" s="14"/>
      <c r="XES35" s="14"/>
      <c r="XET35" s="14"/>
      <c r="XEU35" s="14"/>
      <c r="XEV35" s="14"/>
      <c r="XEW35" s="14"/>
      <c r="XEX35" s="14"/>
      <c r="XEY35" s="14"/>
      <c r="XEZ35" s="14"/>
      <c r="XFA35" s="14"/>
      <c r="XFB35" s="14"/>
      <c r="XFC35" s="14"/>
    </row>
    <row r="36" spans="1:16383">
      <c r="A36" s="12">
        <v>35</v>
      </c>
      <c r="B36" s="1" t="s">
        <v>20</v>
      </c>
      <c r="C36" s="42" t="s">
        <v>21</v>
      </c>
      <c r="D36" s="42" t="s">
        <v>105</v>
      </c>
      <c r="E36" s="42" t="s">
        <v>88</v>
      </c>
      <c r="F36" s="4">
        <v>148036</v>
      </c>
      <c r="G36" s="45" t="s">
        <v>60</v>
      </c>
      <c r="H36" s="14">
        <v>40114090</v>
      </c>
      <c r="I36" s="4">
        <v>0</v>
      </c>
      <c r="J36" s="4">
        <v>0</v>
      </c>
      <c r="K36" s="4">
        <v>29336</v>
      </c>
      <c r="L36" s="4">
        <v>0</v>
      </c>
      <c r="M36" s="14" t="s">
        <v>19</v>
      </c>
      <c r="N36" s="15">
        <f t="shared" si="1"/>
        <v>29336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14"/>
      <c r="JV36" s="14"/>
      <c r="JW36" s="14"/>
      <c r="JX36" s="14"/>
      <c r="JY36" s="14"/>
      <c r="JZ36" s="14"/>
      <c r="KA36" s="14"/>
      <c r="KB36" s="14"/>
      <c r="KC36" s="14"/>
      <c r="KD36" s="14"/>
      <c r="KE36" s="14"/>
      <c r="KF36" s="14"/>
      <c r="KG36" s="14"/>
      <c r="KH36" s="14"/>
      <c r="KI36" s="14"/>
      <c r="KJ36" s="14"/>
      <c r="KK36" s="14"/>
      <c r="KL36" s="14"/>
      <c r="KM36" s="14"/>
      <c r="KN36" s="14"/>
      <c r="KO36" s="14"/>
      <c r="KP36" s="14"/>
      <c r="KQ36" s="14"/>
      <c r="KR36" s="14"/>
      <c r="KS36" s="14"/>
      <c r="KT36" s="14"/>
      <c r="KU36" s="14"/>
      <c r="KV36" s="14"/>
      <c r="KW36" s="14"/>
      <c r="KX36" s="14"/>
      <c r="KY36" s="14"/>
      <c r="KZ36" s="14"/>
      <c r="LA36" s="14"/>
      <c r="LB36" s="14"/>
      <c r="LC36" s="14"/>
      <c r="LD36" s="14"/>
      <c r="LE36" s="14"/>
      <c r="LF36" s="14"/>
      <c r="LG36" s="14"/>
      <c r="LH36" s="14"/>
      <c r="LI36" s="14"/>
      <c r="LJ36" s="14"/>
      <c r="LK36" s="14"/>
      <c r="LL36" s="14"/>
      <c r="LM36" s="14"/>
      <c r="LN36" s="14"/>
      <c r="LO36" s="14"/>
      <c r="LP36" s="14"/>
      <c r="LQ36" s="14"/>
      <c r="LR36" s="14"/>
      <c r="LS36" s="14"/>
      <c r="LT36" s="14"/>
      <c r="LU36" s="14"/>
      <c r="LV36" s="14"/>
      <c r="LW36" s="14"/>
      <c r="LX36" s="14"/>
      <c r="LY36" s="14"/>
      <c r="LZ36" s="14"/>
      <c r="MA36" s="14"/>
      <c r="MB36" s="14"/>
      <c r="MC36" s="14"/>
      <c r="MD36" s="14"/>
      <c r="ME36" s="14"/>
      <c r="MF36" s="14"/>
      <c r="MG36" s="14"/>
      <c r="MH36" s="14"/>
      <c r="MI36" s="14"/>
      <c r="MJ36" s="14"/>
      <c r="MK36" s="14"/>
      <c r="ML36" s="14"/>
      <c r="MM36" s="14"/>
      <c r="MN36" s="14"/>
      <c r="MO36" s="14"/>
      <c r="MP36" s="14"/>
      <c r="MQ36" s="14"/>
      <c r="MR36" s="14"/>
      <c r="MS36" s="14"/>
      <c r="MT36" s="14"/>
      <c r="MU36" s="14"/>
      <c r="MV36" s="14"/>
      <c r="MW36" s="14"/>
      <c r="MX36" s="14"/>
      <c r="MY36" s="14"/>
      <c r="MZ36" s="14"/>
      <c r="NA36" s="14"/>
      <c r="NB36" s="14"/>
      <c r="NC36" s="14"/>
      <c r="ND36" s="14"/>
      <c r="NE36" s="14"/>
      <c r="NF36" s="14"/>
      <c r="NG36" s="14"/>
      <c r="NH36" s="14"/>
      <c r="NI36" s="14"/>
      <c r="NJ36" s="14"/>
      <c r="NK36" s="14"/>
      <c r="NL36" s="14"/>
      <c r="NM36" s="14"/>
      <c r="NN36" s="14"/>
      <c r="NO36" s="14"/>
      <c r="NP36" s="14"/>
      <c r="NQ36" s="14"/>
      <c r="NR36" s="14"/>
      <c r="NS36" s="14"/>
      <c r="NT36" s="14"/>
      <c r="NU36" s="14"/>
      <c r="NV36" s="14"/>
      <c r="NW36" s="14"/>
      <c r="NX36" s="14"/>
      <c r="NY36" s="14"/>
      <c r="NZ36" s="14"/>
      <c r="OA36" s="14"/>
      <c r="OB36" s="14"/>
      <c r="OC36" s="14"/>
      <c r="OD36" s="14"/>
      <c r="OE36" s="14"/>
      <c r="OF36" s="14"/>
      <c r="OG36" s="14"/>
      <c r="OH36" s="14"/>
      <c r="OI36" s="14"/>
      <c r="OJ36" s="14"/>
      <c r="OK36" s="14"/>
      <c r="OL36" s="14"/>
      <c r="OM36" s="14"/>
      <c r="ON36" s="14"/>
      <c r="OO36" s="14"/>
      <c r="OP36" s="14"/>
      <c r="OQ36" s="14"/>
      <c r="OR36" s="14"/>
      <c r="OS36" s="14"/>
      <c r="OT36" s="14"/>
      <c r="OU36" s="14"/>
      <c r="OV36" s="14"/>
      <c r="OW36" s="14"/>
      <c r="OX36" s="14"/>
      <c r="OY36" s="14"/>
      <c r="OZ36" s="14"/>
      <c r="PA36" s="14"/>
      <c r="PB36" s="14"/>
      <c r="PC36" s="14"/>
      <c r="PD36" s="14"/>
      <c r="PE36" s="14"/>
      <c r="PF36" s="14"/>
      <c r="PG36" s="14"/>
      <c r="PH36" s="14"/>
      <c r="PI36" s="14"/>
      <c r="PJ36" s="14"/>
      <c r="PK36" s="14"/>
      <c r="PL36" s="14"/>
      <c r="PM36" s="14"/>
      <c r="PN36" s="14"/>
      <c r="PO36" s="14"/>
      <c r="PP36" s="14"/>
      <c r="PQ36" s="14"/>
      <c r="PR36" s="14"/>
      <c r="PS36" s="14"/>
      <c r="PT36" s="14"/>
      <c r="PU36" s="14"/>
      <c r="PV36" s="14"/>
      <c r="PW36" s="14"/>
      <c r="PX36" s="14"/>
      <c r="PY36" s="14"/>
      <c r="PZ36" s="14"/>
      <c r="QA36" s="14"/>
      <c r="QB36" s="14"/>
      <c r="QC36" s="14"/>
      <c r="QD36" s="14"/>
      <c r="QE36" s="14"/>
      <c r="QF36" s="14"/>
      <c r="QG36" s="14"/>
      <c r="QH36" s="14"/>
      <c r="QI36" s="14"/>
      <c r="QJ36" s="14"/>
      <c r="QK36" s="14"/>
      <c r="QL36" s="14"/>
      <c r="QM36" s="14"/>
      <c r="QN36" s="14"/>
      <c r="QO36" s="14"/>
      <c r="QP36" s="14"/>
      <c r="QQ36" s="14"/>
      <c r="QR36" s="14"/>
      <c r="QS36" s="14"/>
      <c r="QT36" s="14"/>
      <c r="QU36" s="14"/>
      <c r="QV36" s="14"/>
      <c r="QW36" s="14"/>
      <c r="QX36" s="14"/>
      <c r="QY36" s="14"/>
      <c r="QZ36" s="14"/>
      <c r="RA36" s="14"/>
      <c r="RB36" s="14"/>
      <c r="RC36" s="14"/>
      <c r="RD36" s="14"/>
      <c r="RE36" s="14"/>
      <c r="RF36" s="14"/>
      <c r="RG36" s="14"/>
      <c r="RH36" s="14"/>
      <c r="RI36" s="14"/>
      <c r="RJ36" s="14"/>
      <c r="RK36" s="14"/>
      <c r="RL36" s="14"/>
      <c r="RM36" s="14"/>
      <c r="RN36" s="14"/>
      <c r="RO36" s="14"/>
      <c r="RP36" s="14"/>
      <c r="RQ36" s="14"/>
      <c r="RR36" s="14"/>
      <c r="RS36" s="14"/>
      <c r="RT36" s="14"/>
      <c r="RU36" s="14"/>
      <c r="RV36" s="14"/>
      <c r="RW36" s="14"/>
      <c r="RX36" s="14"/>
      <c r="RY36" s="14"/>
      <c r="RZ36" s="14"/>
      <c r="SA36" s="14"/>
      <c r="SB36" s="14"/>
      <c r="SC36" s="14"/>
      <c r="SD36" s="14"/>
      <c r="SE36" s="14"/>
      <c r="SF36" s="14"/>
      <c r="SG36" s="14"/>
      <c r="SH36" s="14"/>
      <c r="SI36" s="14"/>
      <c r="SJ36" s="14"/>
      <c r="SK36" s="14"/>
      <c r="SL36" s="14"/>
      <c r="SM36" s="14"/>
      <c r="SN36" s="14"/>
      <c r="SO36" s="14"/>
      <c r="SP36" s="14"/>
      <c r="SQ36" s="14"/>
      <c r="SR36" s="14"/>
      <c r="SS36" s="14"/>
      <c r="ST36" s="14"/>
      <c r="SU36" s="14"/>
      <c r="SV36" s="14"/>
      <c r="SW36" s="14"/>
      <c r="SX36" s="14"/>
      <c r="SY36" s="14"/>
      <c r="SZ36" s="14"/>
      <c r="TA36" s="14"/>
      <c r="TB36" s="14"/>
      <c r="TC36" s="14"/>
      <c r="TD36" s="14"/>
      <c r="TE36" s="14"/>
      <c r="TF36" s="14"/>
      <c r="TG36" s="14"/>
      <c r="TH36" s="14"/>
      <c r="TI36" s="14"/>
      <c r="TJ36" s="14"/>
      <c r="TK36" s="14"/>
      <c r="TL36" s="14"/>
      <c r="TM36" s="14"/>
      <c r="TN36" s="14"/>
      <c r="TO36" s="14"/>
      <c r="TP36" s="14"/>
      <c r="TQ36" s="14"/>
      <c r="TR36" s="14"/>
      <c r="TS36" s="14"/>
      <c r="TT36" s="14"/>
      <c r="TU36" s="14"/>
      <c r="TV36" s="14"/>
      <c r="TW36" s="14"/>
      <c r="TX36" s="14"/>
      <c r="TY36" s="14"/>
      <c r="TZ36" s="14"/>
      <c r="UA36" s="14"/>
      <c r="UB36" s="14"/>
      <c r="UC36" s="14"/>
      <c r="UD36" s="14"/>
      <c r="UE36" s="14"/>
      <c r="UF36" s="14"/>
      <c r="UG36" s="14"/>
      <c r="UH36" s="14"/>
      <c r="UI36" s="14"/>
      <c r="UJ36" s="14"/>
      <c r="UK36" s="14"/>
      <c r="UL36" s="14"/>
      <c r="UM36" s="14"/>
      <c r="UN36" s="14"/>
      <c r="UO36" s="14"/>
      <c r="UP36" s="14"/>
      <c r="UQ36" s="14"/>
      <c r="UR36" s="14"/>
      <c r="US36" s="14"/>
      <c r="UT36" s="14"/>
      <c r="UU36" s="14"/>
      <c r="UV36" s="14"/>
      <c r="UW36" s="14"/>
      <c r="UX36" s="14"/>
      <c r="UY36" s="14"/>
      <c r="UZ36" s="14"/>
      <c r="VA36" s="14"/>
      <c r="VB36" s="14"/>
      <c r="VC36" s="14"/>
      <c r="VD36" s="14"/>
      <c r="VE36" s="14"/>
      <c r="VF36" s="14"/>
      <c r="VG36" s="14"/>
      <c r="VH36" s="14"/>
      <c r="VI36" s="14"/>
      <c r="VJ36" s="14"/>
      <c r="VK36" s="14"/>
      <c r="VL36" s="14"/>
      <c r="VM36" s="14"/>
      <c r="VN36" s="14"/>
      <c r="VO36" s="14"/>
      <c r="VP36" s="14"/>
      <c r="VQ36" s="14"/>
      <c r="VR36" s="14"/>
      <c r="VS36" s="14"/>
      <c r="VT36" s="14"/>
      <c r="VU36" s="14"/>
      <c r="VV36" s="14"/>
      <c r="VW36" s="14"/>
      <c r="VX36" s="14"/>
      <c r="VY36" s="14"/>
      <c r="VZ36" s="14"/>
      <c r="WA36" s="14"/>
      <c r="WB36" s="14"/>
      <c r="WC36" s="14"/>
      <c r="WD36" s="14"/>
      <c r="WE36" s="14"/>
      <c r="WF36" s="14"/>
      <c r="WG36" s="14"/>
      <c r="WH36" s="14"/>
      <c r="WI36" s="14"/>
      <c r="WJ36" s="14"/>
      <c r="WK36" s="14"/>
      <c r="WL36" s="14"/>
      <c r="WM36" s="14"/>
      <c r="WN36" s="14"/>
      <c r="WO36" s="14"/>
      <c r="WP36" s="14"/>
      <c r="WQ36" s="14"/>
      <c r="WR36" s="14"/>
      <c r="WS36" s="14"/>
      <c r="WT36" s="14"/>
      <c r="WU36" s="14"/>
      <c r="WV36" s="14"/>
      <c r="WW36" s="14"/>
      <c r="WX36" s="14"/>
      <c r="WY36" s="14"/>
      <c r="WZ36" s="14"/>
      <c r="XA36" s="14"/>
      <c r="XB36" s="14"/>
      <c r="XC36" s="14"/>
      <c r="XD36" s="14"/>
      <c r="XE36" s="14"/>
      <c r="XF36" s="14"/>
      <c r="XG36" s="14"/>
      <c r="XH36" s="14"/>
      <c r="XI36" s="14"/>
      <c r="XJ36" s="14"/>
      <c r="XK36" s="14"/>
      <c r="XL36" s="14"/>
      <c r="XM36" s="14"/>
      <c r="XN36" s="14"/>
      <c r="XO36" s="14"/>
      <c r="XP36" s="14"/>
      <c r="XQ36" s="14"/>
      <c r="XR36" s="14"/>
      <c r="XS36" s="14"/>
      <c r="XT36" s="14"/>
      <c r="XU36" s="14"/>
      <c r="XV36" s="14"/>
      <c r="XW36" s="14"/>
      <c r="XX36" s="14"/>
      <c r="XY36" s="14"/>
      <c r="XZ36" s="14"/>
      <c r="YA36" s="14"/>
      <c r="YB36" s="14"/>
      <c r="YC36" s="14"/>
      <c r="YD36" s="14"/>
      <c r="YE36" s="14"/>
      <c r="YF36" s="14"/>
      <c r="YG36" s="14"/>
      <c r="YH36" s="14"/>
      <c r="YI36" s="14"/>
      <c r="YJ36" s="14"/>
      <c r="YK36" s="14"/>
      <c r="YL36" s="14"/>
      <c r="YM36" s="14"/>
      <c r="YN36" s="14"/>
      <c r="YO36" s="14"/>
      <c r="YP36" s="14"/>
      <c r="YQ36" s="14"/>
      <c r="YR36" s="14"/>
      <c r="YS36" s="14"/>
      <c r="YT36" s="14"/>
      <c r="YU36" s="14"/>
      <c r="YV36" s="14"/>
      <c r="YW36" s="14"/>
      <c r="YX36" s="14"/>
      <c r="YY36" s="14"/>
      <c r="YZ36" s="14"/>
      <c r="ZA36" s="14"/>
      <c r="ZB36" s="14"/>
      <c r="ZC36" s="14"/>
      <c r="ZD36" s="14"/>
      <c r="ZE36" s="14"/>
      <c r="ZF36" s="14"/>
      <c r="ZG36" s="14"/>
      <c r="ZH36" s="14"/>
      <c r="ZI36" s="14"/>
      <c r="ZJ36" s="14"/>
      <c r="ZK36" s="14"/>
      <c r="ZL36" s="14"/>
      <c r="ZM36" s="14"/>
      <c r="ZN36" s="14"/>
      <c r="ZO36" s="14"/>
      <c r="ZP36" s="14"/>
      <c r="ZQ36" s="14"/>
      <c r="ZR36" s="14"/>
      <c r="ZS36" s="14"/>
      <c r="ZT36" s="14"/>
      <c r="ZU36" s="14"/>
      <c r="ZV36" s="14"/>
      <c r="ZW36" s="14"/>
      <c r="ZX36" s="14"/>
      <c r="ZY36" s="14"/>
      <c r="ZZ36" s="14"/>
      <c r="AAA36" s="14"/>
      <c r="AAB36" s="14"/>
      <c r="AAC36" s="14"/>
      <c r="AAD36" s="14"/>
      <c r="AAE36" s="14"/>
      <c r="AAF36" s="14"/>
      <c r="AAG36" s="14"/>
      <c r="AAH36" s="14"/>
      <c r="AAI36" s="14"/>
      <c r="AAJ36" s="14"/>
      <c r="AAK36" s="14"/>
      <c r="AAL36" s="14"/>
      <c r="AAM36" s="14"/>
      <c r="AAN36" s="14"/>
      <c r="AAO36" s="14"/>
      <c r="AAP36" s="14"/>
      <c r="AAQ36" s="14"/>
      <c r="AAR36" s="14"/>
      <c r="AAS36" s="14"/>
      <c r="AAT36" s="14"/>
      <c r="AAU36" s="14"/>
      <c r="AAV36" s="14"/>
      <c r="AAW36" s="14"/>
      <c r="AAX36" s="14"/>
      <c r="AAY36" s="14"/>
      <c r="AAZ36" s="14"/>
      <c r="ABA36" s="14"/>
      <c r="ABB36" s="14"/>
      <c r="ABC36" s="14"/>
      <c r="ABD36" s="14"/>
      <c r="ABE36" s="14"/>
      <c r="ABF36" s="14"/>
      <c r="ABG36" s="14"/>
      <c r="ABH36" s="14"/>
      <c r="ABI36" s="14"/>
      <c r="ABJ36" s="14"/>
      <c r="ABK36" s="14"/>
      <c r="ABL36" s="14"/>
      <c r="ABM36" s="14"/>
      <c r="ABN36" s="14"/>
      <c r="ABO36" s="14"/>
      <c r="ABP36" s="14"/>
      <c r="ABQ36" s="14"/>
      <c r="ABR36" s="14"/>
      <c r="ABS36" s="14"/>
      <c r="ABT36" s="14"/>
      <c r="ABU36" s="14"/>
      <c r="ABV36" s="14"/>
      <c r="ABW36" s="14"/>
      <c r="ABX36" s="14"/>
      <c r="ABY36" s="14"/>
      <c r="ABZ36" s="14"/>
      <c r="ACA36" s="14"/>
      <c r="ACB36" s="14"/>
      <c r="ACC36" s="14"/>
      <c r="ACD36" s="14"/>
      <c r="ACE36" s="14"/>
      <c r="ACF36" s="14"/>
      <c r="ACG36" s="14"/>
      <c r="ACH36" s="14"/>
      <c r="ACI36" s="14"/>
      <c r="ACJ36" s="14"/>
      <c r="ACK36" s="14"/>
      <c r="ACL36" s="14"/>
      <c r="ACM36" s="14"/>
      <c r="ACN36" s="14"/>
      <c r="ACO36" s="14"/>
      <c r="ACP36" s="14"/>
      <c r="ACQ36" s="14"/>
      <c r="ACR36" s="14"/>
      <c r="ACS36" s="14"/>
      <c r="ACT36" s="14"/>
      <c r="ACU36" s="14"/>
      <c r="ACV36" s="14"/>
      <c r="ACW36" s="14"/>
      <c r="ACX36" s="14"/>
      <c r="ACY36" s="14"/>
      <c r="ACZ36" s="14"/>
      <c r="ADA36" s="14"/>
      <c r="ADB36" s="14"/>
      <c r="ADC36" s="14"/>
      <c r="ADD36" s="14"/>
      <c r="ADE36" s="14"/>
      <c r="ADF36" s="14"/>
      <c r="ADG36" s="14"/>
      <c r="ADH36" s="14"/>
      <c r="ADI36" s="14"/>
      <c r="ADJ36" s="14"/>
      <c r="ADK36" s="14"/>
      <c r="ADL36" s="14"/>
      <c r="ADM36" s="14"/>
      <c r="ADN36" s="14"/>
      <c r="ADO36" s="14"/>
      <c r="ADP36" s="14"/>
      <c r="ADQ36" s="14"/>
      <c r="ADR36" s="14"/>
      <c r="ADS36" s="14"/>
      <c r="ADT36" s="14"/>
      <c r="ADU36" s="14"/>
      <c r="ADV36" s="14"/>
      <c r="ADW36" s="14"/>
      <c r="ADX36" s="14"/>
      <c r="ADY36" s="14"/>
      <c r="ADZ36" s="14"/>
      <c r="AEA36" s="14"/>
      <c r="AEB36" s="14"/>
      <c r="AEC36" s="14"/>
      <c r="AED36" s="14"/>
      <c r="AEE36" s="14"/>
      <c r="AEF36" s="14"/>
      <c r="AEG36" s="14"/>
      <c r="AEH36" s="14"/>
      <c r="AEI36" s="14"/>
      <c r="AEJ36" s="14"/>
      <c r="AEK36" s="14"/>
      <c r="AEL36" s="14"/>
      <c r="AEM36" s="14"/>
      <c r="AEN36" s="14"/>
      <c r="AEO36" s="14"/>
      <c r="AEP36" s="14"/>
      <c r="AEQ36" s="14"/>
      <c r="AER36" s="14"/>
      <c r="AES36" s="14"/>
      <c r="AET36" s="14"/>
      <c r="AEU36" s="14"/>
      <c r="AEV36" s="14"/>
      <c r="AEW36" s="14"/>
      <c r="AEX36" s="14"/>
      <c r="AEY36" s="14"/>
      <c r="AEZ36" s="14"/>
      <c r="AFA36" s="14"/>
      <c r="AFB36" s="14"/>
      <c r="AFC36" s="14"/>
      <c r="AFD36" s="14"/>
      <c r="AFE36" s="14"/>
      <c r="AFF36" s="14"/>
      <c r="AFG36" s="14"/>
      <c r="AFH36" s="14"/>
      <c r="AFI36" s="14"/>
      <c r="AFJ36" s="14"/>
      <c r="AFK36" s="14"/>
      <c r="AFL36" s="14"/>
      <c r="AFM36" s="14"/>
      <c r="AFN36" s="14"/>
      <c r="AFO36" s="14"/>
      <c r="AFP36" s="14"/>
      <c r="AFQ36" s="14"/>
      <c r="AFR36" s="14"/>
      <c r="AFS36" s="14"/>
      <c r="AFT36" s="14"/>
      <c r="AFU36" s="14"/>
      <c r="AFV36" s="14"/>
      <c r="AFW36" s="14"/>
      <c r="AFX36" s="14"/>
      <c r="AFY36" s="14"/>
      <c r="AFZ36" s="14"/>
      <c r="AGA36" s="14"/>
      <c r="AGB36" s="14"/>
      <c r="AGC36" s="14"/>
      <c r="AGD36" s="14"/>
      <c r="AGE36" s="14"/>
      <c r="AGF36" s="14"/>
      <c r="AGG36" s="14"/>
      <c r="AGH36" s="14"/>
      <c r="AGI36" s="14"/>
      <c r="AGJ36" s="14"/>
      <c r="AGK36" s="14"/>
      <c r="AGL36" s="14"/>
      <c r="AGM36" s="14"/>
      <c r="AGN36" s="14"/>
      <c r="AGO36" s="14"/>
      <c r="AGP36" s="14"/>
      <c r="AGQ36" s="14"/>
      <c r="AGR36" s="14"/>
      <c r="AGS36" s="14"/>
      <c r="AGT36" s="14"/>
      <c r="AGU36" s="14"/>
      <c r="AGV36" s="14"/>
      <c r="AGW36" s="14"/>
      <c r="AGX36" s="14"/>
      <c r="AGY36" s="14"/>
      <c r="AGZ36" s="14"/>
      <c r="AHA36" s="14"/>
      <c r="AHB36" s="14"/>
      <c r="AHC36" s="14"/>
      <c r="AHD36" s="14"/>
      <c r="AHE36" s="14"/>
      <c r="AHF36" s="14"/>
      <c r="AHG36" s="14"/>
      <c r="AHH36" s="14"/>
      <c r="AHI36" s="14"/>
      <c r="AHJ36" s="14"/>
      <c r="AHK36" s="14"/>
      <c r="AHL36" s="14"/>
      <c r="AHM36" s="14"/>
      <c r="AHN36" s="14"/>
      <c r="AHO36" s="14"/>
      <c r="AHP36" s="14"/>
      <c r="AHQ36" s="14"/>
      <c r="AHR36" s="14"/>
      <c r="AHS36" s="14"/>
      <c r="AHT36" s="14"/>
      <c r="AHU36" s="14"/>
      <c r="AHV36" s="14"/>
      <c r="AHW36" s="14"/>
      <c r="AHX36" s="14"/>
      <c r="AHY36" s="14"/>
      <c r="AHZ36" s="14"/>
      <c r="AIA36" s="14"/>
      <c r="AIB36" s="14"/>
      <c r="AIC36" s="14"/>
      <c r="AID36" s="14"/>
      <c r="AIE36" s="14"/>
      <c r="AIF36" s="14"/>
      <c r="AIG36" s="14"/>
      <c r="AIH36" s="14"/>
      <c r="AII36" s="14"/>
      <c r="AIJ36" s="14"/>
      <c r="AIK36" s="14"/>
      <c r="AIL36" s="14"/>
      <c r="AIM36" s="14"/>
      <c r="AIN36" s="14"/>
      <c r="AIO36" s="14"/>
      <c r="AIP36" s="14"/>
      <c r="AIQ36" s="14"/>
      <c r="AIR36" s="14"/>
      <c r="AIS36" s="14"/>
      <c r="AIT36" s="14"/>
      <c r="AIU36" s="14"/>
      <c r="AIV36" s="14"/>
      <c r="AIW36" s="14"/>
      <c r="AIX36" s="14"/>
      <c r="AIY36" s="14"/>
      <c r="AIZ36" s="14"/>
      <c r="AJA36" s="14"/>
      <c r="AJB36" s="14"/>
      <c r="AJC36" s="14"/>
      <c r="AJD36" s="14"/>
      <c r="AJE36" s="14"/>
      <c r="AJF36" s="14"/>
      <c r="AJG36" s="14"/>
      <c r="AJH36" s="14"/>
      <c r="AJI36" s="14"/>
      <c r="AJJ36" s="14"/>
      <c r="AJK36" s="14"/>
      <c r="AJL36" s="14"/>
      <c r="AJM36" s="14"/>
      <c r="AJN36" s="14"/>
      <c r="AJO36" s="14"/>
      <c r="AJP36" s="14"/>
      <c r="AJQ36" s="14"/>
      <c r="AJR36" s="14"/>
      <c r="AJS36" s="14"/>
      <c r="AJT36" s="14"/>
      <c r="AJU36" s="14"/>
      <c r="AJV36" s="14"/>
      <c r="AJW36" s="14"/>
      <c r="AJX36" s="14"/>
      <c r="AJY36" s="14"/>
      <c r="AJZ36" s="14"/>
      <c r="AKA36" s="14"/>
      <c r="AKB36" s="14"/>
      <c r="AKC36" s="14"/>
      <c r="AKD36" s="14"/>
      <c r="AKE36" s="14"/>
      <c r="AKF36" s="14"/>
      <c r="AKG36" s="14"/>
      <c r="AKH36" s="14"/>
      <c r="AKI36" s="14"/>
      <c r="AKJ36" s="14"/>
      <c r="AKK36" s="14"/>
      <c r="AKL36" s="14"/>
      <c r="AKM36" s="14"/>
      <c r="AKN36" s="14"/>
      <c r="AKO36" s="14"/>
      <c r="AKP36" s="14"/>
      <c r="AKQ36" s="14"/>
      <c r="AKR36" s="14"/>
      <c r="AKS36" s="14"/>
      <c r="AKT36" s="14"/>
      <c r="AKU36" s="14"/>
      <c r="AKV36" s="14"/>
      <c r="AKW36" s="14"/>
      <c r="AKX36" s="14"/>
      <c r="AKY36" s="14"/>
      <c r="AKZ36" s="14"/>
      <c r="ALA36" s="14"/>
      <c r="ALB36" s="14"/>
      <c r="ALC36" s="14"/>
      <c r="ALD36" s="14"/>
      <c r="ALE36" s="14"/>
      <c r="ALF36" s="14"/>
      <c r="ALG36" s="14"/>
      <c r="ALH36" s="14"/>
      <c r="ALI36" s="14"/>
      <c r="ALJ36" s="14"/>
      <c r="ALK36" s="14"/>
      <c r="ALL36" s="14"/>
      <c r="ALM36" s="14"/>
      <c r="ALN36" s="14"/>
      <c r="ALO36" s="14"/>
      <c r="ALP36" s="14"/>
      <c r="ALQ36" s="14"/>
      <c r="ALR36" s="14"/>
      <c r="ALS36" s="14"/>
      <c r="ALT36" s="14"/>
      <c r="ALU36" s="14"/>
      <c r="ALV36" s="14"/>
      <c r="ALW36" s="14"/>
      <c r="ALX36" s="14"/>
      <c r="ALY36" s="14"/>
      <c r="ALZ36" s="14"/>
      <c r="AMA36" s="14"/>
      <c r="AMB36" s="14"/>
      <c r="AMC36" s="14"/>
      <c r="AMD36" s="14"/>
      <c r="AME36" s="14"/>
      <c r="AMF36" s="14"/>
      <c r="AMG36" s="14"/>
      <c r="AMH36" s="14"/>
      <c r="AMI36" s="14"/>
      <c r="AMJ36" s="14"/>
      <c r="AMK36" s="14"/>
      <c r="AML36" s="14"/>
      <c r="AMM36" s="14"/>
      <c r="AMN36" s="14"/>
      <c r="AMO36" s="14"/>
      <c r="AMP36" s="14"/>
      <c r="AMQ36" s="14"/>
      <c r="AMR36" s="14"/>
      <c r="AMS36" s="14"/>
      <c r="AMT36" s="14"/>
      <c r="AMU36" s="14"/>
      <c r="AMV36" s="14"/>
      <c r="AMW36" s="14"/>
      <c r="AMX36" s="14"/>
      <c r="AMY36" s="14"/>
      <c r="AMZ36" s="14"/>
      <c r="ANA36" s="14"/>
      <c r="ANB36" s="14"/>
      <c r="ANC36" s="14"/>
      <c r="AND36" s="14"/>
      <c r="ANE36" s="14"/>
      <c r="ANF36" s="14"/>
      <c r="ANG36" s="14"/>
      <c r="ANH36" s="14"/>
      <c r="ANI36" s="14"/>
      <c r="ANJ36" s="14"/>
      <c r="ANK36" s="14"/>
      <c r="ANL36" s="14"/>
      <c r="ANM36" s="14"/>
      <c r="ANN36" s="14"/>
      <c r="ANO36" s="14"/>
      <c r="ANP36" s="14"/>
      <c r="ANQ36" s="14"/>
      <c r="ANR36" s="14"/>
      <c r="ANS36" s="14"/>
      <c r="ANT36" s="14"/>
      <c r="ANU36" s="14"/>
      <c r="ANV36" s="14"/>
      <c r="ANW36" s="14"/>
      <c r="ANX36" s="14"/>
      <c r="ANY36" s="14"/>
      <c r="ANZ36" s="14"/>
      <c r="AOA36" s="14"/>
      <c r="AOB36" s="14"/>
      <c r="AOC36" s="14"/>
      <c r="AOD36" s="14"/>
      <c r="AOE36" s="14"/>
      <c r="AOF36" s="14"/>
      <c r="AOG36" s="14"/>
      <c r="AOH36" s="14"/>
      <c r="AOI36" s="14"/>
      <c r="AOJ36" s="14"/>
      <c r="AOK36" s="14"/>
      <c r="AOL36" s="14"/>
      <c r="AOM36" s="14"/>
      <c r="AON36" s="14"/>
      <c r="AOO36" s="14"/>
      <c r="AOP36" s="14"/>
      <c r="AOQ36" s="14"/>
      <c r="AOR36" s="14"/>
      <c r="AOS36" s="14"/>
      <c r="AOT36" s="14"/>
      <c r="AOU36" s="14"/>
      <c r="AOV36" s="14"/>
      <c r="AOW36" s="14"/>
      <c r="AOX36" s="14"/>
      <c r="AOY36" s="14"/>
      <c r="AOZ36" s="14"/>
      <c r="APA36" s="14"/>
      <c r="APB36" s="14"/>
      <c r="APC36" s="14"/>
      <c r="APD36" s="14"/>
      <c r="APE36" s="14"/>
      <c r="APF36" s="14"/>
      <c r="APG36" s="14"/>
      <c r="APH36" s="14"/>
      <c r="API36" s="14"/>
      <c r="APJ36" s="14"/>
      <c r="APK36" s="14"/>
      <c r="APL36" s="14"/>
      <c r="APM36" s="14"/>
      <c r="APN36" s="14"/>
      <c r="APO36" s="14"/>
      <c r="APP36" s="14"/>
      <c r="APQ36" s="14"/>
      <c r="APR36" s="14"/>
      <c r="APS36" s="14"/>
      <c r="APT36" s="14"/>
      <c r="APU36" s="14"/>
      <c r="APV36" s="14"/>
      <c r="APW36" s="14"/>
      <c r="APX36" s="14"/>
      <c r="APY36" s="14"/>
      <c r="APZ36" s="14"/>
      <c r="AQA36" s="14"/>
      <c r="AQB36" s="14"/>
      <c r="AQC36" s="14"/>
      <c r="AQD36" s="14"/>
      <c r="AQE36" s="14"/>
      <c r="AQF36" s="14"/>
      <c r="AQG36" s="14"/>
      <c r="AQH36" s="14"/>
      <c r="AQI36" s="14"/>
      <c r="AQJ36" s="14"/>
      <c r="AQK36" s="14"/>
      <c r="AQL36" s="14"/>
      <c r="AQM36" s="14"/>
      <c r="AQN36" s="14"/>
      <c r="AQO36" s="14"/>
      <c r="AQP36" s="14"/>
      <c r="AQQ36" s="14"/>
      <c r="AQR36" s="14"/>
      <c r="AQS36" s="14"/>
      <c r="AQT36" s="14"/>
      <c r="AQU36" s="14"/>
      <c r="AQV36" s="14"/>
      <c r="AQW36" s="14"/>
      <c r="AQX36" s="14"/>
      <c r="AQY36" s="14"/>
      <c r="AQZ36" s="14"/>
      <c r="ARA36" s="14"/>
      <c r="ARB36" s="14"/>
      <c r="ARC36" s="14"/>
      <c r="ARD36" s="14"/>
      <c r="ARE36" s="14"/>
      <c r="ARF36" s="14"/>
      <c r="ARG36" s="14"/>
      <c r="ARH36" s="14"/>
      <c r="ARI36" s="14"/>
      <c r="ARJ36" s="14"/>
      <c r="ARK36" s="14"/>
      <c r="ARL36" s="14"/>
      <c r="ARM36" s="14"/>
      <c r="ARN36" s="14"/>
      <c r="ARO36" s="14"/>
      <c r="ARP36" s="14"/>
      <c r="ARQ36" s="14"/>
      <c r="ARR36" s="14"/>
      <c r="ARS36" s="14"/>
      <c r="ART36" s="14"/>
      <c r="ARU36" s="14"/>
      <c r="ARV36" s="14"/>
      <c r="ARW36" s="14"/>
      <c r="ARX36" s="14"/>
      <c r="ARY36" s="14"/>
      <c r="ARZ36" s="14"/>
      <c r="ASA36" s="14"/>
      <c r="ASB36" s="14"/>
      <c r="ASC36" s="14"/>
      <c r="ASD36" s="14"/>
      <c r="ASE36" s="14"/>
      <c r="ASF36" s="14"/>
      <c r="ASG36" s="14"/>
      <c r="ASH36" s="14"/>
      <c r="ASI36" s="14"/>
      <c r="ASJ36" s="14"/>
      <c r="ASK36" s="14"/>
      <c r="ASL36" s="14"/>
      <c r="ASM36" s="14"/>
      <c r="ASN36" s="14"/>
      <c r="ASO36" s="14"/>
      <c r="ASP36" s="14"/>
      <c r="ASQ36" s="14"/>
      <c r="ASR36" s="14"/>
      <c r="ASS36" s="14"/>
      <c r="AST36" s="14"/>
      <c r="ASU36" s="14"/>
      <c r="ASV36" s="14"/>
      <c r="ASW36" s="14"/>
      <c r="ASX36" s="14"/>
      <c r="ASY36" s="14"/>
      <c r="ASZ36" s="14"/>
      <c r="ATA36" s="14"/>
      <c r="ATB36" s="14"/>
      <c r="ATC36" s="14"/>
      <c r="ATD36" s="14"/>
      <c r="ATE36" s="14"/>
      <c r="ATF36" s="14"/>
      <c r="ATG36" s="14"/>
      <c r="ATH36" s="14"/>
      <c r="ATI36" s="14"/>
      <c r="ATJ36" s="14"/>
      <c r="ATK36" s="14"/>
      <c r="ATL36" s="14"/>
      <c r="ATM36" s="14"/>
      <c r="ATN36" s="14"/>
      <c r="ATO36" s="14"/>
      <c r="ATP36" s="14"/>
      <c r="ATQ36" s="14"/>
      <c r="ATR36" s="14"/>
      <c r="ATS36" s="14"/>
      <c r="ATT36" s="14"/>
      <c r="ATU36" s="14"/>
      <c r="ATV36" s="14"/>
      <c r="ATW36" s="14"/>
      <c r="ATX36" s="14"/>
      <c r="ATY36" s="14"/>
      <c r="ATZ36" s="14"/>
      <c r="AUA36" s="14"/>
      <c r="AUB36" s="14"/>
      <c r="AUC36" s="14"/>
      <c r="AUD36" s="14"/>
      <c r="AUE36" s="14"/>
      <c r="AUF36" s="14"/>
      <c r="AUG36" s="14"/>
      <c r="AUH36" s="14"/>
      <c r="AUI36" s="14"/>
      <c r="AUJ36" s="14"/>
      <c r="AUK36" s="14"/>
      <c r="AUL36" s="14"/>
      <c r="AUM36" s="14"/>
      <c r="AUN36" s="14"/>
      <c r="AUO36" s="14"/>
      <c r="AUP36" s="14"/>
      <c r="AUQ36" s="14"/>
      <c r="AUR36" s="14"/>
      <c r="AUS36" s="14"/>
      <c r="AUT36" s="14"/>
      <c r="AUU36" s="14"/>
      <c r="AUV36" s="14"/>
      <c r="AUW36" s="14"/>
      <c r="AUX36" s="14"/>
      <c r="AUY36" s="14"/>
      <c r="AUZ36" s="14"/>
      <c r="AVA36" s="14"/>
      <c r="AVB36" s="14"/>
      <c r="AVC36" s="14"/>
      <c r="AVD36" s="14"/>
      <c r="AVE36" s="14"/>
      <c r="AVF36" s="14"/>
      <c r="AVG36" s="14"/>
      <c r="AVH36" s="14"/>
      <c r="AVI36" s="14"/>
      <c r="AVJ36" s="14"/>
      <c r="AVK36" s="14"/>
      <c r="AVL36" s="14"/>
      <c r="AVM36" s="14"/>
      <c r="AVN36" s="14"/>
      <c r="AVO36" s="14"/>
      <c r="AVP36" s="14"/>
      <c r="AVQ36" s="14"/>
      <c r="AVR36" s="14"/>
      <c r="AVS36" s="14"/>
      <c r="AVT36" s="14"/>
      <c r="AVU36" s="14"/>
      <c r="AVV36" s="14"/>
      <c r="AVW36" s="14"/>
      <c r="AVX36" s="14"/>
      <c r="AVY36" s="14"/>
      <c r="AVZ36" s="14"/>
      <c r="AWA36" s="14"/>
      <c r="AWB36" s="14"/>
      <c r="AWC36" s="14"/>
      <c r="AWD36" s="14"/>
      <c r="AWE36" s="14"/>
      <c r="AWF36" s="14"/>
      <c r="AWG36" s="14"/>
      <c r="AWH36" s="14"/>
      <c r="AWI36" s="14"/>
      <c r="AWJ36" s="14"/>
      <c r="AWK36" s="14"/>
      <c r="AWL36" s="14"/>
      <c r="AWM36" s="14"/>
      <c r="AWN36" s="14"/>
      <c r="AWO36" s="14"/>
      <c r="AWP36" s="14"/>
      <c r="AWQ36" s="14"/>
      <c r="AWR36" s="14"/>
      <c r="AWS36" s="14"/>
      <c r="AWT36" s="14"/>
      <c r="AWU36" s="14"/>
      <c r="AWV36" s="14"/>
      <c r="AWW36" s="14"/>
      <c r="AWX36" s="14"/>
      <c r="AWY36" s="14"/>
      <c r="AWZ36" s="14"/>
      <c r="AXA36" s="14"/>
      <c r="AXB36" s="14"/>
      <c r="AXC36" s="14"/>
      <c r="AXD36" s="14"/>
      <c r="AXE36" s="14"/>
      <c r="AXF36" s="14"/>
      <c r="AXG36" s="14"/>
      <c r="AXH36" s="14"/>
      <c r="AXI36" s="14"/>
      <c r="AXJ36" s="14"/>
      <c r="AXK36" s="14"/>
      <c r="AXL36" s="14"/>
      <c r="AXM36" s="14"/>
      <c r="AXN36" s="14"/>
      <c r="AXO36" s="14"/>
      <c r="AXP36" s="14"/>
      <c r="AXQ36" s="14"/>
      <c r="AXR36" s="14"/>
      <c r="AXS36" s="14"/>
      <c r="AXT36" s="14"/>
      <c r="AXU36" s="14"/>
      <c r="AXV36" s="14"/>
      <c r="AXW36" s="14"/>
      <c r="AXX36" s="14"/>
      <c r="AXY36" s="14"/>
      <c r="AXZ36" s="14"/>
      <c r="AYA36" s="14"/>
      <c r="AYB36" s="14"/>
      <c r="AYC36" s="14"/>
      <c r="AYD36" s="14"/>
      <c r="AYE36" s="14"/>
      <c r="AYF36" s="14"/>
      <c r="AYG36" s="14"/>
      <c r="AYH36" s="14"/>
      <c r="AYI36" s="14"/>
      <c r="AYJ36" s="14"/>
      <c r="AYK36" s="14"/>
      <c r="AYL36" s="14"/>
      <c r="AYM36" s="14"/>
      <c r="AYN36" s="14"/>
      <c r="AYO36" s="14"/>
      <c r="AYP36" s="14"/>
      <c r="AYQ36" s="14"/>
      <c r="AYR36" s="14"/>
      <c r="AYS36" s="14"/>
      <c r="AYT36" s="14"/>
      <c r="AYU36" s="14"/>
      <c r="AYV36" s="14"/>
      <c r="AYW36" s="14"/>
      <c r="AYX36" s="14"/>
      <c r="AYY36" s="14"/>
      <c r="AYZ36" s="14"/>
      <c r="AZA36" s="14"/>
      <c r="AZB36" s="14"/>
      <c r="AZC36" s="14"/>
      <c r="AZD36" s="14"/>
      <c r="AZE36" s="14"/>
      <c r="AZF36" s="14"/>
      <c r="AZG36" s="14"/>
      <c r="AZH36" s="14"/>
      <c r="AZI36" s="14"/>
      <c r="AZJ36" s="14"/>
      <c r="AZK36" s="14"/>
      <c r="AZL36" s="14"/>
      <c r="AZM36" s="14"/>
      <c r="AZN36" s="14"/>
      <c r="AZO36" s="14"/>
      <c r="AZP36" s="14"/>
      <c r="AZQ36" s="14"/>
      <c r="AZR36" s="14"/>
      <c r="AZS36" s="14"/>
      <c r="AZT36" s="14"/>
      <c r="AZU36" s="14"/>
      <c r="AZV36" s="14"/>
      <c r="AZW36" s="14"/>
      <c r="AZX36" s="14"/>
      <c r="AZY36" s="14"/>
      <c r="AZZ36" s="14"/>
      <c r="BAA36" s="14"/>
      <c r="BAB36" s="14"/>
      <c r="BAC36" s="14"/>
      <c r="BAD36" s="14"/>
      <c r="BAE36" s="14"/>
      <c r="BAF36" s="14"/>
      <c r="BAG36" s="14"/>
      <c r="BAH36" s="14"/>
      <c r="BAI36" s="14"/>
      <c r="BAJ36" s="14"/>
      <c r="BAK36" s="14"/>
      <c r="BAL36" s="14"/>
      <c r="BAM36" s="14"/>
      <c r="BAN36" s="14"/>
      <c r="BAO36" s="14"/>
      <c r="BAP36" s="14"/>
      <c r="BAQ36" s="14"/>
      <c r="BAR36" s="14"/>
      <c r="BAS36" s="14"/>
      <c r="BAT36" s="14"/>
      <c r="BAU36" s="14"/>
      <c r="BAV36" s="14"/>
      <c r="BAW36" s="14"/>
      <c r="BAX36" s="14"/>
      <c r="BAY36" s="14"/>
      <c r="BAZ36" s="14"/>
      <c r="BBA36" s="14"/>
      <c r="BBB36" s="14"/>
      <c r="BBC36" s="14"/>
      <c r="BBD36" s="14"/>
      <c r="BBE36" s="14"/>
      <c r="BBF36" s="14"/>
      <c r="BBG36" s="14"/>
      <c r="BBH36" s="14"/>
      <c r="BBI36" s="14"/>
      <c r="BBJ36" s="14"/>
      <c r="BBK36" s="14"/>
      <c r="BBL36" s="14"/>
      <c r="BBM36" s="14"/>
      <c r="BBN36" s="14"/>
      <c r="BBO36" s="14"/>
      <c r="BBP36" s="14"/>
      <c r="BBQ36" s="14"/>
      <c r="BBR36" s="14"/>
      <c r="BBS36" s="14"/>
      <c r="BBT36" s="14"/>
      <c r="BBU36" s="14"/>
      <c r="BBV36" s="14"/>
      <c r="BBW36" s="14"/>
      <c r="BBX36" s="14"/>
      <c r="BBY36" s="14"/>
      <c r="BBZ36" s="14"/>
      <c r="BCA36" s="14"/>
      <c r="BCB36" s="14"/>
      <c r="BCC36" s="14"/>
      <c r="BCD36" s="14"/>
      <c r="BCE36" s="14"/>
      <c r="BCF36" s="14"/>
      <c r="BCG36" s="14"/>
      <c r="BCH36" s="14"/>
      <c r="BCI36" s="14"/>
      <c r="BCJ36" s="14"/>
      <c r="BCK36" s="14"/>
      <c r="BCL36" s="14"/>
      <c r="BCM36" s="14"/>
      <c r="BCN36" s="14"/>
      <c r="BCO36" s="14"/>
      <c r="BCP36" s="14"/>
      <c r="BCQ36" s="14"/>
      <c r="BCR36" s="14"/>
      <c r="BCS36" s="14"/>
      <c r="BCT36" s="14"/>
      <c r="BCU36" s="14"/>
      <c r="BCV36" s="14"/>
      <c r="BCW36" s="14"/>
      <c r="BCX36" s="14"/>
      <c r="BCY36" s="14"/>
      <c r="BCZ36" s="14"/>
      <c r="BDA36" s="14"/>
      <c r="BDB36" s="14"/>
      <c r="BDC36" s="14"/>
      <c r="BDD36" s="14"/>
      <c r="BDE36" s="14"/>
      <c r="BDF36" s="14"/>
      <c r="BDG36" s="14"/>
      <c r="BDH36" s="14"/>
      <c r="BDI36" s="14"/>
      <c r="BDJ36" s="14"/>
      <c r="BDK36" s="14"/>
      <c r="BDL36" s="14"/>
      <c r="BDM36" s="14"/>
      <c r="BDN36" s="14"/>
      <c r="BDO36" s="14"/>
      <c r="BDP36" s="14"/>
      <c r="BDQ36" s="14"/>
      <c r="BDR36" s="14"/>
      <c r="BDS36" s="14"/>
      <c r="BDT36" s="14"/>
      <c r="BDU36" s="14"/>
      <c r="BDV36" s="14"/>
      <c r="BDW36" s="14"/>
      <c r="BDX36" s="14"/>
      <c r="BDY36" s="14"/>
      <c r="BDZ36" s="14"/>
      <c r="BEA36" s="14"/>
      <c r="BEB36" s="14"/>
      <c r="BEC36" s="14"/>
      <c r="BED36" s="14"/>
      <c r="BEE36" s="14"/>
      <c r="BEF36" s="14"/>
      <c r="BEG36" s="14"/>
      <c r="BEH36" s="14"/>
      <c r="BEI36" s="14"/>
      <c r="BEJ36" s="14"/>
      <c r="BEK36" s="14"/>
      <c r="BEL36" s="14"/>
      <c r="BEM36" s="14"/>
      <c r="BEN36" s="14"/>
      <c r="BEO36" s="14"/>
      <c r="BEP36" s="14"/>
      <c r="BEQ36" s="14"/>
      <c r="BER36" s="14"/>
      <c r="BES36" s="14"/>
      <c r="BET36" s="14"/>
      <c r="BEU36" s="14"/>
      <c r="BEV36" s="14"/>
      <c r="BEW36" s="14"/>
      <c r="BEX36" s="14"/>
      <c r="BEY36" s="14"/>
      <c r="BEZ36" s="14"/>
      <c r="BFA36" s="14"/>
      <c r="BFB36" s="14"/>
      <c r="BFC36" s="14"/>
      <c r="BFD36" s="14"/>
      <c r="BFE36" s="14"/>
      <c r="BFF36" s="14"/>
      <c r="BFG36" s="14"/>
      <c r="BFH36" s="14"/>
      <c r="BFI36" s="14"/>
      <c r="BFJ36" s="14"/>
      <c r="BFK36" s="14"/>
      <c r="BFL36" s="14"/>
      <c r="BFM36" s="14"/>
      <c r="BFN36" s="14"/>
      <c r="BFO36" s="14"/>
      <c r="BFP36" s="14"/>
      <c r="BFQ36" s="14"/>
      <c r="BFR36" s="14"/>
      <c r="BFS36" s="14"/>
      <c r="BFT36" s="14"/>
      <c r="BFU36" s="14"/>
      <c r="BFV36" s="14"/>
      <c r="BFW36" s="14"/>
      <c r="BFX36" s="14"/>
      <c r="BFY36" s="14"/>
      <c r="BFZ36" s="14"/>
      <c r="BGA36" s="14"/>
      <c r="BGB36" s="14"/>
      <c r="BGC36" s="14"/>
      <c r="BGD36" s="14"/>
      <c r="BGE36" s="14"/>
      <c r="BGF36" s="14"/>
      <c r="BGG36" s="14"/>
      <c r="BGH36" s="14"/>
      <c r="BGI36" s="14"/>
      <c r="BGJ36" s="14"/>
      <c r="BGK36" s="14"/>
      <c r="BGL36" s="14"/>
      <c r="BGM36" s="14"/>
      <c r="BGN36" s="14"/>
      <c r="BGO36" s="14"/>
      <c r="BGP36" s="14"/>
      <c r="BGQ36" s="14"/>
      <c r="BGR36" s="14"/>
      <c r="BGS36" s="14"/>
      <c r="BGT36" s="14"/>
      <c r="BGU36" s="14"/>
      <c r="BGV36" s="14"/>
      <c r="BGW36" s="14"/>
      <c r="BGX36" s="14"/>
      <c r="BGY36" s="14"/>
      <c r="BGZ36" s="14"/>
      <c r="BHA36" s="14"/>
      <c r="BHB36" s="14"/>
      <c r="BHC36" s="14"/>
      <c r="BHD36" s="14"/>
      <c r="BHE36" s="14"/>
      <c r="BHF36" s="14"/>
      <c r="BHG36" s="14"/>
      <c r="BHH36" s="14"/>
      <c r="BHI36" s="14"/>
      <c r="BHJ36" s="14"/>
      <c r="BHK36" s="14"/>
      <c r="BHL36" s="14"/>
      <c r="BHM36" s="14"/>
      <c r="BHN36" s="14"/>
      <c r="BHO36" s="14"/>
      <c r="BHP36" s="14"/>
      <c r="BHQ36" s="14"/>
      <c r="BHR36" s="14"/>
      <c r="BHS36" s="14"/>
      <c r="BHT36" s="14"/>
      <c r="BHU36" s="14"/>
      <c r="BHV36" s="14"/>
      <c r="BHW36" s="14"/>
      <c r="BHX36" s="14"/>
      <c r="BHY36" s="14"/>
      <c r="BHZ36" s="14"/>
      <c r="BIA36" s="14"/>
      <c r="BIB36" s="14"/>
      <c r="BIC36" s="14"/>
      <c r="BID36" s="14"/>
      <c r="BIE36" s="14"/>
      <c r="BIF36" s="14"/>
      <c r="BIG36" s="14"/>
      <c r="BIH36" s="14"/>
      <c r="BII36" s="14"/>
      <c r="BIJ36" s="14"/>
      <c r="BIK36" s="14"/>
      <c r="BIL36" s="14"/>
      <c r="BIM36" s="14"/>
      <c r="BIN36" s="14"/>
      <c r="BIO36" s="14"/>
      <c r="BIP36" s="14"/>
      <c r="BIQ36" s="14"/>
      <c r="BIR36" s="14"/>
      <c r="BIS36" s="14"/>
      <c r="BIT36" s="14"/>
      <c r="BIU36" s="14"/>
      <c r="BIV36" s="14"/>
      <c r="BIW36" s="14"/>
      <c r="BIX36" s="14"/>
      <c r="BIY36" s="14"/>
      <c r="BIZ36" s="14"/>
      <c r="BJA36" s="14"/>
      <c r="BJB36" s="14"/>
      <c r="BJC36" s="14"/>
      <c r="BJD36" s="14"/>
      <c r="BJE36" s="14"/>
      <c r="BJF36" s="14"/>
      <c r="BJG36" s="14"/>
      <c r="BJH36" s="14"/>
      <c r="BJI36" s="14"/>
      <c r="BJJ36" s="14"/>
      <c r="BJK36" s="14"/>
      <c r="BJL36" s="14"/>
      <c r="BJM36" s="14"/>
      <c r="BJN36" s="14"/>
      <c r="BJO36" s="14"/>
      <c r="BJP36" s="14"/>
      <c r="BJQ36" s="14"/>
      <c r="BJR36" s="14"/>
      <c r="BJS36" s="14"/>
      <c r="BJT36" s="14"/>
      <c r="BJU36" s="14"/>
      <c r="BJV36" s="14"/>
      <c r="BJW36" s="14"/>
      <c r="BJX36" s="14"/>
      <c r="BJY36" s="14"/>
      <c r="BJZ36" s="14"/>
      <c r="BKA36" s="14"/>
      <c r="BKB36" s="14"/>
      <c r="BKC36" s="14"/>
      <c r="BKD36" s="14"/>
      <c r="BKE36" s="14"/>
      <c r="BKF36" s="14"/>
      <c r="BKG36" s="14"/>
      <c r="BKH36" s="14"/>
      <c r="BKI36" s="14"/>
      <c r="BKJ36" s="14"/>
      <c r="BKK36" s="14"/>
      <c r="BKL36" s="14"/>
      <c r="BKM36" s="14"/>
      <c r="BKN36" s="14"/>
      <c r="BKO36" s="14"/>
      <c r="BKP36" s="14"/>
      <c r="BKQ36" s="14"/>
      <c r="BKR36" s="14"/>
      <c r="BKS36" s="14"/>
      <c r="BKT36" s="14"/>
      <c r="BKU36" s="14"/>
      <c r="BKV36" s="14"/>
      <c r="BKW36" s="14"/>
      <c r="BKX36" s="14"/>
      <c r="BKY36" s="14"/>
      <c r="BKZ36" s="14"/>
      <c r="BLA36" s="14"/>
      <c r="BLB36" s="14"/>
      <c r="BLC36" s="14"/>
      <c r="BLD36" s="14"/>
      <c r="BLE36" s="14"/>
      <c r="BLF36" s="14"/>
      <c r="BLG36" s="14"/>
      <c r="BLH36" s="14"/>
      <c r="BLI36" s="14"/>
      <c r="BLJ36" s="14"/>
      <c r="BLK36" s="14"/>
      <c r="BLL36" s="14"/>
      <c r="BLM36" s="14"/>
      <c r="BLN36" s="14"/>
      <c r="BLO36" s="14"/>
      <c r="BLP36" s="14"/>
      <c r="BLQ36" s="14"/>
      <c r="BLR36" s="14"/>
      <c r="BLS36" s="14"/>
      <c r="BLT36" s="14"/>
      <c r="BLU36" s="14"/>
      <c r="BLV36" s="14"/>
      <c r="BLW36" s="14"/>
      <c r="BLX36" s="14"/>
      <c r="BLY36" s="14"/>
      <c r="BLZ36" s="14"/>
      <c r="BMA36" s="14"/>
      <c r="BMB36" s="14"/>
      <c r="BMC36" s="14"/>
      <c r="BMD36" s="14"/>
      <c r="BME36" s="14"/>
      <c r="BMF36" s="14"/>
      <c r="BMG36" s="14"/>
      <c r="BMH36" s="14"/>
      <c r="BMI36" s="14"/>
      <c r="BMJ36" s="14"/>
      <c r="BMK36" s="14"/>
      <c r="BML36" s="14"/>
      <c r="BMM36" s="14"/>
      <c r="BMN36" s="14"/>
      <c r="BMO36" s="14"/>
      <c r="BMP36" s="14"/>
      <c r="BMQ36" s="14"/>
      <c r="BMR36" s="14"/>
      <c r="BMS36" s="14"/>
      <c r="BMT36" s="14"/>
      <c r="BMU36" s="14"/>
      <c r="BMV36" s="14"/>
      <c r="BMW36" s="14"/>
      <c r="BMX36" s="14"/>
      <c r="BMY36" s="14"/>
      <c r="BMZ36" s="14"/>
      <c r="BNA36" s="14"/>
      <c r="BNB36" s="14"/>
      <c r="BNC36" s="14"/>
      <c r="BND36" s="14"/>
      <c r="BNE36" s="14"/>
      <c r="BNF36" s="14"/>
      <c r="BNG36" s="14"/>
      <c r="BNH36" s="14"/>
      <c r="BNI36" s="14"/>
      <c r="BNJ36" s="14"/>
      <c r="BNK36" s="14"/>
      <c r="BNL36" s="14"/>
      <c r="BNM36" s="14"/>
      <c r="BNN36" s="14"/>
      <c r="BNO36" s="14"/>
      <c r="BNP36" s="14"/>
      <c r="BNQ36" s="14"/>
      <c r="BNR36" s="14"/>
      <c r="BNS36" s="14"/>
      <c r="BNT36" s="14"/>
      <c r="BNU36" s="14"/>
      <c r="BNV36" s="14"/>
      <c r="BNW36" s="14"/>
      <c r="BNX36" s="14"/>
      <c r="BNY36" s="14"/>
      <c r="BNZ36" s="14"/>
      <c r="BOA36" s="14"/>
      <c r="BOB36" s="14"/>
      <c r="BOC36" s="14"/>
      <c r="BOD36" s="14"/>
      <c r="BOE36" s="14"/>
      <c r="BOF36" s="14"/>
      <c r="BOG36" s="14"/>
      <c r="BOH36" s="14"/>
      <c r="BOI36" s="14"/>
      <c r="BOJ36" s="14"/>
      <c r="BOK36" s="14"/>
      <c r="BOL36" s="14"/>
      <c r="BOM36" s="14"/>
      <c r="BON36" s="14"/>
      <c r="BOO36" s="14"/>
      <c r="BOP36" s="14"/>
      <c r="BOQ36" s="14"/>
      <c r="BOR36" s="14"/>
      <c r="BOS36" s="14"/>
      <c r="BOT36" s="14"/>
      <c r="BOU36" s="14"/>
      <c r="BOV36" s="14"/>
      <c r="BOW36" s="14"/>
      <c r="BOX36" s="14"/>
      <c r="BOY36" s="14"/>
      <c r="BOZ36" s="14"/>
      <c r="BPA36" s="14"/>
      <c r="BPB36" s="14"/>
      <c r="BPC36" s="14"/>
      <c r="BPD36" s="14"/>
      <c r="BPE36" s="14"/>
      <c r="BPF36" s="14"/>
      <c r="BPG36" s="14"/>
      <c r="BPH36" s="14"/>
      <c r="BPI36" s="14"/>
      <c r="BPJ36" s="14"/>
      <c r="BPK36" s="14"/>
      <c r="BPL36" s="14"/>
      <c r="BPM36" s="14"/>
      <c r="BPN36" s="14"/>
      <c r="BPO36" s="14"/>
      <c r="BPP36" s="14"/>
      <c r="BPQ36" s="14"/>
      <c r="BPR36" s="14"/>
      <c r="BPS36" s="14"/>
      <c r="BPT36" s="14"/>
      <c r="BPU36" s="14"/>
      <c r="BPV36" s="14"/>
      <c r="BPW36" s="14"/>
      <c r="BPX36" s="14"/>
      <c r="BPY36" s="14"/>
      <c r="BPZ36" s="14"/>
      <c r="BQA36" s="14"/>
      <c r="BQB36" s="14"/>
      <c r="BQC36" s="14"/>
      <c r="BQD36" s="14"/>
      <c r="BQE36" s="14"/>
      <c r="BQF36" s="14"/>
      <c r="BQG36" s="14"/>
      <c r="BQH36" s="14"/>
      <c r="BQI36" s="14"/>
      <c r="BQJ36" s="14"/>
      <c r="BQK36" s="14"/>
      <c r="BQL36" s="14"/>
      <c r="BQM36" s="14"/>
      <c r="BQN36" s="14"/>
      <c r="BQO36" s="14"/>
      <c r="BQP36" s="14"/>
      <c r="BQQ36" s="14"/>
      <c r="BQR36" s="14"/>
      <c r="BQS36" s="14"/>
      <c r="BQT36" s="14"/>
      <c r="BQU36" s="14"/>
      <c r="BQV36" s="14"/>
      <c r="BQW36" s="14"/>
      <c r="BQX36" s="14"/>
      <c r="BQY36" s="14"/>
      <c r="BQZ36" s="14"/>
      <c r="BRA36" s="14"/>
      <c r="BRB36" s="14"/>
      <c r="BRC36" s="14"/>
      <c r="BRD36" s="14"/>
      <c r="BRE36" s="14"/>
      <c r="BRF36" s="14"/>
      <c r="BRG36" s="14"/>
      <c r="BRH36" s="14"/>
      <c r="BRI36" s="14"/>
      <c r="BRJ36" s="14"/>
      <c r="BRK36" s="14"/>
      <c r="BRL36" s="14"/>
      <c r="BRM36" s="14"/>
      <c r="BRN36" s="14"/>
      <c r="BRO36" s="14"/>
      <c r="BRP36" s="14"/>
      <c r="BRQ36" s="14"/>
      <c r="BRR36" s="14"/>
      <c r="BRS36" s="14"/>
      <c r="BRT36" s="14"/>
      <c r="BRU36" s="14"/>
      <c r="BRV36" s="14"/>
      <c r="BRW36" s="14"/>
      <c r="BRX36" s="14"/>
      <c r="BRY36" s="14"/>
      <c r="BRZ36" s="14"/>
      <c r="BSA36" s="14"/>
      <c r="BSB36" s="14"/>
      <c r="BSC36" s="14"/>
      <c r="BSD36" s="14"/>
      <c r="BSE36" s="14"/>
      <c r="BSF36" s="14"/>
      <c r="BSG36" s="14"/>
      <c r="BSH36" s="14"/>
      <c r="BSI36" s="14"/>
      <c r="BSJ36" s="14"/>
      <c r="BSK36" s="14"/>
      <c r="BSL36" s="14"/>
      <c r="BSM36" s="14"/>
      <c r="BSN36" s="14"/>
      <c r="BSO36" s="14"/>
      <c r="BSP36" s="14"/>
      <c r="BSQ36" s="14"/>
      <c r="BSR36" s="14"/>
      <c r="BSS36" s="14"/>
      <c r="BST36" s="14"/>
      <c r="BSU36" s="14"/>
      <c r="BSV36" s="14"/>
      <c r="BSW36" s="14"/>
      <c r="BSX36" s="14"/>
      <c r="BSY36" s="14"/>
      <c r="BSZ36" s="14"/>
      <c r="BTA36" s="14"/>
      <c r="BTB36" s="14"/>
      <c r="BTC36" s="14"/>
      <c r="BTD36" s="14"/>
      <c r="BTE36" s="14"/>
      <c r="BTF36" s="14"/>
      <c r="BTG36" s="14"/>
      <c r="BTH36" s="14"/>
      <c r="BTI36" s="14"/>
      <c r="BTJ36" s="14"/>
      <c r="BTK36" s="14"/>
      <c r="BTL36" s="14"/>
      <c r="BTM36" s="14"/>
      <c r="BTN36" s="14"/>
      <c r="BTO36" s="14"/>
      <c r="BTP36" s="14"/>
      <c r="BTQ36" s="14"/>
      <c r="BTR36" s="14"/>
      <c r="BTS36" s="14"/>
      <c r="BTT36" s="14"/>
      <c r="BTU36" s="14"/>
      <c r="BTV36" s="14"/>
      <c r="BTW36" s="14"/>
      <c r="BTX36" s="14"/>
      <c r="BTY36" s="14"/>
      <c r="BTZ36" s="14"/>
      <c r="BUA36" s="14"/>
      <c r="BUB36" s="14"/>
      <c r="BUC36" s="14"/>
      <c r="BUD36" s="14"/>
      <c r="BUE36" s="14"/>
      <c r="BUF36" s="14"/>
      <c r="BUG36" s="14"/>
      <c r="BUH36" s="14"/>
      <c r="BUI36" s="14"/>
      <c r="BUJ36" s="14"/>
      <c r="BUK36" s="14"/>
      <c r="BUL36" s="14"/>
      <c r="BUM36" s="14"/>
      <c r="BUN36" s="14"/>
      <c r="BUO36" s="14"/>
      <c r="BUP36" s="14"/>
      <c r="BUQ36" s="14"/>
      <c r="BUR36" s="14"/>
      <c r="BUS36" s="14"/>
      <c r="BUT36" s="14"/>
      <c r="BUU36" s="14"/>
      <c r="BUV36" s="14"/>
      <c r="BUW36" s="14"/>
      <c r="BUX36" s="14"/>
      <c r="BUY36" s="14"/>
      <c r="BUZ36" s="14"/>
      <c r="BVA36" s="14"/>
      <c r="BVB36" s="14"/>
      <c r="BVC36" s="14"/>
      <c r="BVD36" s="14"/>
      <c r="BVE36" s="14"/>
      <c r="BVF36" s="14"/>
      <c r="BVG36" s="14"/>
      <c r="BVH36" s="14"/>
      <c r="BVI36" s="14"/>
      <c r="BVJ36" s="14"/>
      <c r="BVK36" s="14"/>
      <c r="BVL36" s="14"/>
      <c r="BVM36" s="14"/>
      <c r="BVN36" s="14"/>
      <c r="BVO36" s="14"/>
      <c r="BVP36" s="14"/>
      <c r="BVQ36" s="14"/>
      <c r="BVR36" s="14"/>
      <c r="BVS36" s="14"/>
      <c r="BVT36" s="14"/>
      <c r="BVU36" s="14"/>
      <c r="BVV36" s="14"/>
      <c r="BVW36" s="14"/>
      <c r="BVX36" s="14"/>
      <c r="BVY36" s="14"/>
      <c r="BVZ36" s="14"/>
      <c r="BWA36" s="14"/>
      <c r="BWB36" s="14"/>
      <c r="BWC36" s="14"/>
      <c r="BWD36" s="14"/>
      <c r="BWE36" s="14"/>
      <c r="BWF36" s="14"/>
      <c r="BWG36" s="14"/>
      <c r="BWH36" s="14"/>
      <c r="BWI36" s="14"/>
      <c r="BWJ36" s="14"/>
      <c r="BWK36" s="14"/>
      <c r="BWL36" s="14"/>
      <c r="BWM36" s="14"/>
      <c r="BWN36" s="14"/>
      <c r="BWO36" s="14"/>
      <c r="BWP36" s="14"/>
      <c r="BWQ36" s="14"/>
      <c r="BWR36" s="14"/>
      <c r="BWS36" s="14"/>
      <c r="BWT36" s="14"/>
      <c r="BWU36" s="14"/>
      <c r="BWV36" s="14"/>
      <c r="BWW36" s="14"/>
      <c r="BWX36" s="14"/>
      <c r="BWY36" s="14"/>
      <c r="BWZ36" s="14"/>
      <c r="BXA36" s="14"/>
      <c r="BXB36" s="14"/>
      <c r="BXC36" s="14"/>
      <c r="BXD36" s="14"/>
      <c r="BXE36" s="14"/>
      <c r="BXF36" s="14"/>
      <c r="BXG36" s="14"/>
      <c r="BXH36" s="14"/>
      <c r="BXI36" s="14"/>
      <c r="BXJ36" s="14"/>
      <c r="BXK36" s="14"/>
      <c r="BXL36" s="14"/>
      <c r="BXM36" s="14"/>
      <c r="BXN36" s="14"/>
      <c r="BXO36" s="14"/>
      <c r="BXP36" s="14"/>
      <c r="BXQ36" s="14"/>
      <c r="BXR36" s="14"/>
      <c r="BXS36" s="14"/>
      <c r="BXT36" s="14"/>
      <c r="BXU36" s="14"/>
      <c r="BXV36" s="14"/>
      <c r="BXW36" s="14"/>
      <c r="BXX36" s="14"/>
      <c r="BXY36" s="14"/>
      <c r="BXZ36" s="14"/>
      <c r="BYA36" s="14"/>
      <c r="BYB36" s="14"/>
      <c r="BYC36" s="14"/>
      <c r="BYD36" s="14"/>
      <c r="BYE36" s="14"/>
      <c r="BYF36" s="14"/>
      <c r="BYG36" s="14"/>
      <c r="BYH36" s="14"/>
      <c r="BYI36" s="14"/>
      <c r="BYJ36" s="14"/>
      <c r="BYK36" s="14"/>
      <c r="BYL36" s="14"/>
      <c r="BYM36" s="14"/>
      <c r="BYN36" s="14"/>
      <c r="BYO36" s="14"/>
      <c r="BYP36" s="14"/>
      <c r="BYQ36" s="14"/>
      <c r="BYR36" s="14"/>
      <c r="BYS36" s="14"/>
      <c r="BYT36" s="14"/>
      <c r="BYU36" s="14"/>
      <c r="BYV36" s="14"/>
      <c r="BYW36" s="14"/>
      <c r="BYX36" s="14"/>
      <c r="BYY36" s="14"/>
      <c r="BYZ36" s="14"/>
      <c r="BZA36" s="14"/>
      <c r="BZB36" s="14"/>
      <c r="BZC36" s="14"/>
      <c r="BZD36" s="14"/>
      <c r="BZE36" s="14"/>
      <c r="BZF36" s="14"/>
      <c r="BZG36" s="14"/>
      <c r="BZH36" s="14"/>
      <c r="BZI36" s="14"/>
      <c r="BZJ36" s="14"/>
      <c r="BZK36" s="14"/>
      <c r="BZL36" s="14"/>
      <c r="BZM36" s="14"/>
      <c r="BZN36" s="14"/>
      <c r="BZO36" s="14"/>
      <c r="BZP36" s="14"/>
      <c r="BZQ36" s="14"/>
      <c r="BZR36" s="14"/>
      <c r="BZS36" s="14"/>
      <c r="BZT36" s="14"/>
      <c r="BZU36" s="14"/>
      <c r="BZV36" s="14"/>
      <c r="BZW36" s="14"/>
      <c r="BZX36" s="14"/>
      <c r="BZY36" s="14"/>
      <c r="BZZ36" s="14"/>
      <c r="CAA36" s="14"/>
      <c r="CAB36" s="14"/>
      <c r="CAC36" s="14"/>
      <c r="CAD36" s="14"/>
      <c r="CAE36" s="14"/>
      <c r="CAF36" s="14"/>
      <c r="CAG36" s="14"/>
      <c r="CAH36" s="14"/>
      <c r="CAI36" s="14"/>
      <c r="CAJ36" s="14"/>
      <c r="CAK36" s="14"/>
      <c r="CAL36" s="14"/>
      <c r="CAM36" s="14"/>
      <c r="CAN36" s="14"/>
      <c r="CAO36" s="14"/>
      <c r="CAP36" s="14"/>
      <c r="CAQ36" s="14"/>
      <c r="CAR36" s="14"/>
      <c r="CAS36" s="14"/>
      <c r="CAT36" s="14"/>
      <c r="CAU36" s="14"/>
      <c r="CAV36" s="14"/>
      <c r="CAW36" s="14"/>
      <c r="CAX36" s="14"/>
      <c r="CAY36" s="14"/>
      <c r="CAZ36" s="14"/>
      <c r="CBA36" s="14"/>
      <c r="CBB36" s="14"/>
      <c r="CBC36" s="14"/>
      <c r="CBD36" s="14"/>
      <c r="CBE36" s="14"/>
      <c r="CBF36" s="14"/>
      <c r="CBG36" s="14"/>
      <c r="CBH36" s="14"/>
      <c r="CBI36" s="14"/>
      <c r="CBJ36" s="14"/>
      <c r="CBK36" s="14"/>
      <c r="CBL36" s="14"/>
      <c r="CBM36" s="14"/>
      <c r="CBN36" s="14"/>
      <c r="CBO36" s="14"/>
      <c r="CBP36" s="14"/>
      <c r="CBQ36" s="14"/>
      <c r="CBR36" s="14"/>
      <c r="CBS36" s="14"/>
      <c r="CBT36" s="14"/>
      <c r="CBU36" s="14"/>
      <c r="CBV36" s="14"/>
      <c r="CBW36" s="14"/>
      <c r="CBX36" s="14"/>
      <c r="CBY36" s="14"/>
      <c r="CBZ36" s="14"/>
      <c r="CCA36" s="14"/>
      <c r="CCB36" s="14"/>
      <c r="CCC36" s="14"/>
      <c r="CCD36" s="14"/>
      <c r="CCE36" s="14"/>
      <c r="CCF36" s="14"/>
      <c r="CCG36" s="14"/>
      <c r="CCH36" s="14"/>
      <c r="CCI36" s="14"/>
      <c r="CCJ36" s="14"/>
      <c r="CCK36" s="14"/>
      <c r="CCL36" s="14"/>
      <c r="CCM36" s="14"/>
      <c r="CCN36" s="14"/>
      <c r="CCO36" s="14"/>
      <c r="CCP36" s="14"/>
      <c r="CCQ36" s="14"/>
      <c r="CCR36" s="14"/>
      <c r="CCS36" s="14"/>
      <c r="CCT36" s="14"/>
      <c r="CCU36" s="14"/>
      <c r="CCV36" s="14"/>
      <c r="CCW36" s="14"/>
      <c r="CCX36" s="14"/>
      <c r="CCY36" s="14"/>
      <c r="CCZ36" s="14"/>
      <c r="CDA36" s="14"/>
      <c r="CDB36" s="14"/>
      <c r="CDC36" s="14"/>
      <c r="CDD36" s="14"/>
      <c r="CDE36" s="14"/>
      <c r="CDF36" s="14"/>
      <c r="CDG36" s="14"/>
      <c r="CDH36" s="14"/>
      <c r="CDI36" s="14"/>
      <c r="CDJ36" s="14"/>
      <c r="CDK36" s="14"/>
      <c r="CDL36" s="14"/>
      <c r="CDM36" s="14"/>
      <c r="CDN36" s="14"/>
      <c r="CDO36" s="14"/>
      <c r="CDP36" s="14"/>
      <c r="CDQ36" s="14"/>
      <c r="CDR36" s="14"/>
      <c r="CDS36" s="14"/>
      <c r="CDT36" s="14"/>
      <c r="CDU36" s="14"/>
      <c r="CDV36" s="14"/>
      <c r="CDW36" s="14"/>
      <c r="CDX36" s="14"/>
      <c r="CDY36" s="14"/>
      <c r="CDZ36" s="14"/>
      <c r="CEA36" s="14"/>
      <c r="CEB36" s="14"/>
      <c r="CEC36" s="14"/>
      <c r="CED36" s="14"/>
      <c r="CEE36" s="14"/>
      <c r="CEF36" s="14"/>
      <c r="CEG36" s="14"/>
      <c r="CEH36" s="14"/>
      <c r="CEI36" s="14"/>
      <c r="CEJ36" s="14"/>
      <c r="CEK36" s="14"/>
      <c r="CEL36" s="14"/>
      <c r="CEM36" s="14"/>
      <c r="CEN36" s="14"/>
      <c r="CEO36" s="14"/>
      <c r="CEP36" s="14"/>
      <c r="CEQ36" s="14"/>
      <c r="CER36" s="14"/>
      <c r="CES36" s="14"/>
      <c r="CET36" s="14"/>
      <c r="CEU36" s="14"/>
      <c r="CEV36" s="14"/>
      <c r="CEW36" s="14"/>
      <c r="CEX36" s="14"/>
      <c r="CEY36" s="14"/>
      <c r="CEZ36" s="14"/>
      <c r="CFA36" s="14"/>
      <c r="CFB36" s="14"/>
      <c r="CFC36" s="14"/>
      <c r="CFD36" s="14"/>
      <c r="CFE36" s="14"/>
      <c r="CFF36" s="14"/>
      <c r="CFG36" s="14"/>
      <c r="CFH36" s="14"/>
      <c r="CFI36" s="14"/>
      <c r="CFJ36" s="14"/>
      <c r="CFK36" s="14"/>
      <c r="CFL36" s="14"/>
      <c r="CFM36" s="14"/>
      <c r="CFN36" s="14"/>
      <c r="CFO36" s="14"/>
      <c r="CFP36" s="14"/>
      <c r="CFQ36" s="14"/>
      <c r="CFR36" s="14"/>
      <c r="CFS36" s="14"/>
      <c r="CFT36" s="14"/>
      <c r="CFU36" s="14"/>
      <c r="CFV36" s="14"/>
      <c r="CFW36" s="14"/>
      <c r="CFX36" s="14"/>
      <c r="CFY36" s="14"/>
      <c r="CFZ36" s="14"/>
      <c r="CGA36" s="14"/>
      <c r="CGB36" s="14"/>
      <c r="CGC36" s="14"/>
      <c r="CGD36" s="14"/>
      <c r="CGE36" s="14"/>
      <c r="CGF36" s="14"/>
      <c r="CGG36" s="14"/>
      <c r="CGH36" s="14"/>
      <c r="CGI36" s="14"/>
      <c r="CGJ36" s="14"/>
      <c r="CGK36" s="14"/>
      <c r="CGL36" s="14"/>
      <c r="CGM36" s="14"/>
      <c r="CGN36" s="14"/>
      <c r="CGO36" s="14"/>
      <c r="CGP36" s="14"/>
      <c r="CGQ36" s="14"/>
      <c r="CGR36" s="14"/>
      <c r="CGS36" s="14"/>
      <c r="CGT36" s="14"/>
      <c r="CGU36" s="14"/>
      <c r="CGV36" s="14"/>
      <c r="CGW36" s="14"/>
      <c r="CGX36" s="14"/>
      <c r="CGY36" s="14"/>
      <c r="CGZ36" s="14"/>
      <c r="CHA36" s="14"/>
      <c r="CHB36" s="14"/>
      <c r="CHC36" s="14"/>
      <c r="CHD36" s="14"/>
      <c r="CHE36" s="14"/>
      <c r="CHF36" s="14"/>
      <c r="CHG36" s="14"/>
      <c r="CHH36" s="14"/>
      <c r="CHI36" s="14"/>
      <c r="CHJ36" s="14"/>
      <c r="CHK36" s="14"/>
      <c r="CHL36" s="14"/>
      <c r="CHM36" s="14"/>
      <c r="CHN36" s="14"/>
      <c r="CHO36" s="14"/>
      <c r="CHP36" s="14"/>
      <c r="CHQ36" s="14"/>
      <c r="CHR36" s="14"/>
      <c r="CHS36" s="14"/>
      <c r="CHT36" s="14"/>
      <c r="CHU36" s="14"/>
      <c r="CHV36" s="14"/>
      <c r="CHW36" s="14"/>
      <c r="CHX36" s="14"/>
      <c r="CHY36" s="14"/>
      <c r="CHZ36" s="14"/>
      <c r="CIA36" s="14"/>
      <c r="CIB36" s="14"/>
      <c r="CIC36" s="14"/>
      <c r="CID36" s="14"/>
      <c r="CIE36" s="14"/>
      <c r="CIF36" s="14"/>
      <c r="CIG36" s="14"/>
      <c r="CIH36" s="14"/>
      <c r="CII36" s="14"/>
      <c r="CIJ36" s="14"/>
      <c r="CIK36" s="14"/>
      <c r="CIL36" s="14"/>
      <c r="CIM36" s="14"/>
      <c r="CIN36" s="14"/>
      <c r="CIO36" s="14"/>
      <c r="CIP36" s="14"/>
      <c r="CIQ36" s="14"/>
      <c r="CIR36" s="14"/>
      <c r="CIS36" s="14"/>
      <c r="CIT36" s="14"/>
      <c r="CIU36" s="14"/>
      <c r="CIV36" s="14"/>
      <c r="CIW36" s="14"/>
      <c r="CIX36" s="14"/>
      <c r="CIY36" s="14"/>
      <c r="CIZ36" s="14"/>
      <c r="CJA36" s="14"/>
      <c r="CJB36" s="14"/>
      <c r="CJC36" s="14"/>
      <c r="CJD36" s="14"/>
      <c r="CJE36" s="14"/>
      <c r="CJF36" s="14"/>
      <c r="CJG36" s="14"/>
      <c r="CJH36" s="14"/>
      <c r="CJI36" s="14"/>
      <c r="CJJ36" s="14"/>
      <c r="CJK36" s="14"/>
      <c r="CJL36" s="14"/>
      <c r="CJM36" s="14"/>
      <c r="CJN36" s="14"/>
      <c r="CJO36" s="14"/>
      <c r="CJP36" s="14"/>
      <c r="CJQ36" s="14"/>
      <c r="CJR36" s="14"/>
      <c r="CJS36" s="14"/>
      <c r="CJT36" s="14"/>
      <c r="CJU36" s="14"/>
      <c r="CJV36" s="14"/>
      <c r="CJW36" s="14"/>
      <c r="CJX36" s="14"/>
      <c r="CJY36" s="14"/>
      <c r="CJZ36" s="14"/>
      <c r="CKA36" s="14"/>
      <c r="CKB36" s="14"/>
      <c r="CKC36" s="14"/>
      <c r="CKD36" s="14"/>
      <c r="CKE36" s="14"/>
      <c r="CKF36" s="14"/>
      <c r="CKG36" s="14"/>
      <c r="CKH36" s="14"/>
      <c r="CKI36" s="14"/>
      <c r="CKJ36" s="14"/>
      <c r="CKK36" s="14"/>
      <c r="CKL36" s="14"/>
      <c r="CKM36" s="14"/>
      <c r="CKN36" s="14"/>
      <c r="CKO36" s="14"/>
      <c r="CKP36" s="14"/>
      <c r="CKQ36" s="14"/>
      <c r="CKR36" s="14"/>
      <c r="CKS36" s="14"/>
      <c r="CKT36" s="14"/>
      <c r="CKU36" s="14"/>
      <c r="CKV36" s="14"/>
      <c r="CKW36" s="14"/>
      <c r="CKX36" s="14"/>
      <c r="CKY36" s="14"/>
      <c r="CKZ36" s="14"/>
      <c r="CLA36" s="14"/>
      <c r="CLB36" s="14"/>
      <c r="CLC36" s="14"/>
      <c r="CLD36" s="14"/>
      <c r="CLE36" s="14"/>
      <c r="CLF36" s="14"/>
      <c r="CLG36" s="14"/>
      <c r="CLH36" s="14"/>
      <c r="CLI36" s="14"/>
      <c r="CLJ36" s="14"/>
      <c r="CLK36" s="14"/>
      <c r="CLL36" s="14"/>
      <c r="CLM36" s="14"/>
      <c r="CLN36" s="14"/>
      <c r="CLO36" s="14"/>
      <c r="CLP36" s="14"/>
      <c r="CLQ36" s="14"/>
      <c r="CLR36" s="14"/>
      <c r="CLS36" s="14"/>
      <c r="CLT36" s="14"/>
      <c r="CLU36" s="14"/>
      <c r="CLV36" s="14"/>
      <c r="CLW36" s="14"/>
      <c r="CLX36" s="14"/>
      <c r="CLY36" s="14"/>
      <c r="CLZ36" s="14"/>
      <c r="CMA36" s="14"/>
      <c r="CMB36" s="14"/>
      <c r="CMC36" s="14"/>
      <c r="CMD36" s="14"/>
      <c r="CME36" s="14"/>
      <c r="CMF36" s="14"/>
      <c r="CMG36" s="14"/>
      <c r="CMH36" s="14"/>
      <c r="CMI36" s="14"/>
      <c r="CMJ36" s="14"/>
      <c r="CMK36" s="14"/>
      <c r="CML36" s="14"/>
      <c r="CMM36" s="14"/>
      <c r="CMN36" s="14"/>
      <c r="CMO36" s="14"/>
      <c r="CMP36" s="14"/>
      <c r="CMQ36" s="14"/>
      <c r="CMR36" s="14"/>
      <c r="CMS36" s="14"/>
      <c r="CMT36" s="14"/>
      <c r="CMU36" s="14"/>
      <c r="CMV36" s="14"/>
      <c r="CMW36" s="14"/>
      <c r="CMX36" s="14"/>
      <c r="CMY36" s="14"/>
      <c r="CMZ36" s="14"/>
      <c r="CNA36" s="14"/>
      <c r="CNB36" s="14"/>
      <c r="CNC36" s="14"/>
      <c r="CND36" s="14"/>
      <c r="CNE36" s="14"/>
      <c r="CNF36" s="14"/>
      <c r="CNG36" s="14"/>
      <c r="CNH36" s="14"/>
      <c r="CNI36" s="14"/>
      <c r="CNJ36" s="14"/>
      <c r="CNK36" s="14"/>
      <c r="CNL36" s="14"/>
      <c r="CNM36" s="14"/>
      <c r="CNN36" s="14"/>
      <c r="CNO36" s="14"/>
      <c r="CNP36" s="14"/>
      <c r="CNQ36" s="14"/>
      <c r="CNR36" s="14"/>
      <c r="CNS36" s="14"/>
      <c r="CNT36" s="14"/>
      <c r="CNU36" s="14"/>
      <c r="CNV36" s="14"/>
      <c r="CNW36" s="14"/>
      <c r="CNX36" s="14"/>
      <c r="CNY36" s="14"/>
      <c r="CNZ36" s="14"/>
      <c r="COA36" s="14"/>
      <c r="COB36" s="14"/>
      <c r="COC36" s="14"/>
      <c r="COD36" s="14"/>
      <c r="COE36" s="14"/>
      <c r="COF36" s="14"/>
      <c r="COG36" s="14"/>
      <c r="COH36" s="14"/>
      <c r="COI36" s="14"/>
      <c r="COJ36" s="14"/>
      <c r="COK36" s="14"/>
      <c r="COL36" s="14"/>
      <c r="COM36" s="14"/>
      <c r="CON36" s="14"/>
      <c r="COO36" s="14"/>
      <c r="COP36" s="14"/>
      <c r="COQ36" s="14"/>
      <c r="COR36" s="14"/>
      <c r="COS36" s="14"/>
      <c r="COT36" s="14"/>
      <c r="COU36" s="14"/>
      <c r="COV36" s="14"/>
      <c r="COW36" s="14"/>
      <c r="COX36" s="14"/>
      <c r="COY36" s="14"/>
      <c r="COZ36" s="14"/>
      <c r="CPA36" s="14"/>
      <c r="CPB36" s="14"/>
      <c r="CPC36" s="14"/>
      <c r="CPD36" s="14"/>
      <c r="CPE36" s="14"/>
      <c r="CPF36" s="14"/>
      <c r="CPG36" s="14"/>
      <c r="CPH36" s="14"/>
      <c r="CPI36" s="14"/>
      <c r="CPJ36" s="14"/>
      <c r="CPK36" s="14"/>
      <c r="CPL36" s="14"/>
      <c r="CPM36" s="14"/>
      <c r="CPN36" s="14"/>
      <c r="CPO36" s="14"/>
      <c r="CPP36" s="14"/>
      <c r="CPQ36" s="14"/>
      <c r="CPR36" s="14"/>
      <c r="CPS36" s="14"/>
      <c r="CPT36" s="14"/>
      <c r="CPU36" s="14"/>
      <c r="CPV36" s="14"/>
      <c r="CPW36" s="14"/>
      <c r="CPX36" s="14"/>
      <c r="CPY36" s="14"/>
      <c r="CPZ36" s="14"/>
      <c r="CQA36" s="14"/>
      <c r="CQB36" s="14"/>
      <c r="CQC36" s="14"/>
      <c r="CQD36" s="14"/>
      <c r="CQE36" s="14"/>
      <c r="CQF36" s="14"/>
      <c r="CQG36" s="14"/>
      <c r="CQH36" s="14"/>
      <c r="CQI36" s="14"/>
      <c r="CQJ36" s="14"/>
      <c r="CQK36" s="14"/>
      <c r="CQL36" s="14"/>
      <c r="CQM36" s="14"/>
      <c r="CQN36" s="14"/>
      <c r="CQO36" s="14"/>
      <c r="CQP36" s="14"/>
      <c r="CQQ36" s="14"/>
      <c r="CQR36" s="14"/>
      <c r="CQS36" s="14"/>
      <c r="CQT36" s="14"/>
      <c r="CQU36" s="14"/>
      <c r="CQV36" s="14"/>
      <c r="CQW36" s="14"/>
      <c r="CQX36" s="14"/>
      <c r="CQY36" s="14"/>
      <c r="CQZ36" s="14"/>
      <c r="CRA36" s="14"/>
      <c r="CRB36" s="14"/>
      <c r="CRC36" s="14"/>
      <c r="CRD36" s="14"/>
      <c r="CRE36" s="14"/>
      <c r="CRF36" s="14"/>
      <c r="CRG36" s="14"/>
      <c r="CRH36" s="14"/>
      <c r="CRI36" s="14"/>
      <c r="CRJ36" s="14"/>
      <c r="CRK36" s="14"/>
      <c r="CRL36" s="14"/>
      <c r="CRM36" s="14"/>
      <c r="CRN36" s="14"/>
      <c r="CRO36" s="14"/>
      <c r="CRP36" s="14"/>
      <c r="CRQ36" s="14"/>
      <c r="CRR36" s="14"/>
      <c r="CRS36" s="14"/>
      <c r="CRT36" s="14"/>
      <c r="CRU36" s="14"/>
      <c r="CRV36" s="14"/>
      <c r="CRW36" s="14"/>
      <c r="CRX36" s="14"/>
      <c r="CRY36" s="14"/>
      <c r="CRZ36" s="14"/>
      <c r="CSA36" s="14"/>
      <c r="CSB36" s="14"/>
      <c r="CSC36" s="14"/>
      <c r="CSD36" s="14"/>
      <c r="CSE36" s="14"/>
      <c r="CSF36" s="14"/>
      <c r="CSG36" s="14"/>
      <c r="CSH36" s="14"/>
      <c r="CSI36" s="14"/>
      <c r="CSJ36" s="14"/>
      <c r="CSK36" s="14"/>
      <c r="CSL36" s="14"/>
      <c r="CSM36" s="14"/>
      <c r="CSN36" s="14"/>
      <c r="CSO36" s="14"/>
      <c r="CSP36" s="14"/>
      <c r="CSQ36" s="14"/>
      <c r="CSR36" s="14"/>
      <c r="CSS36" s="14"/>
      <c r="CST36" s="14"/>
      <c r="CSU36" s="14"/>
      <c r="CSV36" s="14"/>
      <c r="CSW36" s="14"/>
      <c r="CSX36" s="14"/>
      <c r="CSY36" s="14"/>
      <c r="CSZ36" s="14"/>
      <c r="CTA36" s="14"/>
      <c r="CTB36" s="14"/>
      <c r="CTC36" s="14"/>
      <c r="CTD36" s="14"/>
      <c r="CTE36" s="14"/>
      <c r="CTF36" s="14"/>
      <c r="CTG36" s="14"/>
      <c r="CTH36" s="14"/>
      <c r="CTI36" s="14"/>
      <c r="CTJ36" s="14"/>
      <c r="CTK36" s="14"/>
      <c r="CTL36" s="14"/>
      <c r="CTM36" s="14"/>
      <c r="CTN36" s="14"/>
      <c r="CTO36" s="14"/>
      <c r="CTP36" s="14"/>
      <c r="CTQ36" s="14"/>
      <c r="CTR36" s="14"/>
      <c r="CTS36" s="14"/>
      <c r="CTT36" s="14"/>
      <c r="CTU36" s="14"/>
      <c r="CTV36" s="14"/>
      <c r="CTW36" s="14"/>
      <c r="CTX36" s="14"/>
      <c r="CTY36" s="14"/>
      <c r="CTZ36" s="14"/>
      <c r="CUA36" s="14"/>
      <c r="CUB36" s="14"/>
      <c r="CUC36" s="14"/>
      <c r="CUD36" s="14"/>
      <c r="CUE36" s="14"/>
      <c r="CUF36" s="14"/>
      <c r="CUG36" s="14"/>
      <c r="CUH36" s="14"/>
      <c r="CUI36" s="14"/>
      <c r="CUJ36" s="14"/>
      <c r="CUK36" s="14"/>
      <c r="CUL36" s="14"/>
      <c r="CUM36" s="14"/>
      <c r="CUN36" s="14"/>
      <c r="CUO36" s="14"/>
      <c r="CUP36" s="14"/>
      <c r="CUQ36" s="14"/>
      <c r="CUR36" s="14"/>
      <c r="CUS36" s="14"/>
      <c r="CUT36" s="14"/>
      <c r="CUU36" s="14"/>
      <c r="CUV36" s="14"/>
      <c r="CUW36" s="14"/>
      <c r="CUX36" s="14"/>
      <c r="CUY36" s="14"/>
      <c r="CUZ36" s="14"/>
      <c r="CVA36" s="14"/>
      <c r="CVB36" s="14"/>
      <c r="CVC36" s="14"/>
      <c r="CVD36" s="14"/>
      <c r="CVE36" s="14"/>
      <c r="CVF36" s="14"/>
      <c r="CVG36" s="14"/>
      <c r="CVH36" s="14"/>
      <c r="CVI36" s="14"/>
      <c r="CVJ36" s="14"/>
      <c r="CVK36" s="14"/>
      <c r="CVL36" s="14"/>
      <c r="CVM36" s="14"/>
      <c r="CVN36" s="14"/>
      <c r="CVO36" s="14"/>
      <c r="CVP36" s="14"/>
      <c r="CVQ36" s="14"/>
      <c r="CVR36" s="14"/>
      <c r="CVS36" s="14"/>
      <c r="CVT36" s="14"/>
      <c r="CVU36" s="14"/>
      <c r="CVV36" s="14"/>
      <c r="CVW36" s="14"/>
      <c r="CVX36" s="14"/>
      <c r="CVY36" s="14"/>
      <c r="CVZ36" s="14"/>
      <c r="CWA36" s="14"/>
      <c r="CWB36" s="14"/>
      <c r="CWC36" s="14"/>
      <c r="CWD36" s="14"/>
      <c r="CWE36" s="14"/>
      <c r="CWF36" s="14"/>
      <c r="CWG36" s="14"/>
      <c r="CWH36" s="14"/>
      <c r="CWI36" s="14"/>
      <c r="CWJ36" s="14"/>
      <c r="CWK36" s="14"/>
      <c r="CWL36" s="14"/>
      <c r="CWM36" s="14"/>
      <c r="CWN36" s="14"/>
      <c r="CWO36" s="14"/>
      <c r="CWP36" s="14"/>
      <c r="CWQ36" s="14"/>
      <c r="CWR36" s="14"/>
      <c r="CWS36" s="14"/>
      <c r="CWT36" s="14"/>
      <c r="CWU36" s="14"/>
      <c r="CWV36" s="14"/>
      <c r="CWW36" s="14"/>
      <c r="CWX36" s="14"/>
      <c r="CWY36" s="14"/>
      <c r="CWZ36" s="14"/>
      <c r="CXA36" s="14"/>
      <c r="CXB36" s="14"/>
      <c r="CXC36" s="14"/>
      <c r="CXD36" s="14"/>
      <c r="CXE36" s="14"/>
      <c r="CXF36" s="14"/>
      <c r="CXG36" s="14"/>
      <c r="CXH36" s="14"/>
      <c r="CXI36" s="14"/>
      <c r="CXJ36" s="14"/>
      <c r="CXK36" s="14"/>
      <c r="CXL36" s="14"/>
      <c r="CXM36" s="14"/>
      <c r="CXN36" s="14"/>
      <c r="CXO36" s="14"/>
      <c r="CXP36" s="14"/>
      <c r="CXQ36" s="14"/>
      <c r="CXR36" s="14"/>
      <c r="CXS36" s="14"/>
      <c r="CXT36" s="14"/>
      <c r="CXU36" s="14"/>
      <c r="CXV36" s="14"/>
      <c r="CXW36" s="14"/>
      <c r="CXX36" s="14"/>
      <c r="CXY36" s="14"/>
      <c r="CXZ36" s="14"/>
      <c r="CYA36" s="14"/>
      <c r="CYB36" s="14"/>
      <c r="CYC36" s="14"/>
      <c r="CYD36" s="14"/>
      <c r="CYE36" s="14"/>
      <c r="CYF36" s="14"/>
      <c r="CYG36" s="14"/>
      <c r="CYH36" s="14"/>
      <c r="CYI36" s="14"/>
      <c r="CYJ36" s="14"/>
      <c r="CYK36" s="14"/>
      <c r="CYL36" s="14"/>
      <c r="CYM36" s="14"/>
      <c r="CYN36" s="14"/>
      <c r="CYO36" s="14"/>
      <c r="CYP36" s="14"/>
      <c r="CYQ36" s="14"/>
      <c r="CYR36" s="14"/>
      <c r="CYS36" s="14"/>
      <c r="CYT36" s="14"/>
      <c r="CYU36" s="14"/>
      <c r="CYV36" s="14"/>
      <c r="CYW36" s="14"/>
      <c r="CYX36" s="14"/>
      <c r="CYY36" s="14"/>
      <c r="CYZ36" s="14"/>
      <c r="CZA36" s="14"/>
      <c r="CZB36" s="14"/>
      <c r="CZC36" s="14"/>
      <c r="CZD36" s="14"/>
      <c r="CZE36" s="14"/>
      <c r="CZF36" s="14"/>
      <c r="CZG36" s="14"/>
      <c r="CZH36" s="14"/>
      <c r="CZI36" s="14"/>
      <c r="CZJ36" s="14"/>
      <c r="CZK36" s="14"/>
      <c r="CZL36" s="14"/>
      <c r="CZM36" s="14"/>
      <c r="CZN36" s="14"/>
      <c r="CZO36" s="14"/>
      <c r="CZP36" s="14"/>
      <c r="CZQ36" s="14"/>
      <c r="CZR36" s="14"/>
      <c r="CZS36" s="14"/>
      <c r="CZT36" s="14"/>
      <c r="CZU36" s="14"/>
      <c r="CZV36" s="14"/>
      <c r="CZW36" s="14"/>
      <c r="CZX36" s="14"/>
      <c r="CZY36" s="14"/>
      <c r="CZZ36" s="14"/>
      <c r="DAA36" s="14"/>
      <c r="DAB36" s="14"/>
      <c r="DAC36" s="14"/>
      <c r="DAD36" s="14"/>
      <c r="DAE36" s="14"/>
      <c r="DAF36" s="14"/>
      <c r="DAG36" s="14"/>
      <c r="DAH36" s="14"/>
      <c r="DAI36" s="14"/>
      <c r="DAJ36" s="14"/>
      <c r="DAK36" s="14"/>
      <c r="DAL36" s="14"/>
      <c r="DAM36" s="14"/>
      <c r="DAN36" s="14"/>
      <c r="DAO36" s="14"/>
      <c r="DAP36" s="14"/>
      <c r="DAQ36" s="14"/>
      <c r="DAR36" s="14"/>
      <c r="DAS36" s="14"/>
      <c r="DAT36" s="14"/>
      <c r="DAU36" s="14"/>
      <c r="DAV36" s="14"/>
      <c r="DAW36" s="14"/>
      <c r="DAX36" s="14"/>
      <c r="DAY36" s="14"/>
      <c r="DAZ36" s="14"/>
      <c r="DBA36" s="14"/>
      <c r="DBB36" s="14"/>
      <c r="DBC36" s="14"/>
      <c r="DBD36" s="14"/>
      <c r="DBE36" s="14"/>
      <c r="DBF36" s="14"/>
      <c r="DBG36" s="14"/>
      <c r="DBH36" s="14"/>
      <c r="DBI36" s="14"/>
      <c r="DBJ36" s="14"/>
      <c r="DBK36" s="14"/>
      <c r="DBL36" s="14"/>
      <c r="DBM36" s="14"/>
      <c r="DBN36" s="14"/>
      <c r="DBO36" s="14"/>
      <c r="DBP36" s="14"/>
      <c r="DBQ36" s="14"/>
      <c r="DBR36" s="14"/>
      <c r="DBS36" s="14"/>
      <c r="DBT36" s="14"/>
      <c r="DBU36" s="14"/>
      <c r="DBV36" s="14"/>
      <c r="DBW36" s="14"/>
      <c r="DBX36" s="14"/>
      <c r="DBY36" s="14"/>
      <c r="DBZ36" s="14"/>
      <c r="DCA36" s="14"/>
      <c r="DCB36" s="14"/>
      <c r="DCC36" s="14"/>
      <c r="DCD36" s="14"/>
      <c r="DCE36" s="14"/>
      <c r="DCF36" s="14"/>
      <c r="DCG36" s="14"/>
      <c r="DCH36" s="14"/>
      <c r="DCI36" s="14"/>
      <c r="DCJ36" s="14"/>
      <c r="DCK36" s="14"/>
      <c r="DCL36" s="14"/>
      <c r="DCM36" s="14"/>
      <c r="DCN36" s="14"/>
      <c r="DCO36" s="14"/>
      <c r="DCP36" s="14"/>
      <c r="DCQ36" s="14"/>
      <c r="DCR36" s="14"/>
      <c r="DCS36" s="14"/>
      <c r="DCT36" s="14"/>
      <c r="DCU36" s="14"/>
      <c r="DCV36" s="14"/>
      <c r="DCW36" s="14"/>
      <c r="DCX36" s="14"/>
      <c r="DCY36" s="14"/>
      <c r="DCZ36" s="14"/>
      <c r="DDA36" s="14"/>
      <c r="DDB36" s="14"/>
      <c r="DDC36" s="14"/>
      <c r="DDD36" s="14"/>
      <c r="DDE36" s="14"/>
      <c r="DDF36" s="14"/>
      <c r="DDG36" s="14"/>
      <c r="DDH36" s="14"/>
      <c r="DDI36" s="14"/>
      <c r="DDJ36" s="14"/>
      <c r="DDK36" s="14"/>
      <c r="DDL36" s="14"/>
      <c r="DDM36" s="14"/>
      <c r="DDN36" s="14"/>
      <c r="DDO36" s="14"/>
      <c r="DDP36" s="14"/>
      <c r="DDQ36" s="14"/>
      <c r="DDR36" s="14"/>
      <c r="DDS36" s="14"/>
      <c r="DDT36" s="14"/>
      <c r="DDU36" s="14"/>
      <c r="DDV36" s="14"/>
      <c r="DDW36" s="14"/>
      <c r="DDX36" s="14"/>
      <c r="DDY36" s="14"/>
      <c r="DDZ36" s="14"/>
      <c r="DEA36" s="14"/>
      <c r="DEB36" s="14"/>
      <c r="DEC36" s="14"/>
      <c r="DED36" s="14"/>
      <c r="DEE36" s="14"/>
      <c r="DEF36" s="14"/>
      <c r="DEG36" s="14"/>
      <c r="DEH36" s="14"/>
      <c r="DEI36" s="14"/>
      <c r="DEJ36" s="14"/>
      <c r="DEK36" s="14"/>
      <c r="DEL36" s="14"/>
      <c r="DEM36" s="14"/>
      <c r="DEN36" s="14"/>
      <c r="DEO36" s="14"/>
      <c r="DEP36" s="14"/>
      <c r="DEQ36" s="14"/>
      <c r="DER36" s="14"/>
      <c r="DES36" s="14"/>
      <c r="DET36" s="14"/>
      <c r="DEU36" s="14"/>
      <c r="DEV36" s="14"/>
      <c r="DEW36" s="14"/>
      <c r="DEX36" s="14"/>
      <c r="DEY36" s="14"/>
      <c r="DEZ36" s="14"/>
      <c r="DFA36" s="14"/>
      <c r="DFB36" s="14"/>
      <c r="DFC36" s="14"/>
      <c r="DFD36" s="14"/>
      <c r="DFE36" s="14"/>
      <c r="DFF36" s="14"/>
      <c r="DFG36" s="14"/>
      <c r="DFH36" s="14"/>
      <c r="DFI36" s="14"/>
      <c r="DFJ36" s="14"/>
      <c r="DFK36" s="14"/>
      <c r="DFL36" s="14"/>
      <c r="DFM36" s="14"/>
      <c r="DFN36" s="14"/>
      <c r="DFO36" s="14"/>
      <c r="DFP36" s="14"/>
      <c r="DFQ36" s="14"/>
      <c r="DFR36" s="14"/>
      <c r="DFS36" s="14"/>
      <c r="DFT36" s="14"/>
      <c r="DFU36" s="14"/>
      <c r="DFV36" s="14"/>
      <c r="DFW36" s="14"/>
      <c r="DFX36" s="14"/>
      <c r="DFY36" s="14"/>
      <c r="DFZ36" s="14"/>
      <c r="DGA36" s="14"/>
      <c r="DGB36" s="14"/>
      <c r="DGC36" s="14"/>
      <c r="DGD36" s="14"/>
      <c r="DGE36" s="14"/>
      <c r="DGF36" s="14"/>
      <c r="DGG36" s="14"/>
      <c r="DGH36" s="14"/>
      <c r="DGI36" s="14"/>
      <c r="DGJ36" s="14"/>
      <c r="DGK36" s="14"/>
      <c r="DGL36" s="14"/>
      <c r="DGM36" s="14"/>
      <c r="DGN36" s="14"/>
      <c r="DGO36" s="14"/>
      <c r="DGP36" s="14"/>
      <c r="DGQ36" s="14"/>
      <c r="DGR36" s="14"/>
      <c r="DGS36" s="14"/>
      <c r="DGT36" s="14"/>
      <c r="DGU36" s="14"/>
      <c r="DGV36" s="14"/>
      <c r="DGW36" s="14"/>
      <c r="DGX36" s="14"/>
      <c r="DGY36" s="14"/>
      <c r="DGZ36" s="14"/>
      <c r="DHA36" s="14"/>
      <c r="DHB36" s="14"/>
      <c r="DHC36" s="14"/>
      <c r="DHD36" s="14"/>
      <c r="DHE36" s="14"/>
      <c r="DHF36" s="14"/>
      <c r="DHG36" s="14"/>
      <c r="DHH36" s="14"/>
      <c r="DHI36" s="14"/>
      <c r="DHJ36" s="14"/>
      <c r="DHK36" s="14"/>
      <c r="DHL36" s="14"/>
      <c r="DHM36" s="14"/>
      <c r="DHN36" s="14"/>
      <c r="DHO36" s="14"/>
      <c r="DHP36" s="14"/>
      <c r="DHQ36" s="14"/>
      <c r="DHR36" s="14"/>
      <c r="DHS36" s="14"/>
      <c r="DHT36" s="14"/>
      <c r="DHU36" s="14"/>
      <c r="DHV36" s="14"/>
      <c r="DHW36" s="14"/>
      <c r="DHX36" s="14"/>
      <c r="DHY36" s="14"/>
      <c r="DHZ36" s="14"/>
      <c r="DIA36" s="14"/>
      <c r="DIB36" s="14"/>
      <c r="DIC36" s="14"/>
      <c r="DID36" s="14"/>
      <c r="DIE36" s="14"/>
      <c r="DIF36" s="14"/>
      <c r="DIG36" s="14"/>
      <c r="DIH36" s="14"/>
      <c r="DII36" s="14"/>
      <c r="DIJ36" s="14"/>
      <c r="DIK36" s="14"/>
      <c r="DIL36" s="14"/>
      <c r="DIM36" s="14"/>
      <c r="DIN36" s="14"/>
      <c r="DIO36" s="14"/>
      <c r="DIP36" s="14"/>
      <c r="DIQ36" s="14"/>
      <c r="DIR36" s="14"/>
      <c r="DIS36" s="14"/>
      <c r="DIT36" s="14"/>
      <c r="DIU36" s="14"/>
      <c r="DIV36" s="14"/>
      <c r="DIW36" s="14"/>
      <c r="DIX36" s="14"/>
      <c r="DIY36" s="14"/>
      <c r="DIZ36" s="14"/>
      <c r="DJA36" s="14"/>
      <c r="DJB36" s="14"/>
      <c r="DJC36" s="14"/>
      <c r="DJD36" s="14"/>
      <c r="DJE36" s="14"/>
      <c r="DJF36" s="14"/>
      <c r="DJG36" s="14"/>
      <c r="DJH36" s="14"/>
      <c r="DJI36" s="14"/>
      <c r="DJJ36" s="14"/>
      <c r="DJK36" s="14"/>
      <c r="DJL36" s="14"/>
      <c r="DJM36" s="14"/>
      <c r="DJN36" s="14"/>
      <c r="DJO36" s="14"/>
      <c r="DJP36" s="14"/>
      <c r="DJQ36" s="14"/>
      <c r="DJR36" s="14"/>
      <c r="DJS36" s="14"/>
      <c r="DJT36" s="14"/>
      <c r="DJU36" s="14"/>
      <c r="DJV36" s="14"/>
      <c r="DJW36" s="14"/>
      <c r="DJX36" s="14"/>
      <c r="DJY36" s="14"/>
      <c r="DJZ36" s="14"/>
      <c r="DKA36" s="14"/>
      <c r="DKB36" s="14"/>
      <c r="DKC36" s="14"/>
      <c r="DKD36" s="14"/>
      <c r="DKE36" s="14"/>
      <c r="DKF36" s="14"/>
      <c r="DKG36" s="14"/>
      <c r="DKH36" s="14"/>
      <c r="DKI36" s="14"/>
      <c r="DKJ36" s="14"/>
      <c r="DKK36" s="14"/>
      <c r="DKL36" s="14"/>
      <c r="DKM36" s="14"/>
      <c r="DKN36" s="14"/>
      <c r="DKO36" s="14"/>
      <c r="DKP36" s="14"/>
      <c r="DKQ36" s="14"/>
      <c r="DKR36" s="14"/>
      <c r="DKS36" s="14"/>
      <c r="DKT36" s="14"/>
      <c r="DKU36" s="14"/>
      <c r="DKV36" s="14"/>
      <c r="DKW36" s="14"/>
      <c r="DKX36" s="14"/>
      <c r="DKY36" s="14"/>
      <c r="DKZ36" s="14"/>
      <c r="DLA36" s="14"/>
      <c r="DLB36" s="14"/>
      <c r="DLC36" s="14"/>
      <c r="DLD36" s="14"/>
      <c r="DLE36" s="14"/>
      <c r="DLF36" s="14"/>
      <c r="DLG36" s="14"/>
      <c r="DLH36" s="14"/>
      <c r="DLI36" s="14"/>
      <c r="DLJ36" s="14"/>
      <c r="DLK36" s="14"/>
      <c r="DLL36" s="14"/>
      <c r="DLM36" s="14"/>
      <c r="DLN36" s="14"/>
      <c r="DLO36" s="14"/>
      <c r="DLP36" s="14"/>
      <c r="DLQ36" s="14"/>
      <c r="DLR36" s="14"/>
      <c r="DLS36" s="14"/>
      <c r="DLT36" s="14"/>
      <c r="DLU36" s="14"/>
      <c r="DLV36" s="14"/>
      <c r="DLW36" s="14"/>
      <c r="DLX36" s="14"/>
      <c r="DLY36" s="14"/>
      <c r="DLZ36" s="14"/>
      <c r="DMA36" s="14"/>
      <c r="DMB36" s="14"/>
      <c r="DMC36" s="14"/>
      <c r="DMD36" s="14"/>
      <c r="DME36" s="14"/>
      <c r="DMF36" s="14"/>
      <c r="DMG36" s="14"/>
      <c r="DMH36" s="14"/>
      <c r="DMI36" s="14"/>
      <c r="DMJ36" s="14"/>
      <c r="DMK36" s="14"/>
      <c r="DML36" s="14"/>
      <c r="DMM36" s="14"/>
      <c r="DMN36" s="14"/>
      <c r="DMO36" s="14"/>
      <c r="DMP36" s="14"/>
      <c r="DMQ36" s="14"/>
      <c r="DMR36" s="14"/>
      <c r="DMS36" s="14"/>
      <c r="DMT36" s="14"/>
      <c r="DMU36" s="14"/>
      <c r="DMV36" s="14"/>
      <c r="DMW36" s="14"/>
      <c r="DMX36" s="14"/>
      <c r="DMY36" s="14"/>
      <c r="DMZ36" s="14"/>
      <c r="DNA36" s="14"/>
      <c r="DNB36" s="14"/>
      <c r="DNC36" s="14"/>
      <c r="DND36" s="14"/>
      <c r="DNE36" s="14"/>
      <c r="DNF36" s="14"/>
      <c r="DNG36" s="14"/>
      <c r="DNH36" s="14"/>
      <c r="DNI36" s="14"/>
      <c r="DNJ36" s="14"/>
      <c r="DNK36" s="14"/>
      <c r="DNL36" s="14"/>
      <c r="DNM36" s="14"/>
      <c r="DNN36" s="14"/>
      <c r="DNO36" s="14"/>
      <c r="DNP36" s="14"/>
      <c r="DNQ36" s="14"/>
      <c r="DNR36" s="14"/>
      <c r="DNS36" s="14"/>
      <c r="DNT36" s="14"/>
      <c r="DNU36" s="14"/>
      <c r="DNV36" s="14"/>
      <c r="DNW36" s="14"/>
      <c r="DNX36" s="14"/>
      <c r="DNY36" s="14"/>
      <c r="DNZ36" s="14"/>
      <c r="DOA36" s="14"/>
      <c r="DOB36" s="14"/>
      <c r="DOC36" s="14"/>
      <c r="DOD36" s="14"/>
      <c r="DOE36" s="14"/>
      <c r="DOF36" s="14"/>
      <c r="DOG36" s="14"/>
      <c r="DOH36" s="14"/>
      <c r="DOI36" s="14"/>
      <c r="DOJ36" s="14"/>
      <c r="DOK36" s="14"/>
      <c r="DOL36" s="14"/>
      <c r="DOM36" s="14"/>
      <c r="DON36" s="14"/>
      <c r="DOO36" s="14"/>
      <c r="DOP36" s="14"/>
      <c r="DOQ36" s="14"/>
      <c r="DOR36" s="14"/>
      <c r="DOS36" s="14"/>
      <c r="DOT36" s="14"/>
      <c r="DOU36" s="14"/>
      <c r="DOV36" s="14"/>
      <c r="DOW36" s="14"/>
      <c r="DOX36" s="14"/>
      <c r="DOY36" s="14"/>
      <c r="DOZ36" s="14"/>
      <c r="DPA36" s="14"/>
      <c r="DPB36" s="14"/>
      <c r="DPC36" s="14"/>
      <c r="DPD36" s="14"/>
      <c r="DPE36" s="14"/>
      <c r="DPF36" s="14"/>
      <c r="DPG36" s="14"/>
      <c r="DPH36" s="14"/>
      <c r="DPI36" s="14"/>
      <c r="DPJ36" s="14"/>
      <c r="DPK36" s="14"/>
      <c r="DPL36" s="14"/>
      <c r="DPM36" s="14"/>
      <c r="DPN36" s="14"/>
      <c r="DPO36" s="14"/>
      <c r="DPP36" s="14"/>
      <c r="DPQ36" s="14"/>
      <c r="DPR36" s="14"/>
      <c r="DPS36" s="14"/>
      <c r="DPT36" s="14"/>
      <c r="DPU36" s="14"/>
      <c r="DPV36" s="14"/>
      <c r="DPW36" s="14"/>
      <c r="DPX36" s="14"/>
      <c r="DPY36" s="14"/>
      <c r="DPZ36" s="14"/>
      <c r="DQA36" s="14"/>
      <c r="DQB36" s="14"/>
      <c r="DQC36" s="14"/>
      <c r="DQD36" s="14"/>
      <c r="DQE36" s="14"/>
      <c r="DQF36" s="14"/>
      <c r="DQG36" s="14"/>
      <c r="DQH36" s="14"/>
      <c r="DQI36" s="14"/>
      <c r="DQJ36" s="14"/>
      <c r="DQK36" s="14"/>
      <c r="DQL36" s="14"/>
      <c r="DQM36" s="14"/>
      <c r="DQN36" s="14"/>
      <c r="DQO36" s="14"/>
      <c r="DQP36" s="14"/>
      <c r="DQQ36" s="14"/>
      <c r="DQR36" s="14"/>
      <c r="DQS36" s="14"/>
      <c r="DQT36" s="14"/>
      <c r="DQU36" s="14"/>
      <c r="DQV36" s="14"/>
      <c r="DQW36" s="14"/>
      <c r="DQX36" s="14"/>
      <c r="DQY36" s="14"/>
      <c r="DQZ36" s="14"/>
      <c r="DRA36" s="14"/>
      <c r="DRB36" s="14"/>
      <c r="DRC36" s="14"/>
      <c r="DRD36" s="14"/>
      <c r="DRE36" s="14"/>
      <c r="DRF36" s="14"/>
      <c r="DRG36" s="14"/>
      <c r="DRH36" s="14"/>
      <c r="DRI36" s="14"/>
      <c r="DRJ36" s="14"/>
      <c r="DRK36" s="14"/>
      <c r="DRL36" s="14"/>
      <c r="DRM36" s="14"/>
      <c r="DRN36" s="14"/>
      <c r="DRO36" s="14"/>
      <c r="DRP36" s="14"/>
      <c r="DRQ36" s="14"/>
      <c r="DRR36" s="14"/>
      <c r="DRS36" s="14"/>
      <c r="DRT36" s="14"/>
      <c r="DRU36" s="14"/>
      <c r="DRV36" s="14"/>
      <c r="DRW36" s="14"/>
      <c r="DRX36" s="14"/>
      <c r="DRY36" s="14"/>
      <c r="DRZ36" s="14"/>
      <c r="DSA36" s="14"/>
      <c r="DSB36" s="14"/>
      <c r="DSC36" s="14"/>
      <c r="DSD36" s="14"/>
      <c r="DSE36" s="14"/>
      <c r="DSF36" s="14"/>
      <c r="DSG36" s="14"/>
      <c r="DSH36" s="14"/>
      <c r="DSI36" s="14"/>
      <c r="DSJ36" s="14"/>
      <c r="DSK36" s="14"/>
      <c r="DSL36" s="14"/>
      <c r="DSM36" s="14"/>
      <c r="DSN36" s="14"/>
      <c r="DSO36" s="14"/>
      <c r="DSP36" s="14"/>
      <c r="DSQ36" s="14"/>
      <c r="DSR36" s="14"/>
      <c r="DSS36" s="14"/>
      <c r="DST36" s="14"/>
      <c r="DSU36" s="14"/>
      <c r="DSV36" s="14"/>
      <c r="DSW36" s="14"/>
      <c r="DSX36" s="14"/>
      <c r="DSY36" s="14"/>
      <c r="DSZ36" s="14"/>
      <c r="DTA36" s="14"/>
      <c r="DTB36" s="14"/>
      <c r="DTC36" s="14"/>
      <c r="DTD36" s="14"/>
      <c r="DTE36" s="14"/>
      <c r="DTF36" s="14"/>
      <c r="DTG36" s="14"/>
      <c r="DTH36" s="14"/>
      <c r="DTI36" s="14"/>
      <c r="DTJ36" s="14"/>
      <c r="DTK36" s="14"/>
      <c r="DTL36" s="14"/>
      <c r="DTM36" s="14"/>
      <c r="DTN36" s="14"/>
      <c r="DTO36" s="14"/>
      <c r="DTP36" s="14"/>
      <c r="DTQ36" s="14"/>
      <c r="DTR36" s="14"/>
      <c r="DTS36" s="14"/>
      <c r="DTT36" s="14"/>
      <c r="DTU36" s="14"/>
      <c r="DTV36" s="14"/>
      <c r="DTW36" s="14"/>
      <c r="DTX36" s="14"/>
      <c r="DTY36" s="14"/>
      <c r="DTZ36" s="14"/>
      <c r="DUA36" s="14"/>
      <c r="DUB36" s="14"/>
      <c r="DUC36" s="14"/>
      <c r="DUD36" s="14"/>
      <c r="DUE36" s="14"/>
      <c r="DUF36" s="14"/>
      <c r="DUG36" s="14"/>
      <c r="DUH36" s="14"/>
      <c r="DUI36" s="14"/>
      <c r="DUJ36" s="14"/>
      <c r="DUK36" s="14"/>
      <c r="DUL36" s="14"/>
      <c r="DUM36" s="14"/>
      <c r="DUN36" s="14"/>
      <c r="DUO36" s="14"/>
      <c r="DUP36" s="14"/>
      <c r="DUQ36" s="14"/>
      <c r="DUR36" s="14"/>
      <c r="DUS36" s="14"/>
      <c r="DUT36" s="14"/>
      <c r="DUU36" s="14"/>
      <c r="DUV36" s="14"/>
      <c r="DUW36" s="14"/>
      <c r="DUX36" s="14"/>
      <c r="DUY36" s="14"/>
      <c r="DUZ36" s="14"/>
      <c r="DVA36" s="14"/>
      <c r="DVB36" s="14"/>
      <c r="DVC36" s="14"/>
      <c r="DVD36" s="14"/>
      <c r="DVE36" s="14"/>
      <c r="DVF36" s="14"/>
      <c r="DVG36" s="14"/>
      <c r="DVH36" s="14"/>
      <c r="DVI36" s="14"/>
      <c r="DVJ36" s="14"/>
      <c r="DVK36" s="14"/>
      <c r="DVL36" s="14"/>
      <c r="DVM36" s="14"/>
      <c r="DVN36" s="14"/>
      <c r="DVO36" s="14"/>
      <c r="DVP36" s="14"/>
      <c r="DVQ36" s="14"/>
      <c r="DVR36" s="14"/>
      <c r="DVS36" s="14"/>
      <c r="DVT36" s="14"/>
      <c r="DVU36" s="14"/>
      <c r="DVV36" s="14"/>
      <c r="DVW36" s="14"/>
      <c r="DVX36" s="14"/>
      <c r="DVY36" s="14"/>
      <c r="DVZ36" s="14"/>
      <c r="DWA36" s="14"/>
      <c r="DWB36" s="14"/>
      <c r="DWC36" s="14"/>
      <c r="DWD36" s="14"/>
      <c r="DWE36" s="14"/>
      <c r="DWF36" s="14"/>
      <c r="DWG36" s="14"/>
      <c r="DWH36" s="14"/>
      <c r="DWI36" s="14"/>
      <c r="DWJ36" s="14"/>
      <c r="DWK36" s="14"/>
      <c r="DWL36" s="14"/>
      <c r="DWM36" s="14"/>
      <c r="DWN36" s="14"/>
      <c r="DWO36" s="14"/>
      <c r="DWP36" s="14"/>
      <c r="DWQ36" s="14"/>
      <c r="DWR36" s="14"/>
      <c r="DWS36" s="14"/>
      <c r="DWT36" s="14"/>
      <c r="DWU36" s="14"/>
      <c r="DWV36" s="14"/>
      <c r="DWW36" s="14"/>
      <c r="DWX36" s="14"/>
      <c r="DWY36" s="14"/>
      <c r="DWZ36" s="14"/>
      <c r="DXA36" s="14"/>
      <c r="DXB36" s="14"/>
      <c r="DXC36" s="14"/>
      <c r="DXD36" s="14"/>
      <c r="DXE36" s="14"/>
      <c r="DXF36" s="14"/>
      <c r="DXG36" s="14"/>
      <c r="DXH36" s="14"/>
      <c r="DXI36" s="14"/>
      <c r="DXJ36" s="14"/>
      <c r="DXK36" s="14"/>
      <c r="DXL36" s="14"/>
      <c r="DXM36" s="14"/>
      <c r="DXN36" s="14"/>
      <c r="DXO36" s="14"/>
      <c r="DXP36" s="14"/>
      <c r="DXQ36" s="14"/>
      <c r="DXR36" s="14"/>
      <c r="DXS36" s="14"/>
      <c r="DXT36" s="14"/>
      <c r="DXU36" s="14"/>
      <c r="DXV36" s="14"/>
      <c r="DXW36" s="14"/>
      <c r="DXX36" s="14"/>
      <c r="DXY36" s="14"/>
      <c r="DXZ36" s="14"/>
      <c r="DYA36" s="14"/>
      <c r="DYB36" s="14"/>
      <c r="DYC36" s="14"/>
      <c r="DYD36" s="14"/>
      <c r="DYE36" s="14"/>
      <c r="DYF36" s="14"/>
      <c r="DYG36" s="14"/>
      <c r="DYH36" s="14"/>
      <c r="DYI36" s="14"/>
      <c r="DYJ36" s="14"/>
      <c r="DYK36" s="14"/>
      <c r="DYL36" s="14"/>
      <c r="DYM36" s="14"/>
      <c r="DYN36" s="14"/>
      <c r="DYO36" s="14"/>
      <c r="DYP36" s="14"/>
      <c r="DYQ36" s="14"/>
      <c r="DYR36" s="14"/>
      <c r="DYS36" s="14"/>
      <c r="DYT36" s="14"/>
      <c r="DYU36" s="14"/>
      <c r="DYV36" s="14"/>
      <c r="DYW36" s="14"/>
      <c r="DYX36" s="14"/>
      <c r="DYY36" s="14"/>
      <c r="DYZ36" s="14"/>
      <c r="DZA36" s="14"/>
      <c r="DZB36" s="14"/>
      <c r="DZC36" s="14"/>
      <c r="DZD36" s="14"/>
      <c r="DZE36" s="14"/>
      <c r="DZF36" s="14"/>
      <c r="DZG36" s="14"/>
      <c r="DZH36" s="14"/>
      <c r="DZI36" s="14"/>
      <c r="DZJ36" s="14"/>
      <c r="DZK36" s="14"/>
      <c r="DZL36" s="14"/>
      <c r="DZM36" s="14"/>
      <c r="DZN36" s="14"/>
      <c r="DZO36" s="14"/>
      <c r="DZP36" s="14"/>
      <c r="DZQ36" s="14"/>
      <c r="DZR36" s="14"/>
      <c r="DZS36" s="14"/>
      <c r="DZT36" s="14"/>
      <c r="DZU36" s="14"/>
      <c r="DZV36" s="14"/>
      <c r="DZW36" s="14"/>
      <c r="DZX36" s="14"/>
      <c r="DZY36" s="14"/>
      <c r="DZZ36" s="14"/>
      <c r="EAA36" s="14"/>
      <c r="EAB36" s="14"/>
      <c r="EAC36" s="14"/>
      <c r="EAD36" s="14"/>
      <c r="EAE36" s="14"/>
      <c r="EAF36" s="14"/>
      <c r="EAG36" s="14"/>
      <c r="EAH36" s="14"/>
      <c r="EAI36" s="14"/>
      <c r="EAJ36" s="14"/>
      <c r="EAK36" s="14"/>
      <c r="EAL36" s="14"/>
      <c r="EAM36" s="14"/>
      <c r="EAN36" s="14"/>
      <c r="EAO36" s="14"/>
      <c r="EAP36" s="14"/>
      <c r="EAQ36" s="14"/>
      <c r="EAR36" s="14"/>
      <c r="EAS36" s="14"/>
      <c r="EAT36" s="14"/>
      <c r="EAU36" s="14"/>
      <c r="EAV36" s="14"/>
      <c r="EAW36" s="14"/>
      <c r="EAX36" s="14"/>
      <c r="EAY36" s="14"/>
      <c r="EAZ36" s="14"/>
      <c r="EBA36" s="14"/>
      <c r="EBB36" s="14"/>
      <c r="EBC36" s="14"/>
      <c r="EBD36" s="14"/>
      <c r="EBE36" s="14"/>
      <c r="EBF36" s="14"/>
      <c r="EBG36" s="14"/>
      <c r="EBH36" s="14"/>
      <c r="EBI36" s="14"/>
      <c r="EBJ36" s="14"/>
      <c r="EBK36" s="14"/>
      <c r="EBL36" s="14"/>
      <c r="EBM36" s="14"/>
      <c r="EBN36" s="14"/>
      <c r="EBO36" s="14"/>
      <c r="EBP36" s="14"/>
      <c r="EBQ36" s="14"/>
      <c r="EBR36" s="14"/>
      <c r="EBS36" s="14"/>
      <c r="EBT36" s="14"/>
      <c r="EBU36" s="14"/>
      <c r="EBV36" s="14"/>
      <c r="EBW36" s="14"/>
      <c r="EBX36" s="14"/>
      <c r="EBY36" s="14"/>
      <c r="EBZ36" s="14"/>
      <c r="ECA36" s="14"/>
      <c r="ECB36" s="14"/>
      <c r="ECC36" s="14"/>
      <c r="ECD36" s="14"/>
      <c r="ECE36" s="14"/>
      <c r="ECF36" s="14"/>
      <c r="ECG36" s="14"/>
      <c r="ECH36" s="14"/>
      <c r="ECI36" s="14"/>
      <c r="ECJ36" s="14"/>
      <c r="ECK36" s="14"/>
      <c r="ECL36" s="14"/>
      <c r="ECM36" s="14"/>
      <c r="ECN36" s="14"/>
      <c r="ECO36" s="14"/>
      <c r="ECP36" s="14"/>
      <c r="ECQ36" s="14"/>
      <c r="ECR36" s="14"/>
      <c r="ECS36" s="14"/>
      <c r="ECT36" s="14"/>
      <c r="ECU36" s="14"/>
      <c r="ECV36" s="14"/>
      <c r="ECW36" s="14"/>
      <c r="ECX36" s="14"/>
      <c r="ECY36" s="14"/>
      <c r="ECZ36" s="14"/>
      <c r="EDA36" s="14"/>
      <c r="EDB36" s="14"/>
      <c r="EDC36" s="14"/>
      <c r="EDD36" s="14"/>
      <c r="EDE36" s="14"/>
      <c r="EDF36" s="14"/>
      <c r="EDG36" s="14"/>
      <c r="EDH36" s="14"/>
      <c r="EDI36" s="14"/>
      <c r="EDJ36" s="14"/>
      <c r="EDK36" s="14"/>
      <c r="EDL36" s="14"/>
      <c r="EDM36" s="14"/>
      <c r="EDN36" s="14"/>
      <c r="EDO36" s="14"/>
      <c r="EDP36" s="14"/>
      <c r="EDQ36" s="14"/>
      <c r="EDR36" s="14"/>
      <c r="EDS36" s="14"/>
      <c r="EDT36" s="14"/>
      <c r="EDU36" s="14"/>
      <c r="EDV36" s="14"/>
      <c r="EDW36" s="14"/>
      <c r="EDX36" s="14"/>
      <c r="EDY36" s="14"/>
      <c r="EDZ36" s="14"/>
      <c r="EEA36" s="14"/>
      <c r="EEB36" s="14"/>
      <c r="EEC36" s="14"/>
      <c r="EED36" s="14"/>
      <c r="EEE36" s="14"/>
      <c r="EEF36" s="14"/>
      <c r="EEG36" s="14"/>
      <c r="EEH36" s="14"/>
      <c r="EEI36" s="14"/>
      <c r="EEJ36" s="14"/>
      <c r="EEK36" s="14"/>
      <c r="EEL36" s="14"/>
      <c r="EEM36" s="14"/>
      <c r="EEN36" s="14"/>
      <c r="EEO36" s="14"/>
      <c r="EEP36" s="14"/>
      <c r="EEQ36" s="14"/>
      <c r="EER36" s="14"/>
      <c r="EES36" s="14"/>
      <c r="EET36" s="14"/>
      <c r="EEU36" s="14"/>
      <c r="EEV36" s="14"/>
      <c r="EEW36" s="14"/>
      <c r="EEX36" s="14"/>
      <c r="EEY36" s="14"/>
      <c r="EEZ36" s="14"/>
      <c r="EFA36" s="14"/>
      <c r="EFB36" s="14"/>
      <c r="EFC36" s="14"/>
      <c r="EFD36" s="14"/>
      <c r="EFE36" s="14"/>
      <c r="EFF36" s="14"/>
      <c r="EFG36" s="14"/>
      <c r="EFH36" s="14"/>
      <c r="EFI36" s="14"/>
      <c r="EFJ36" s="14"/>
      <c r="EFK36" s="14"/>
      <c r="EFL36" s="14"/>
      <c r="EFM36" s="14"/>
      <c r="EFN36" s="14"/>
      <c r="EFO36" s="14"/>
      <c r="EFP36" s="14"/>
      <c r="EFQ36" s="14"/>
      <c r="EFR36" s="14"/>
      <c r="EFS36" s="14"/>
      <c r="EFT36" s="14"/>
      <c r="EFU36" s="14"/>
      <c r="EFV36" s="14"/>
      <c r="EFW36" s="14"/>
      <c r="EFX36" s="14"/>
      <c r="EFY36" s="14"/>
      <c r="EFZ36" s="14"/>
      <c r="EGA36" s="14"/>
      <c r="EGB36" s="14"/>
      <c r="EGC36" s="14"/>
      <c r="EGD36" s="14"/>
      <c r="EGE36" s="14"/>
      <c r="EGF36" s="14"/>
      <c r="EGG36" s="14"/>
      <c r="EGH36" s="14"/>
      <c r="EGI36" s="14"/>
      <c r="EGJ36" s="14"/>
      <c r="EGK36" s="14"/>
      <c r="EGL36" s="14"/>
      <c r="EGM36" s="14"/>
      <c r="EGN36" s="14"/>
      <c r="EGO36" s="14"/>
      <c r="EGP36" s="14"/>
      <c r="EGQ36" s="14"/>
      <c r="EGR36" s="14"/>
      <c r="EGS36" s="14"/>
      <c r="EGT36" s="14"/>
      <c r="EGU36" s="14"/>
      <c r="EGV36" s="14"/>
      <c r="EGW36" s="14"/>
      <c r="EGX36" s="14"/>
      <c r="EGY36" s="14"/>
      <c r="EGZ36" s="14"/>
      <c r="EHA36" s="14"/>
      <c r="EHB36" s="14"/>
      <c r="EHC36" s="14"/>
      <c r="EHD36" s="14"/>
      <c r="EHE36" s="14"/>
      <c r="EHF36" s="14"/>
      <c r="EHG36" s="14"/>
      <c r="EHH36" s="14"/>
      <c r="EHI36" s="14"/>
      <c r="EHJ36" s="14"/>
      <c r="EHK36" s="14"/>
      <c r="EHL36" s="14"/>
      <c r="EHM36" s="14"/>
      <c r="EHN36" s="14"/>
      <c r="EHO36" s="14"/>
      <c r="EHP36" s="14"/>
      <c r="EHQ36" s="14"/>
      <c r="EHR36" s="14"/>
      <c r="EHS36" s="14"/>
      <c r="EHT36" s="14"/>
      <c r="EHU36" s="14"/>
      <c r="EHV36" s="14"/>
      <c r="EHW36" s="14"/>
      <c r="EHX36" s="14"/>
      <c r="EHY36" s="14"/>
      <c r="EHZ36" s="14"/>
      <c r="EIA36" s="14"/>
      <c r="EIB36" s="14"/>
      <c r="EIC36" s="14"/>
      <c r="EID36" s="14"/>
      <c r="EIE36" s="14"/>
      <c r="EIF36" s="14"/>
      <c r="EIG36" s="14"/>
      <c r="EIH36" s="14"/>
      <c r="EII36" s="14"/>
      <c r="EIJ36" s="14"/>
      <c r="EIK36" s="14"/>
      <c r="EIL36" s="14"/>
      <c r="EIM36" s="14"/>
      <c r="EIN36" s="14"/>
      <c r="EIO36" s="14"/>
      <c r="EIP36" s="14"/>
      <c r="EIQ36" s="14"/>
      <c r="EIR36" s="14"/>
      <c r="EIS36" s="14"/>
      <c r="EIT36" s="14"/>
      <c r="EIU36" s="14"/>
      <c r="EIV36" s="14"/>
      <c r="EIW36" s="14"/>
      <c r="EIX36" s="14"/>
      <c r="EIY36" s="14"/>
      <c r="EIZ36" s="14"/>
      <c r="EJA36" s="14"/>
      <c r="EJB36" s="14"/>
      <c r="EJC36" s="14"/>
      <c r="EJD36" s="14"/>
      <c r="EJE36" s="14"/>
      <c r="EJF36" s="14"/>
      <c r="EJG36" s="14"/>
      <c r="EJH36" s="14"/>
      <c r="EJI36" s="14"/>
      <c r="EJJ36" s="14"/>
      <c r="EJK36" s="14"/>
      <c r="EJL36" s="14"/>
      <c r="EJM36" s="14"/>
      <c r="EJN36" s="14"/>
      <c r="EJO36" s="14"/>
      <c r="EJP36" s="14"/>
      <c r="EJQ36" s="14"/>
      <c r="EJR36" s="14"/>
      <c r="EJS36" s="14"/>
      <c r="EJT36" s="14"/>
      <c r="EJU36" s="14"/>
      <c r="EJV36" s="14"/>
      <c r="EJW36" s="14"/>
      <c r="EJX36" s="14"/>
      <c r="EJY36" s="14"/>
      <c r="EJZ36" s="14"/>
      <c r="EKA36" s="14"/>
      <c r="EKB36" s="14"/>
      <c r="EKC36" s="14"/>
      <c r="EKD36" s="14"/>
      <c r="EKE36" s="14"/>
      <c r="EKF36" s="14"/>
      <c r="EKG36" s="14"/>
      <c r="EKH36" s="14"/>
      <c r="EKI36" s="14"/>
      <c r="EKJ36" s="14"/>
      <c r="EKK36" s="14"/>
      <c r="EKL36" s="14"/>
      <c r="EKM36" s="14"/>
      <c r="EKN36" s="14"/>
      <c r="EKO36" s="14"/>
      <c r="EKP36" s="14"/>
      <c r="EKQ36" s="14"/>
      <c r="EKR36" s="14"/>
      <c r="EKS36" s="14"/>
      <c r="EKT36" s="14"/>
      <c r="EKU36" s="14"/>
      <c r="EKV36" s="14"/>
      <c r="EKW36" s="14"/>
      <c r="EKX36" s="14"/>
      <c r="EKY36" s="14"/>
      <c r="EKZ36" s="14"/>
      <c r="ELA36" s="14"/>
      <c r="ELB36" s="14"/>
      <c r="ELC36" s="14"/>
      <c r="ELD36" s="14"/>
      <c r="ELE36" s="14"/>
      <c r="ELF36" s="14"/>
      <c r="ELG36" s="14"/>
      <c r="ELH36" s="14"/>
      <c r="ELI36" s="14"/>
      <c r="ELJ36" s="14"/>
      <c r="ELK36" s="14"/>
      <c r="ELL36" s="14"/>
      <c r="ELM36" s="14"/>
      <c r="ELN36" s="14"/>
      <c r="ELO36" s="14"/>
      <c r="ELP36" s="14"/>
      <c r="ELQ36" s="14"/>
      <c r="ELR36" s="14"/>
      <c r="ELS36" s="14"/>
      <c r="ELT36" s="14"/>
      <c r="ELU36" s="14"/>
      <c r="ELV36" s="14"/>
      <c r="ELW36" s="14"/>
      <c r="ELX36" s="14"/>
      <c r="ELY36" s="14"/>
      <c r="ELZ36" s="14"/>
      <c r="EMA36" s="14"/>
      <c r="EMB36" s="14"/>
      <c r="EMC36" s="14"/>
      <c r="EMD36" s="14"/>
      <c r="EME36" s="14"/>
      <c r="EMF36" s="14"/>
      <c r="EMG36" s="14"/>
      <c r="EMH36" s="14"/>
      <c r="EMI36" s="14"/>
      <c r="EMJ36" s="14"/>
      <c r="EMK36" s="14"/>
      <c r="EML36" s="14"/>
      <c r="EMM36" s="14"/>
      <c r="EMN36" s="14"/>
      <c r="EMO36" s="14"/>
      <c r="EMP36" s="14"/>
      <c r="EMQ36" s="14"/>
      <c r="EMR36" s="14"/>
      <c r="EMS36" s="14"/>
      <c r="EMT36" s="14"/>
      <c r="EMU36" s="14"/>
      <c r="EMV36" s="14"/>
      <c r="EMW36" s="14"/>
      <c r="EMX36" s="14"/>
      <c r="EMY36" s="14"/>
      <c r="EMZ36" s="14"/>
      <c r="ENA36" s="14"/>
      <c r="ENB36" s="14"/>
      <c r="ENC36" s="14"/>
      <c r="END36" s="14"/>
      <c r="ENE36" s="14"/>
      <c r="ENF36" s="14"/>
      <c r="ENG36" s="14"/>
      <c r="ENH36" s="14"/>
      <c r="ENI36" s="14"/>
      <c r="ENJ36" s="14"/>
      <c r="ENK36" s="14"/>
      <c r="ENL36" s="14"/>
      <c r="ENM36" s="14"/>
      <c r="ENN36" s="14"/>
      <c r="ENO36" s="14"/>
      <c r="ENP36" s="14"/>
      <c r="ENQ36" s="14"/>
      <c r="ENR36" s="14"/>
      <c r="ENS36" s="14"/>
      <c r="ENT36" s="14"/>
      <c r="ENU36" s="14"/>
      <c r="ENV36" s="14"/>
      <c r="ENW36" s="14"/>
      <c r="ENX36" s="14"/>
      <c r="ENY36" s="14"/>
      <c r="ENZ36" s="14"/>
      <c r="EOA36" s="14"/>
      <c r="EOB36" s="14"/>
      <c r="EOC36" s="14"/>
      <c r="EOD36" s="14"/>
      <c r="EOE36" s="14"/>
      <c r="EOF36" s="14"/>
      <c r="EOG36" s="14"/>
      <c r="EOH36" s="14"/>
      <c r="EOI36" s="14"/>
      <c r="EOJ36" s="14"/>
      <c r="EOK36" s="14"/>
      <c r="EOL36" s="14"/>
      <c r="EOM36" s="14"/>
      <c r="EON36" s="14"/>
      <c r="EOO36" s="14"/>
      <c r="EOP36" s="14"/>
      <c r="EOQ36" s="14"/>
      <c r="EOR36" s="14"/>
      <c r="EOS36" s="14"/>
      <c r="EOT36" s="14"/>
      <c r="EOU36" s="14"/>
      <c r="EOV36" s="14"/>
      <c r="EOW36" s="14"/>
      <c r="EOX36" s="14"/>
      <c r="EOY36" s="14"/>
      <c r="EOZ36" s="14"/>
      <c r="EPA36" s="14"/>
      <c r="EPB36" s="14"/>
      <c r="EPC36" s="14"/>
      <c r="EPD36" s="14"/>
      <c r="EPE36" s="14"/>
      <c r="EPF36" s="14"/>
      <c r="EPG36" s="14"/>
      <c r="EPH36" s="14"/>
      <c r="EPI36" s="14"/>
      <c r="EPJ36" s="14"/>
      <c r="EPK36" s="14"/>
      <c r="EPL36" s="14"/>
      <c r="EPM36" s="14"/>
      <c r="EPN36" s="14"/>
      <c r="EPO36" s="14"/>
      <c r="EPP36" s="14"/>
      <c r="EPQ36" s="14"/>
      <c r="EPR36" s="14"/>
      <c r="EPS36" s="14"/>
      <c r="EPT36" s="14"/>
      <c r="EPU36" s="14"/>
      <c r="EPV36" s="14"/>
      <c r="EPW36" s="14"/>
      <c r="EPX36" s="14"/>
      <c r="EPY36" s="14"/>
      <c r="EPZ36" s="14"/>
      <c r="EQA36" s="14"/>
      <c r="EQB36" s="14"/>
      <c r="EQC36" s="14"/>
      <c r="EQD36" s="14"/>
      <c r="EQE36" s="14"/>
      <c r="EQF36" s="14"/>
      <c r="EQG36" s="14"/>
      <c r="EQH36" s="14"/>
      <c r="EQI36" s="14"/>
      <c r="EQJ36" s="14"/>
      <c r="EQK36" s="14"/>
      <c r="EQL36" s="14"/>
      <c r="EQM36" s="14"/>
      <c r="EQN36" s="14"/>
      <c r="EQO36" s="14"/>
      <c r="EQP36" s="14"/>
      <c r="EQQ36" s="14"/>
      <c r="EQR36" s="14"/>
      <c r="EQS36" s="14"/>
      <c r="EQT36" s="14"/>
      <c r="EQU36" s="14"/>
      <c r="EQV36" s="14"/>
      <c r="EQW36" s="14"/>
      <c r="EQX36" s="14"/>
      <c r="EQY36" s="14"/>
      <c r="EQZ36" s="14"/>
      <c r="ERA36" s="14"/>
      <c r="ERB36" s="14"/>
      <c r="ERC36" s="14"/>
      <c r="ERD36" s="14"/>
      <c r="ERE36" s="14"/>
      <c r="ERF36" s="14"/>
      <c r="ERG36" s="14"/>
      <c r="ERH36" s="14"/>
      <c r="ERI36" s="14"/>
      <c r="ERJ36" s="14"/>
      <c r="ERK36" s="14"/>
      <c r="ERL36" s="14"/>
      <c r="ERM36" s="14"/>
      <c r="ERN36" s="14"/>
      <c r="ERO36" s="14"/>
      <c r="ERP36" s="14"/>
      <c r="ERQ36" s="14"/>
      <c r="ERR36" s="14"/>
      <c r="ERS36" s="14"/>
      <c r="ERT36" s="14"/>
      <c r="ERU36" s="14"/>
      <c r="ERV36" s="14"/>
      <c r="ERW36" s="14"/>
      <c r="ERX36" s="14"/>
      <c r="ERY36" s="14"/>
      <c r="ERZ36" s="14"/>
      <c r="ESA36" s="14"/>
      <c r="ESB36" s="14"/>
      <c r="ESC36" s="14"/>
      <c r="ESD36" s="14"/>
      <c r="ESE36" s="14"/>
      <c r="ESF36" s="14"/>
      <c r="ESG36" s="14"/>
      <c r="ESH36" s="14"/>
      <c r="ESI36" s="14"/>
      <c r="ESJ36" s="14"/>
      <c r="ESK36" s="14"/>
      <c r="ESL36" s="14"/>
      <c r="ESM36" s="14"/>
      <c r="ESN36" s="14"/>
      <c r="ESO36" s="14"/>
      <c r="ESP36" s="14"/>
      <c r="ESQ36" s="14"/>
      <c r="ESR36" s="14"/>
      <c r="ESS36" s="14"/>
      <c r="EST36" s="14"/>
      <c r="ESU36" s="14"/>
      <c r="ESV36" s="14"/>
      <c r="ESW36" s="14"/>
      <c r="ESX36" s="14"/>
      <c r="ESY36" s="14"/>
      <c r="ESZ36" s="14"/>
      <c r="ETA36" s="14"/>
      <c r="ETB36" s="14"/>
      <c r="ETC36" s="14"/>
      <c r="ETD36" s="14"/>
      <c r="ETE36" s="14"/>
      <c r="ETF36" s="14"/>
      <c r="ETG36" s="14"/>
      <c r="ETH36" s="14"/>
      <c r="ETI36" s="14"/>
      <c r="ETJ36" s="14"/>
      <c r="ETK36" s="14"/>
      <c r="ETL36" s="14"/>
      <c r="ETM36" s="14"/>
      <c r="ETN36" s="14"/>
      <c r="ETO36" s="14"/>
      <c r="ETP36" s="14"/>
      <c r="ETQ36" s="14"/>
      <c r="ETR36" s="14"/>
      <c r="ETS36" s="14"/>
      <c r="ETT36" s="14"/>
      <c r="ETU36" s="14"/>
      <c r="ETV36" s="14"/>
      <c r="ETW36" s="14"/>
      <c r="ETX36" s="14"/>
      <c r="ETY36" s="14"/>
      <c r="ETZ36" s="14"/>
      <c r="EUA36" s="14"/>
      <c r="EUB36" s="14"/>
      <c r="EUC36" s="14"/>
      <c r="EUD36" s="14"/>
      <c r="EUE36" s="14"/>
      <c r="EUF36" s="14"/>
      <c r="EUG36" s="14"/>
      <c r="EUH36" s="14"/>
      <c r="EUI36" s="14"/>
      <c r="EUJ36" s="14"/>
      <c r="EUK36" s="14"/>
      <c r="EUL36" s="14"/>
      <c r="EUM36" s="14"/>
      <c r="EUN36" s="14"/>
      <c r="EUO36" s="14"/>
      <c r="EUP36" s="14"/>
      <c r="EUQ36" s="14"/>
      <c r="EUR36" s="14"/>
      <c r="EUS36" s="14"/>
      <c r="EUT36" s="14"/>
      <c r="EUU36" s="14"/>
      <c r="EUV36" s="14"/>
      <c r="EUW36" s="14"/>
      <c r="EUX36" s="14"/>
      <c r="EUY36" s="14"/>
      <c r="EUZ36" s="14"/>
      <c r="EVA36" s="14"/>
      <c r="EVB36" s="14"/>
      <c r="EVC36" s="14"/>
      <c r="EVD36" s="14"/>
      <c r="EVE36" s="14"/>
      <c r="EVF36" s="14"/>
      <c r="EVG36" s="14"/>
      <c r="EVH36" s="14"/>
      <c r="EVI36" s="14"/>
      <c r="EVJ36" s="14"/>
      <c r="EVK36" s="14"/>
      <c r="EVL36" s="14"/>
      <c r="EVM36" s="14"/>
      <c r="EVN36" s="14"/>
      <c r="EVO36" s="14"/>
      <c r="EVP36" s="14"/>
      <c r="EVQ36" s="14"/>
      <c r="EVR36" s="14"/>
      <c r="EVS36" s="14"/>
      <c r="EVT36" s="14"/>
      <c r="EVU36" s="14"/>
      <c r="EVV36" s="14"/>
      <c r="EVW36" s="14"/>
      <c r="EVX36" s="14"/>
      <c r="EVY36" s="14"/>
      <c r="EVZ36" s="14"/>
      <c r="EWA36" s="14"/>
      <c r="EWB36" s="14"/>
      <c r="EWC36" s="14"/>
      <c r="EWD36" s="14"/>
      <c r="EWE36" s="14"/>
      <c r="EWF36" s="14"/>
      <c r="EWG36" s="14"/>
      <c r="EWH36" s="14"/>
      <c r="EWI36" s="14"/>
      <c r="EWJ36" s="14"/>
      <c r="EWK36" s="14"/>
      <c r="EWL36" s="14"/>
      <c r="EWM36" s="14"/>
      <c r="EWN36" s="14"/>
      <c r="EWO36" s="14"/>
      <c r="EWP36" s="14"/>
      <c r="EWQ36" s="14"/>
      <c r="EWR36" s="14"/>
      <c r="EWS36" s="14"/>
      <c r="EWT36" s="14"/>
      <c r="EWU36" s="14"/>
      <c r="EWV36" s="14"/>
      <c r="EWW36" s="14"/>
      <c r="EWX36" s="14"/>
      <c r="EWY36" s="14"/>
      <c r="EWZ36" s="14"/>
      <c r="EXA36" s="14"/>
      <c r="EXB36" s="14"/>
      <c r="EXC36" s="14"/>
      <c r="EXD36" s="14"/>
      <c r="EXE36" s="14"/>
      <c r="EXF36" s="14"/>
      <c r="EXG36" s="14"/>
      <c r="EXH36" s="14"/>
      <c r="EXI36" s="14"/>
      <c r="EXJ36" s="14"/>
      <c r="EXK36" s="14"/>
      <c r="EXL36" s="14"/>
      <c r="EXM36" s="14"/>
      <c r="EXN36" s="14"/>
      <c r="EXO36" s="14"/>
      <c r="EXP36" s="14"/>
      <c r="EXQ36" s="14"/>
      <c r="EXR36" s="14"/>
      <c r="EXS36" s="14"/>
      <c r="EXT36" s="14"/>
      <c r="EXU36" s="14"/>
      <c r="EXV36" s="14"/>
      <c r="EXW36" s="14"/>
      <c r="EXX36" s="14"/>
      <c r="EXY36" s="14"/>
      <c r="EXZ36" s="14"/>
      <c r="EYA36" s="14"/>
      <c r="EYB36" s="14"/>
      <c r="EYC36" s="14"/>
      <c r="EYD36" s="14"/>
      <c r="EYE36" s="14"/>
      <c r="EYF36" s="14"/>
      <c r="EYG36" s="14"/>
      <c r="EYH36" s="14"/>
      <c r="EYI36" s="14"/>
      <c r="EYJ36" s="14"/>
      <c r="EYK36" s="14"/>
      <c r="EYL36" s="14"/>
      <c r="EYM36" s="14"/>
      <c r="EYN36" s="14"/>
      <c r="EYO36" s="14"/>
      <c r="EYP36" s="14"/>
      <c r="EYQ36" s="14"/>
      <c r="EYR36" s="14"/>
      <c r="EYS36" s="14"/>
      <c r="EYT36" s="14"/>
      <c r="EYU36" s="14"/>
      <c r="EYV36" s="14"/>
      <c r="EYW36" s="14"/>
      <c r="EYX36" s="14"/>
      <c r="EYY36" s="14"/>
      <c r="EYZ36" s="14"/>
      <c r="EZA36" s="14"/>
      <c r="EZB36" s="14"/>
      <c r="EZC36" s="14"/>
      <c r="EZD36" s="14"/>
      <c r="EZE36" s="14"/>
      <c r="EZF36" s="14"/>
      <c r="EZG36" s="14"/>
      <c r="EZH36" s="14"/>
      <c r="EZI36" s="14"/>
      <c r="EZJ36" s="14"/>
      <c r="EZK36" s="14"/>
      <c r="EZL36" s="14"/>
      <c r="EZM36" s="14"/>
      <c r="EZN36" s="14"/>
      <c r="EZO36" s="14"/>
      <c r="EZP36" s="14"/>
      <c r="EZQ36" s="14"/>
      <c r="EZR36" s="14"/>
      <c r="EZS36" s="14"/>
      <c r="EZT36" s="14"/>
      <c r="EZU36" s="14"/>
      <c r="EZV36" s="14"/>
      <c r="EZW36" s="14"/>
      <c r="EZX36" s="14"/>
      <c r="EZY36" s="14"/>
      <c r="EZZ36" s="14"/>
      <c r="FAA36" s="14"/>
      <c r="FAB36" s="14"/>
      <c r="FAC36" s="14"/>
      <c r="FAD36" s="14"/>
      <c r="FAE36" s="14"/>
      <c r="FAF36" s="14"/>
      <c r="FAG36" s="14"/>
      <c r="FAH36" s="14"/>
      <c r="FAI36" s="14"/>
      <c r="FAJ36" s="14"/>
      <c r="FAK36" s="14"/>
      <c r="FAL36" s="14"/>
      <c r="FAM36" s="14"/>
      <c r="FAN36" s="14"/>
      <c r="FAO36" s="14"/>
      <c r="FAP36" s="14"/>
      <c r="FAQ36" s="14"/>
      <c r="FAR36" s="14"/>
      <c r="FAS36" s="14"/>
      <c r="FAT36" s="14"/>
      <c r="FAU36" s="14"/>
      <c r="FAV36" s="14"/>
      <c r="FAW36" s="14"/>
      <c r="FAX36" s="14"/>
      <c r="FAY36" s="14"/>
      <c r="FAZ36" s="14"/>
      <c r="FBA36" s="14"/>
      <c r="FBB36" s="14"/>
      <c r="FBC36" s="14"/>
      <c r="FBD36" s="14"/>
      <c r="FBE36" s="14"/>
      <c r="FBF36" s="14"/>
      <c r="FBG36" s="14"/>
      <c r="FBH36" s="14"/>
      <c r="FBI36" s="14"/>
      <c r="FBJ36" s="14"/>
      <c r="FBK36" s="14"/>
      <c r="FBL36" s="14"/>
      <c r="FBM36" s="14"/>
      <c r="FBN36" s="14"/>
      <c r="FBO36" s="14"/>
      <c r="FBP36" s="14"/>
      <c r="FBQ36" s="14"/>
      <c r="FBR36" s="14"/>
      <c r="FBS36" s="14"/>
      <c r="FBT36" s="14"/>
      <c r="FBU36" s="14"/>
      <c r="FBV36" s="14"/>
      <c r="FBW36" s="14"/>
      <c r="FBX36" s="14"/>
      <c r="FBY36" s="14"/>
      <c r="FBZ36" s="14"/>
      <c r="FCA36" s="14"/>
      <c r="FCB36" s="14"/>
      <c r="FCC36" s="14"/>
      <c r="FCD36" s="14"/>
      <c r="FCE36" s="14"/>
      <c r="FCF36" s="14"/>
      <c r="FCG36" s="14"/>
      <c r="FCH36" s="14"/>
      <c r="FCI36" s="14"/>
      <c r="FCJ36" s="14"/>
      <c r="FCK36" s="14"/>
      <c r="FCL36" s="14"/>
      <c r="FCM36" s="14"/>
      <c r="FCN36" s="14"/>
      <c r="FCO36" s="14"/>
      <c r="FCP36" s="14"/>
      <c r="FCQ36" s="14"/>
      <c r="FCR36" s="14"/>
      <c r="FCS36" s="14"/>
      <c r="FCT36" s="14"/>
      <c r="FCU36" s="14"/>
      <c r="FCV36" s="14"/>
      <c r="FCW36" s="14"/>
      <c r="FCX36" s="14"/>
      <c r="FCY36" s="14"/>
      <c r="FCZ36" s="14"/>
      <c r="FDA36" s="14"/>
      <c r="FDB36" s="14"/>
      <c r="FDC36" s="14"/>
      <c r="FDD36" s="14"/>
      <c r="FDE36" s="14"/>
      <c r="FDF36" s="14"/>
      <c r="FDG36" s="14"/>
      <c r="FDH36" s="14"/>
      <c r="FDI36" s="14"/>
      <c r="FDJ36" s="14"/>
      <c r="FDK36" s="14"/>
      <c r="FDL36" s="14"/>
      <c r="FDM36" s="14"/>
      <c r="FDN36" s="14"/>
      <c r="FDO36" s="14"/>
      <c r="FDP36" s="14"/>
      <c r="FDQ36" s="14"/>
      <c r="FDR36" s="14"/>
      <c r="FDS36" s="14"/>
      <c r="FDT36" s="14"/>
      <c r="FDU36" s="14"/>
      <c r="FDV36" s="14"/>
      <c r="FDW36" s="14"/>
      <c r="FDX36" s="14"/>
      <c r="FDY36" s="14"/>
      <c r="FDZ36" s="14"/>
      <c r="FEA36" s="14"/>
      <c r="FEB36" s="14"/>
      <c r="FEC36" s="14"/>
      <c r="FED36" s="14"/>
      <c r="FEE36" s="14"/>
      <c r="FEF36" s="14"/>
      <c r="FEG36" s="14"/>
      <c r="FEH36" s="14"/>
      <c r="FEI36" s="14"/>
      <c r="FEJ36" s="14"/>
      <c r="FEK36" s="14"/>
      <c r="FEL36" s="14"/>
      <c r="FEM36" s="14"/>
      <c r="FEN36" s="14"/>
      <c r="FEO36" s="14"/>
      <c r="FEP36" s="14"/>
      <c r="FEQ36" s="14"/>
      <c r="FER36" s="14"/>
      <c r="FES36" s="14"/>
      <c r="FET36" s="14"/>
      <c r="FEU36" s="14"/>
      <c r="FEV36" s="14"/>
      <c r="FEW36" s="14"/>
      <c r="FEX36" s="14"/>
      <c r="FEY36" s="14"/>
      <c r="FEZ36" s="14"/>
      <c r="FFA36" s="14"/>
      <c r="FFB36" s="14"/>
      <c r="FFC36" s="14"/>
      <c r="FFD36" s="14"/>
      <c r="FFE36" s="14"/>
      <c r="FFF36" s="14"/>
      <c r="FFG36" s="14"/>
      <c r="FFH36" s="14"/>
      <c r="FFI36" s="14"/>
      <c r="FFJ36" s="14"/>
      <c r="FFK36" s="14"/>
      <c r="FFL36" s="14"/>
      <c r="FFM36" s="14"/>
      <c r="FFN36" s="14"/>
      <c r="FFO36" s="14"/>
      <c r="FFP36" s="14"/>
      <c r="FFQ36" s="14"/>
      <c r="FFR36" s="14"/>
      <c r="FFS36" s="14"/>
      <c r="FFT36" s="14"/>
      <c r="FFU36" s="14"/>
      <c r="FFV36" s="14"/>
      <c r="FFW36" s="14"/>
      <c r="FFX36" s="14"/>
      <c r="FFY36" s="14"/>
      <c r="FFZ36" s="14"/>
      <c r="FGA36" s="14"/>
      <c r="FGB36" s="14"/>
      <c r="FGC36" s="14"/>
      <c r="FGD36" s="14"/>
      <c r="FGE36" s="14"/>
      <c r="FGF36" s="14"/>
      <c r="FGG36" s="14"/>
      <c r="FGH36" s="14"/>
      <c r="FGI36" s="14"/>
      <c r="FGJ36" s="14"/>
      <c r="FGK36" s="14"/>
      <c r="FGL36" s="14"/>
      <c r="FGM36" s="14"/>
      <c r="FGN36" s="14"/>
      <c r="FGO36" s="14"/>
      <c r="FGP36" s="14"/>
      <c r="FGQ36" s="14"/>
      <c r="FGR36" s="14"/>
      <c r="FGS36" s="14"/>
      <c r="FGT36" s="14"/>
      <c r="FGU36" s="14"/>
      <c r="FGV36" s="14"/>
      <c r="FGW36" s="14"/>
      <c r="FGX36" s="14"/>
      <c r="FGY36" s="14"/>
      <c r="FGZ36" s="14"/>
      <c r="FHA36" s="14"/>
      <c r="FHB36" s="14"/>
      <c r="FHC36" s="14"/>
      <c r="FHD36" s="14"/>
      <c r="FHE36" s="14"/>
      <c r="FHF36" s="14"/>
      <c r="FHG36" s="14"/>
      <c r="FHH36" s="14"/>
      <c r="FHI36" s="14"/>
      <c r="FHJ36" s="14"/>
      <c r="FHK36" s="14"/>
      <c r="FHL36" s="14"/>
      <c r="FHM36" s="14"/>
      <c r="FHN36" s="14"/>
      <c r="FHO36" s="14"/>
      <c r="FHP36" s="14"/>
      <c r="FHQ36" s="14"/>
      <c r="FHR36" s="14"/>
      <c r="FHS36" s="14"/>
      <c r="FHT36" s="14"/>
      <c r="FHU36" s="14"/>
      <c r="FHV36" s="14"/>
      <c r="FHW36" s="14"/>
      <c r="FHX36" s="14"/>
      <c r="FHY36" s="14"/>
      <c r="FHZ36" s="14"/>
      <c r="FIA36" s="14"/>
      <c r="FIB36" s="14"/>
      <c r="FIC36" s="14"/>
      <c r="FID36" s="14"/>
      <c r="FIE36" s="14"/>
      <c r="FIF36" s="14"/>
      <c r="FIG36" s="14"/>
      <c r="FIH36" s="14"/>
      <c r="FII36" s="14"/>
      <c r="FIJ36" s="14"/>
      <c r="FIK36" s="14"/>
      <c r="FIL36" s="14"/>
      <c r="FIM36" s="14"/>
      <c r="FIN36" s="14"/>
      <c r="FIO36" s="14"/>
      <c r="FIP36" s="14"/>
      <c r="FIQ36" s="14"/>
      <c r="FIR36" s="14"/>
      <c r="FIS36" s="14"/>
      <c r="FIT36" s="14"/>
      <c r="FIU36" s="14"/>
      <c r="FIV36" s="14"/>
      <c r="FIW36" s="14"/>
      <c r="FIX36" s="14"/>
      <c r="FIY36" s="14"/>
      <c r="FIZ36" s="14"/>
      <c r="FJA36" s="14"/>
      <c r="FJB36" s="14"/>
      <c r="FJC36" s="14"/>
      <c r="FJD36" s="14"/>
      <c r="FJE36" s="14"/>
      <c r="FJF36" s="14"/>
      <c r="FJG36" s="14"/>
      <c r="FJH36" s="14"/>
      <c r="FJI36" s="14"/>
      <c r="FJJ36" s="14"/>
      <c r="FJK36" s="14"/>
      <c r="FJL36" s="14"/>
      <c r="FJM36" s="14"/>
      <c r="FJN36" s="14"/>
      <c r="FJO36" s="14"/>
      <c r="FJP36" s="14"/>
      <c r="FJQ36" s="14"/>
      <c r="FJR36" s="14"/>
      <c r="FJS36" s="14"/>
      <c r="FJT36" s="14"/>
      <c r="FJU36" s="14"/>
      <c r="FJV36" s="14"/>
      <c r="FJW36" s="14"/>
      <c r="FJX36" s="14"/>
      <c r="FJY36" s="14"/>
      <c r="FJZ36" s="14"/>
      <c r="FKA36" s="14"/>
      <c r="FKB36" s="14"/>
      <c r="FKC36" s="14"/>
      <c r="FKD36" s="14"/>
      <c r="FKE36" s="14"/>
      <c r="FKF36" s="14"/>
      <c r="FKG36" s="14"/>
      <c r="FKH36" s="14"/>
      <c r="FKI36" s="14"/>
      <c r="FKJ36" s="14"/>
      <c r="FKK36" s="14"/>
      <c r="FKL36" s="14"/>
      <c r="FKM36" s="14"/>
      <c r="FKN36" s="14"/>
      <c r="FKO36" s="14"/>
      <c r="FKP36" s="14"/>
      <c r="FKQ36" s="14"/>
      <c r="FKR36" s="14"/>
      <c r="FKS36" s="14"/>
      <c r="FKT36" s="14"/>
      <c r="FKU36" s="14"/>
      <c r="FKV36" s="14"/>
      <c r="FKW36" s="14"/>
      <c r="FKX36" s="14"/>
      <c r="FKY36" s="14"/>
      <c r="FKZ36" s="14"/>
      <c r="FLA36" s="14"/>
      <c r="FLB36" s="14"/>
      <c r="FLC36" s="14"/>
      <c r="FLD36" s="14"/>
      <c r="FLE36" s="14"/>
      <c r="FLF36" s="14"/>
      <c r="FLG36" s="14"/>
      <c r="FLH36" s="14"/>
      <c r="FLI36" s="14"/>
      <c r="FLJ36" s="14"/>
      <c r="FLK36" s="14"/>
      <c r="FLL36" s="14"/>
      <c r="FLM36" s="14"/>
      <c r="FLN36" s="14"/>
      <c r="FLO36" s="14"/>
      <c r="FLP36" s="14"/>
      <c r="FLQ36" s="14"/>
      <c r="FLR36" s="14"/>
      <c r="FLS36" s="14"/>
      <c r="FLT36" s="14"/>
      <c r="FLU36" s="14"/>
      <c r="FLV36" s="14"/>
      <c r="FLW36" s="14"/>
      <c r="FLX36" s="14"/>
      <c r="FLY36" s="14"/>
      <c r="FLZ36" s="14"/>
      <c r="FMA36" s="14"/>
      <c r="FMB36" s="14"/>
      <c r="FMC36" s="14"/>
      <c r="FMD36" s="14"/>
      <c r="FME36" s="14"/>
      <c r="FMF36" s="14"/>
      <c r="FMG36" s="14"/>
      <c r="FMH36" s="14"/>
      <c r="FMI36" s="14"/>
      <c r="FMJ36" s="14"/>
      <c r="FMK36" s="14"/>
      <c r="FML36" s="14"/>
      <c r="FMM36" s="14"/>
      <c r="FMN36" s="14"/>
      <c r="FMO36" s="14"/>
      <c r="FMP36" s="14"/>
      <c r="FMQ36" s="14"/>
      <c r="FMR36" s="14"/>
      <c r="FMS36" s="14"/>
      <c r="FMT36" s="14"/>
      <c r="FMU36" s="14"/>
      <c r="FMV36" s="14"/>
      <c r="FMW36" s="14"/>
      <c r="FMX36" s="14"/>
      <c r="FMY36" s="14"/>
      <c r="FMZ36" s="14"/>
      <c r="FNA36" s="14"/>
      <c r="FNB36" s="14"/>
      <c r="FNC36" s="14"/>
      <c r="FND36" s="14"/>
      <c r="FNE36" s="14"/>
      <c r="FNF36" s="14"/>
      <c r="FNG36" s="14"/>
      <c r="FNH36" s="14"/>
      <c r="FNI36" s="14"/>
      <c r="FNJ36" s="14"/>
      <c r="FNK36" s="14"/>
      <c r="FNL36" s="14"/>
      <c r="FNM36" s="14"/>
      <c r="FNN36" s="14"/>
      <c r="FNO36" s="14"/>
      <c r="FNP36" s="14"/>
      <c r="FNQ36" s="14"/>
      <c r="FNR36" s="14"/>
      <c r="FNS36" s="14"/>
      <c r="FNT36" s="14"/>
      <c r="FNU36" s="14"/>
      <c r="FNV36" s="14"/>
      <c r="FNW36" s="14"/>
      <c r="FNX36" s="14"/>
      <c r="FNY36" s="14"/>
      <c r="FNZ36" s="14"/>
      <c r="FOA36" s="14"/>
      <c r="FOB36" s="14"/>
      <c r="FOC36" s="14"/>
      <c r="FOD36" s="14"/>
      <c r="FOE36" s="14"/>
      <c r="FOF36" s="14"/>
      <c r="FOG36" s="14"/>
      <c r="FOH36" s="14"/>
      <c r="FOI36" s="14"/>
      <c r="FOJ36" s="14"/>
      <c r="FOK36" s="14"/>
      <c r="FOL36" s="14"/>
      <c r="FOM36" s="14"/>
      <c r="FON36" s="14"/>
      <c r="FOO36" s="14"/>
      <c r="FOP36" s="14"/>
      <c r="FOQ36" s="14"/>
      <c r="FOR36" s="14"/>
      <c r="FOS36" s="14"/>
      <c r="FOT36" s="14"/>
      <c r="FOU36" s="14"/>
      <c r="FOV36" s="14"/>
      <c r="FOW36" s="14"/>
      <c r="FOX36" s="14"/>
      <c r="FOY36" s="14"/>
      <c r="FOZ36" s="14"/>
      <c r="FPA36" s="14"/>
      <c r="FPB36" s="14"/>
      <c r="FPC36" s="14"/>
      <c r="FPD36" s="14"/>
      <c r="FPE36" s="14"/>
      <c r="FPF36" s="14"/>
      <c r="FPG36" s="14"/>
      <c r="FPH36" s="14"/>
      <c r="FPI36" s="14"/>
      <c r="FPJ36" s="14"/>
      <c r="FPK36" s="14"/>
      <c r="FPL36" s="14"/>
      <c r="FPM36" s="14"/>
      <c r="FPN36" s="14"/>
      <c r="FPO36" s="14"/>
      <c r="FPP36" s="14"/>
      <c r="FPQ36" s="14"/>
      <c r="FPR36" s="14"/>
      <c r="FPS36" s="14"/>
      <c r="FPT36" s="14"/>
      <c r="FPU36" s="14"/>
      <c r="FPV36" s="14"/>
      <c r="FPW36" s="14"/>
      <c r="FPX36" s="14"/>
      <c r="FPY36" s="14"/>
      <c r="FPZ36" s="14"/>
      <c r="FQA36" s="14"/>
      <c r="FQB36" s="14"/>
      <c r="FQC36" s="14"/>
      <c r="FQD36" s="14"/>
      <c r="FQE36" s="14"/>
      <c r="FQF36" s="14"/>
      <c r="FQG36" s="14"/>
      <c r="FQH36" s="14"/>
      <c r="FQI36" s="14"/>
      <c r="FQJ36" s="14"/>
      <c r="FQK36" s="14"/>
      <c r="FQL36" s="14"/>
      <c r="FQM36" s="14"/>
      <c r="FQN36" s="14"/>
      <c r="FQO36" s="14"/>
      <c r="FQP36" s="14"/>
      <c r="FQQ36" s="14"/>
      <c r="FQR36" s="14"/>
      <c r="FQS36" s="14"/>
      <c r="FQT36" s="14"/>
      <c r="FQU36" s="14"/>
      <c r="FQV36" s="14"/>
      <c r="FQW36" s="14"/>
      <c r="FQX36" s="14"/>
      <c r="FQY36" s="14"/>
      <c r="FQZ36" s="14"/>
      <c r="FRA36" s="14"/>
      <c r="FRB36" s="14"/>
      <c r="FRC36" s="14"/>
      <c r="FRD36" s="14"/>
      <c r="FRE36" s="14"/>
      <c r="FRF36" s="14"/>
      <c r="FRG36" s="14"/>
      <c r="FRH36" s="14"/>
      <c r="FRI36" s="14"/>
      <c r="FRJ36" s="14"/>
      <c r="FRK36" s="14"/>
      <c r="FRL36" s="14"/>
      <c r="FRM36" s="14"/>
      <c r="FRN36" s="14"/>
      <c r="FRO36" s="14"/>
      <c r="FRP36" s="14"/>
      <c r="FRQ36" s="14"/>
      <c r="FRR36" s="14"/>
      <c r="FRS36" s="14"/>
      <c r="FRT36" s="14"/>
      <c r="FRU36" s="14"/>
      <c r="FRV36" s="14"/>
      <c r="FRW36" s="14"/>
      <c r="FRX36" s="14"/>
      <c r="FRY36" s="14"/>
      <c r="FRZ36" s="14"/>
      <c r="FSA36" s="14"/>
      <c r="FSB36" s="14"/>
      <c r="FSC36" s="14"/>
      <c r="FSD36" s="14"/>
      <c r="FSE36" s="14"/>
      <c r="FSF36" s="14"/>
      <c r="FSG36" s="14"/>
      <c r="FSH36" s="14"/>
      <c r="FSI36" s="14"/>
      <c r="FSJ36" s="14"/>
      <c r="FSK36" s="14"/>
      <c r="FSL36" s="14"/>
      <c r="FSM36" s="14"/>
      <c r="FSN36" s="14"/>
      <c r="FSO36" s="14"/>
      <c r="FSP36" s="14"/>
      <c r="FSQ36" s="14"/>
      <c r="FSR36" s="14"/>
      <c r="FSS36" s="14"/>
      <c r="FST36" s="14"/>
      <c r="FSU36" s="14"/>
      <c r="FSV36" s="14"/>
      <c r="FSW36" s="14"/>
      <c r="FSX36" s="14"/>
      <c r="FSY36" s="14"/>
      <c r="FSZ36" s="14"/>
      <c r="FTA36" s="14"/>
      <c r="FTB36" s="14"/>
      <c r="FTC36" s="14"/>
      <c r="FTD36" s="14"/>
      <c r="FTE36" s="14"/>
      <c r="FTF36" s="14"/>
      <c r="FTG36" s="14"/>
      <c r="FTH36" s="14"/>
      <c r="FTI36" s="14"/>
      <c r="FTJ36" s="14"/>
      <c r="FTK36" s="14"/>
      <c r="FTL36" s="14"/>
      <c r="FTM36" s="14"/>
      <c r="FTN36" s="14"/>
      <c r="FTO36" s="14"/>
      <c r="FTP36" s="14"/>
      <c r="FTQ36" s="14"/>
      <c r="FTR36" s="14"/>
      <c r="FTS36" s="14"/>
      <c r="FTT36" s="14"/>
      <c r="FTU36" s="14"/>
      <c r="FTV36" s="14"/>
      <c r="FTW36" s="14"/>
      <c r="FTX36" s="14"/>
      <c r="FTY36" s="14"/>
      <c r="FTZ36" s="14"/>
      <c r="FUA36" s="14"/>
      <c r="FUB36" s="14"/>
      <c r="FUC36" s="14"/>
      <c r="FUD36" s="14"/>
      <c r="FUE36" s="14"/>
      <c r="FUF36" s="14"/>
      <c r="FUG36" s="14"/>
      <c r="FUH36" s="14"/>
      <c r="FUI36" s="14"/>
      <c r="FUJ36" s="14"/>
      <c r="FUK36" s="14"/>
      <c r="FUL36" s="14"/>
      <c r="FUM36" s="14"/>
      <c r="FUN36" s="14"/>
      <c r="FUO36" s="14"/>
      <c r="FUP36" s="14"/>
      <c r="FUQ36" s="14"/>
      <c r="FUR36" s="14"/>
      <c r="FUS36" s="14"/>
      <c r="FUT36" s="14"/>
      <c r="FUU36" s="14"/>
      <c r="FUV36" s="14"/>
      <c r="FUW36" s="14"/>
      <c r="FUX36" s="14"/>
      <c r="FUY36" s="14"/>
      <c r="FUZ36" s="14"/>
      <c r="FVA36" s="14"/>
      <c r="FVB36" s="14"/>
      <c r="FVC36" s="14"/>
      <c r="FVD36" s="14"/>
      <c r="FVE36" s="14"/>
      <c r="FVF36" s="14"/>
      <c r="FVG36" s="14"/>
      <c r="FVH36" s="14"/>
      <c r="FVI36" s="14"/>
      <c r="FVJ36" s="14"/>
      <c r="FVK36" s="14"/>
      <c r="FVL36" s="14"/>
      <c r="FVM36" s="14"/>
      <c r="FVN36" s="14"/>
      <c r="FVO36" s="14"/>
      <c r="FVP36" s="14"/>
      <c r="FVQ36" s="14"/>
      <c r="FVR36" s="14"/>
      <c r="FVS36" s="14"/>
      <c r="FVT36" s="14"/>
      <c r="FVU36" s="14"/>
      <c r="FVV36" s="14"/>
      <c r="FVW36" s="14"/>
      <c r="FVX36" s="14"/>
      <c r="FVY36" s="14"/>
      <c r="FVZ36" s="14"/>
      <c r="FWA36" s="14"/>
      <c r="FWB36" s="14"/>
      <c r="FWC36" s="14"/>
      <c r="FWD36" s="14"/>
      <c r="FWE36" s="14"/>
      <c r="FWF36" s="14"/>
      <c r="FWG36" s="14"/>
      <c r="FWH36" s="14"/>
      <c r="FWI36" s="14"/>
      <c r="FWJ36" s="14"/>
      <c r="FWK36" s="14"/>
      <c r="FWL36" s="14"/>
      <c r="FWM36" s="14"/>
      <c r="FWN36" s="14"/>
      <c r="FWO36" s="14"/>
      <c r="FWP36" s="14"/>
      <c r="FWQ36" s="14"/>
      <c r="FWR36" s="14"/>
      <c r="FWS36" s="14"/>
      <c r="FWT36" s="14"/>
      <c r="FWU36" s="14"/>
      <c r="FWV36" s="14"/>
      <c r="FWW36" s="14"/>
      <c r="FWX36" s="14"/>
      <c r="FWY36" s="14"/>
      <c r="FWZ36" s="14"/>
      <c r="FXA36" s="14"/>
      <c r="FXB36" s="14"/>
      <c r="FXC36" s="14"/>
      <c r="FXD36" s="14"/>
      <c r="FXE36" s="14"/>
      <c r="FXF36" s="14"/>
      <c r="FXG36" s="14"/>
      <c r="FXH36" s="14"/>
      <c r="FXI36" s="14"/>
      <c r="FXJ36" s="14"/>
      <c r="FXK36" s="14"/>
      <c r="FXL36" s="14"/>
      <c r="FXM36" s="14"/>
      <c r="FXN36" s="14"/>
      <c r="FXO36" s="14"/>
      <c r="FXP36" s="14"/>
      <c r="FXQ36" s="14"/>
      <c r="FXR36" s="14"/>
      <c r="FXS36" s="14"/>
      <c r="FXT36" s="14"/>
      <c r="FXU36" s="14"/>
      <c r="FXV36" s="14"/>
      <c r="FXW36" s="14"/>
      <c r="FXX36" s="14"/>
      <c r="FXY36" s="14"/>
      <c r="FXZ36" s="14"/>
      <c r="FYA36" s="14"/>
      <c r="FYB36" s="14"/>
      <c r="FYC36" s="14"/>
      <c r="FYD36" s="14"/>
      <c r="FYE36" s="14"/>
      <c r="FYF36" s="14"/>
      <c r="FYG36" s="14"/>
      <c r="FYH36" s="14"/>
      <c r="FYI36" s="14"/>
      <c r="FYJ36" s="14"/>
      <c r="FYK36" s="14"/>
      <c r="FYL36" s="14"/>
      <c r="FYM36" s="14"/>
      <c r="FYN36" s="14"/>
      <c r="FYO36" s="14"/>
      <c r="FYP36" s="14"/>
      <c r="FYQ36" s="14"/>
      <c r="FYR36" s="14"/>
      <c r="FYS36" s="14"/>
      <c r="FYT36" s="14"/>
      <c r="FYU36" s="14"/>
      <c r="FYV36" s="14"/>
      <c r="FYW36" s="14"/>
      <c r="FYX36" s="14"/>
      <c r="FYY36" s="14"/>
      <c r="FYZ36" s="14"/>
      <c r="FZA36" s="14"/>
      <c r="FZB36" s="14"/>
      <c r="FZC36" s="14"/>
      <c r="FZD36" s="14"/>
      <c r="FZE36" s="14"/>
      <c r="FZF36" s="14"/>
      <c r="FZG36" s="14"/>
      <c r="FZH36" s="14"/>
      <c r="FZI36" s="14"/>
      <c r="FZJ36" s="14"/>
      <c r="FZK36" s="14"/>
      <c r="FZL36" s="14"/>
      <c r="FZM36" s="14"/>
      <c r="FZN36" s="14"/>
      <c r="FZO36" s="14"/>
      <c r="FZP36" s="14"/>
      <c r="FZQ36" s="14"/>
      <c r="FZR36" s="14"/>
      <c r="FZS36" s="14"/>
      <c r="FZT36" s="14"/>
      <c r="FZU36" s="14"/>
      <c r="FZV36" s="14"/>
      <c r="FZW36" s="14"/>
      <c r="FZX36" s="14"/>
      <c r="FZY36" s="14"/>
      <c r="FZZ36" s="14"/>
      <c r="GAA36" s="14"/>
      <c r="GAB36" s="14"/>
      <c r="GAC36" s="14"/>
      <c r="GAD36" s="14"/>
      <c r="GAE36" s="14"/>
      <c r="GAF36" s="14"/>
      <c r="GAG36" s="14"/>
      <c r="GAH36" s="14"/>
      <c r="GAI36" s="14"/>
      <c r="GAJ36" s="14"/>
      <c r="GAK36" s="14"/>
      <c r="GAL36" s="14"/>
      <c r="GAM36" s="14"/>
      <c r="GAN36" s="14"/>
      <c r="GAO36" s="14"/>
      <c r="GAP36" s="14"/>
      <c r="GAQ36" s="14"/>
      <c r="GAR36" s="14"/>
      <c r="GAS36" s="14"/>
      <c r="GAT36" s="14"/>
      <c r="GAU36" s="14"/>
      <c r="GAV36" s="14"/>
      <c r="GAW36" s="14"/>
      <c r="GAX36" s="14"/>
      <c r="GAY36" s="14"/>
      <c r="GAZ36" s="14"/>
      <c r="GBA36" s="14"/>
      <c r="GBB36" s="14"/>
      <c r="GBC36" s="14"/>
      <c r="GBD36" s="14"/>
      <c r="GBE36" s="14"/>
      <c r="GBF36" s="14"/>
      <c r="GBG36" s="14"/>
      <c r="GBH36" s="14"/>
      <c r="GBI36" s="14"/>
      <c r="GBJ36" s="14"/>
      <c r="GBK36" s="14"/>
      <c r="GBL36" s="14"/>
      <c r="GBM36" s="14"/>
      <c r="GBN36" s="14"/>
      <c r="GBO36" s="14"/>
      <c r="GBP36" s="14"/>
      <c r="GBQ36" s="14"/>
      <c r="GBR36" s="14"/>
      <c r="GBS36" s="14"/>
      <c r="GBT36" s="14"/>
      <c r="GBU36" s="14"/>
      <c r="GBV36" s="14"/>
      <c r="GBW36" s="14"/>
      <c r="GBX36" s="14"/>
      <c r="GBY36" s="14"/>
      <c r="GBZ36" s="14"/>
      <c r="GCA36" s="14"/>
      <c r="GCB36" s="14"/>
      <c r="GCC36" s="14"/>
      <c r="GCD36" s="14"/>
      <c r="GCE36" s="14"/>
      <c r="GCF36" s="14"/>
      <c r="GCG36" s="14"/>
      <c r="GCH36" s="14"/>
      <c r="GCI36" s="14"/>
      <c r="GCJ36" s="14"/>
      <c r="GCK36" s="14"/>
      <c r="GCL36" s="14"/>
      <c r="GCM36" s="14"/>
      <c r="GCN36" s="14"/>
      <c r="GCO36" s="14"/>
      <c r="GCP36" s="14"/>
      <c r="GCQ36" s="14"/>
      <c r="GCR36" s="14"/>
      <c r="GCS36" s="14"/>
      <c r="GCT36" s="14"/>
      <c r="GCU36" s="14"/>
      <c r="GCV36" s="14"/>
      <c r="GCW36" s="14"/>
      <c r="GCX36" s="14"/>
      <c r="GCY36" s="14"/>
      <c r="GCZ36" s="14"/>
      <c r="GDA36" s="14"/>
      <c r="GDB36" s="14"/>
      <c r="GDC36" s="14"/>
      <c r="GDD36" s="14"/>
      <c r="GDE36" s="14"/>
      <c r="GDF36" s="14"/>
      <c r="GDG36" s="14"/>
      <c r="GDH36" s="14"/>
      <c r="GDI36" s="14"/>
      <c r="GDJ36" s="14"/>
      <c r="GDK36" s="14"/>
      <c r="GDL36" s="14"/>
      <c r="GDM36" s="14"/>
      <c r="GDN36" s="14"/>
      <c r="GDO36" s="14"/>
      <c r="GDP36" s="14"/>
      <c r="GDQ36" s="14"/>
      <c r="GDR36" s="14"/>
      <c r="GDS36" s="14"/>
      <c r="GDT36" s="14"/>
      <c r="GDU36" s="14"/>
      <c r="GDV36" s="14"/>
      <c r="GDW36" s="14"/>
      <c r="GDX36" s="14"/>
      <c r="GDY36" s="14"/>
      <c r="GDZ36" s="14"/>
      <c r="GEA36" s="14"/>
      <c r="GEB36" s="14"/>
      <c r="GEC36" s="14"/>
      <c r="GED36" s="14"/>
      <c r="GEE36" s="14"/>
      <c r="GEF36" s="14"/>
      <c r="GEG36" s="14"/>
      <c r="GEH36" s="14"/>
      <c r="GEI36" s="14"/>
      <c r="GEJ36" s="14"/>
      <c r="GEK36" s="14"/>
      <c r="GEL36" s="14"/>
      <c r="GEM36" s="14"/>
      <c r="GEN36" s="14"/>
      <c r="GEO36" s="14"/>
      <c r="GEP36" s="14"/>
      <c r="GEQ36" s="14"/>
      <c r="GER36" s="14"/>
      <c r="GES36" s="14"/>
      <c r="GET36" s="14"/>
      <c r="GEU36" s="14"/>
      <c r="GEV36" s="14"/>
      <c r="GEW36" s="14"/>
      <c r="GEX36" s="14"/>
      <c r="GEY36" s="14"/>
      <c r="GEZ36" s="14"/>
      <c r="GFA36" s="14"/>
      <c r="GFB36" s="14"/>
      <c r="GFC36" s="14"/>
      <c r="GFD36" s="14"/>
      <c r="GFE36" s="14"/>
      <c r="GFF36" s="14"/>
      <c r="GFG36" s="14"/>
      <c r="GFH36" s="14"/>
      <c r="GFI36" s="14"/>
      <c r="GFJ36" s="14"/>
      <c r="GFK36" s="14"/>
      <c r="GFL36" s="14"/>
      <c r="GFM36" s="14"/>
      <c r="GFN36" s="14"/>
      <c r="GFO36" s="14"/>
      <c r="GFP36" s="14"/>
      <c r="GFQ36" s="14"/>
      <c r="GFR36" s="14"/>
      <c r="GFS36" s="14"/>
      <c r="GFT36" s="14"/>
      <c r="GFU36" s="14"/>
      <c r="GFV36" s="14"/>
      <c r="GFW36" s="14"/>
      <c r="GFX36" s="14"/>
      <c r="GFY36" s="14"/>
      <c r="GFZ36" s="14"/>
      <c r="GGA36" s="14"/>
      <c r="GGB36" s="14"/>
      <c r="GGC36" s="14"/>
      <c r="GGD36" s="14"/>
      <c r="GGE36" s="14"/>
      <c r="GGF36" s="14"/>
      <c r="GGG36" s="14"/>
      <c r="GGH36" s="14"/>
      <c r="GGI36" s="14"/>
      <c r="GGJ36" s="14"/>
      <c r="GGK36" s="14"/>
      <c r="GGL36" s="14"/>
      <c r="GGM36" s="14"/>
      <c r="GGN36" s="14"/>
      <c r="GGO36" s="14"/>
      <c r="GGP36" s="14"/>
      <c r="GGQ36" s="14"/>
      <c r="GGR36" s="14"/>
      <c r="GGS36" s="14"/>
      <c r="GGT36" s="14"/>
      <c r="GGU36" s="14"/>
      <c r="GGV36" s="14"/>
      <c r="GGW36" s="14"/>
      <c r="GGX36" s="14"/>
      <c r="GGY36" s="14"/>
      <c r="GGZ36" s="14"/>
      <c r="GHA36" s="14"/>
      <c r="GHB36" s="14"/>
      <c r="GHC36" s="14"/>
      <c r="GHD36" s="14"/>
      <c r="GHE36" s="14"/>
      <c r="GHF36" s="14"/>
      <c r="GHG36" s="14"/>
      <c r="GHH36" s="14"/>
      <c r="GHI36" s="14"/>
      <c r="GHJ36" s="14"/>
      <c r="GHK36" s="14"/>
      <c r="GHL36" s="14"/>
      <c r="GHM36" s="14"/>
      <c r="GHN36" s="14"/>
      <c r="GHO36" s="14"/>
      <c r="GHP36" s="14"/>
      <c r="GHQ36" s="14"/>
      <c r="GHR36" s="14"/>
      <c r="GHS36" s="14"/>
      <c r="GHT36" s="14"/>
      <c r="GHU36" s="14"/>
      <c r="GHV36" s="14"/>
      <c r="GHW36" s="14"/>
      <c r="GHX36" s="14"/>
      <c r="GHY36" s="14"/>
      <c r="GHZ36" s="14"/>
      <c r="GIA36" s="14"/>
      <c r="GIB36" s="14"/>
      <c r="GIC36" s="14"/>
      <c r="GID36" s="14"/>
      <c r="GIE36" s="14"/>
      <c r="GIF36" s="14"/>
      <c r="GIG36" s="14"/>
      <c r="GIH36" s="14"/>
      <c r="GII36" s="14"/>
      <c r="GIJ36" s="14"/>
      <c r="GIK36" s="14"/>
      <c r="GIL36" s="14"/>
      <c r="GIM36" s="14"/>
      <c r="GIN36" s="14"/>
      <c r="GIO36" s="14"/>
      <c r="GIP36" s="14"/>
      <c r="GIQ36" s="14"/>
      <c r="GIR36" s="14"/>
      <c r="GIS36" s="14"/>
      <c r="GIT36" s="14"/>
      <c r="GIU36" s="14"/>
      <c r="GIV36" s="14"/>
      <c r="GIW36" s="14"/>
      <c r="GIX36" s="14"/>
      <c r="GIY36" s="14"/>
      <c r="GIZ36" s="14"/>
      <c r="GJA36" s="14"/>
      <c r="GJB36" s="14"/>
      <c r="GJC36" s="14"/>
      <c r="GJD36" s="14"/>
      <c r="GJE36" s="14"/>
      <c r="GJF36" s="14"/>
      <c r="GJG36" s="14"/>
      <c r="GJH36" s="14"/>
      <c r="GJI36" s="14"/>
      <c r="GJJ36" s="14"/>
      <c r="GJK36" s="14"/>
      <c r="GJL36" s="14"/>
      <c r="GJM36" s="14"/>
      <c r="GJN36" s="14"/>
      <c r="GJO36" s="14"/>
      <c r="GJP36" s="14"/>
      <c r="GJQ36" s="14"/>
      <c r="GJR36" s="14"/>
      <c r="GJS36" s="14"/>
      <c r="GJT36" s="14"/>
      <c r="GJU36" s="14"/>
      <c r="GJV36" s="14"/>
      <c r="GJW36" s="14"/>
      <c r="GJX36" s="14"/>
      <c r="GJY36" s="14"/>
      <c r="GJZ36" s="14"/>
      <c r="GKA36" s="14"/>
      <c r="GKB36" s="14"/>
      <c r="GKC36" s="14"/>
      <c r="GKD36" s="14"/>
      <c r="GKE36" s="14"/>
      <c r="GKF36" s="14"/>
      <c r="GKG36" s="14"/>
      <c r="GKH36" s="14"/>
      <c r="GKI36" s="14"/>
      <c r="GKJ36" s="14"/>
      <c r="GKK36" s="14"/>
      <c r="GKL36" s="14"/>
      <c r="GKM36" s="14"/>
      <c r="GKN36" s="14"/>
      <c r="GKO36" s="14"/>
      <c r="GKP36" s="14"/>
      <c r="GKQ36" s="14"/>
      <c r="GKR36" s="14"/>
      <c r="GKS36" s="14"/>
      <c r="GKT36" s="14"/>
      <c r="GKU36" s="14"/>
      <c r="GKV36" s="14"/>
      <c r="GKW36" s="14"/>
      <c r="GKX36" s="14"/>
      <c r="GKY36" s="14"/>
      <c r="GKZ36" s="14"/>
      <c r="GLA36" s="14"/>
      <c r="GLB36" s="14"/>
      <c r="GLC36" s="14"/>
      <c r="GLD36" s="14"/>
      <c r="GLE36" s="14"/>
      <c r="GLF36" s="14"/>
      <c r="GLG36" s="14"/>
      <c r="GLH36" s="14"/>
      <c r="GLI36" s="14"/>
      <c r="GLJ36" s="14"/>
      <c r="GLK36" s="14"/>
      <c r="GLL36" s="14"/>
      <c r="GLM36" s="14"/>
      <c r="GLN36" s="14"/>
      <c r="GLO36" s="14"/>
      <c r="GLP36" s="14"/>
      <c r="GLQ36" s="14"/>
      <c r="GLR36" s="14"/>
      <c r="GLS36" s="14"/>
      <c r="GLT36" s="14"/>
      <c r="GLU36" s="14"/>
      <c r="GLV36" s="14"/>
      <c r="GLW36" s="14"/>
      <c r="GLX36" s="14"/>
      <c r="GLY36" s="14"/>
      <c r="GLZ36" s="14"/>
      <c r="GMA36" s="14"/>
      <c r="GMB36" s="14"/>
      <c r="GMC36" s="14"/>
      <c r="GMD36" s="14"/>
      <c r="GME36" s="14"/>
      <c r="GMF36" s="14"/>
      <c r="GMG36" s="14"/>
      <c r="GMH36" s="14"/>
      <c r="GMI36" s="14"/>
      <c r="GMJ36" s="14"/>
      <c r="GMK36" s="14"/>
      <c r="GML36" s="14"/>
      <c r="GMM36" s="14"/>
      <c r="GMN36" s="14"/>
      <c r="GMO36" s="14"/>
      <c r="GMP36" s="14"/>
      <c r="GMQ36" s="14"/>
      <c r="GMR36" s="14"/>
      <c r="GMS36" s="14"/>
      <c r="GMT36" s="14"/>
      <c r="GMU36" s="14"/>
      <c r="GMV36" s="14"/>
      <c r="GMW36" s="14"/>
      <c r="GMX36" s="14"/>
      <c r="GMY36" s="14"/>
      <c r="GMZ36" s="14"/>
      <c r="GNA36" s="14"/>
      <c r="GNB36" s="14"/>
      <c r="GNC36" s="14"/>
      <c r="GND36" s="14"/>
      <c r="GNE36" s="14"/>
      <c r="GNF36" s="14"/>
      <c r="GNG36" s="14"/>
      <c r="GNH36" s="14"/>
      <c r="GNI36" s="14"/>
      <c r="GNJ36" s="14"/>
      <c r="GNK36" s="14"/>
      <c r="GNL36" s="14"/>
      <c r="GNM36" s="14"/>
      <c r="GNN36" s="14"/>
      <c r="GNO36" s="14"/>
      <c r="GNP36" s="14"/>
      <c r="GNQ36" s="14"/>
      <c r="GNR36" s="14"/>
      <c r="GNS36" s="14"/>
      <c r="GNT36" s="14"/>
      <c r="GNU36" s="14"/>
      <c r="GNV36" s="14"/>
      <c r="GNW36" s="14"/>
      <c r="GNX36" s="14"/>
      <c r="GNY36" s="14"/>
      <c r="GNZ36" s="14"/>
      <c r="GOA36" s="14"/>
      <c r="GOB36" s="14"/>
      <c r="GOC36" s="14"/>
      <c r="GOD36" s="14"/>
      <c r="GOE36" s="14"/>
      <c r="GOF36" s="14"/>
      <c r="GOG36" s="14"/>
      <c r="GOH36" s="14"/>
      <c r="GOI36" s="14"/>
      <c r="GOJ36" s="14"/>
      <c r="GOK36" s="14"/>
      <c r="GOL36" s="14"/>
      <c r="GOM36" s="14"/>
      <c r="GON36" s="14"/>
      <c r="GOO36" s="14"/>
      <c r="GOP36" s="14"/>
      <c r="GOQ36" s="14"/>
      <c r="GOR36" s="14"/>
      <c r="GOS36" s="14"/>
      <c r="GOT36" s="14"/>
      <c r="GOU36" s="14"/>
      <c r="GOV36" s="14"/>
      <c r="GOW36" s="14"/>
      <c r="GOX36" s="14"/>
      <c r="GOY36" s="14"/>
      <c r="GOZ36" s="14"/>
      <c r="GPA36" s="14"/>
      <c r="GPB36" s="14"/>
      <c r="GPC36" s="14"/>
      <c r="GPD36" s="14"/>
      <c r="GPE36" s="14"/>
      <c r="GPF36" s="14"/>
      <c r="GPG36" s="14"/>
      <c r="GPH36" s="14"/>
      <c r="GPI36" s="14"/>
      <c r="GPJ36" s="14"/>
      <c r="GPK36" s="14"/>
      <c r="GPL36" s="14"/>
      <c r="GPM36" s="14"/>
      <c r="GPN36" s="14"/>
      <c r="GPO36" s="14"/>
      <c r="GPP36" s="14"/>
      <c r="GPQ36" s="14"/>
      <c r="GPR36" s="14"/>
      <c r="GPS36" s="14"/>
      <c r="GPT36" s="14"/>
      <c r="GPU36" s="14"/>
      <c r="GPV36" s="14"/>
      <c r="GPW36" s="14"/>
      <c r="GPX36" s="14"/>
      <c r="GPY36" s="14"/>
      <c r="GPZ36" s="14"/>
      <c r="GQA36" s="14"/>
      <c r="GQB36" s="14"/>
      <c r="GQC36" s="14"/>
      <c r="GQD36" s="14"/>
      <c r="GQE36" s="14"/>
      <c r="GQF36" s="14"/>
      <c r="GQG36" s="14"/>
      <c r="GQH36" s="14"/>
      <c r="GQI36" s="14"/>
      <c r="GQJ36" s="14"/>
      <c r="GQK36" s="14"/>
      <c r="GQL36" s="14"/>
      <c r="GQM36" s="14"/>
      <c r="GQN36" s="14"/>
      <c r="GQO36" s="14"/>
      <c r="GQP36" s="14"/>
      <c r="GQQ36" s="14"/>
      <c r="GQR36" s="14"/>
      <c r="GQS36" s="14"/>
      <c r="GQT36" s="14"/>
      <c r="GQU36" s="14"/>
      <c r="GQV36" s="14"/>
      <c r="GQW36" s="14"/>
      <c r="GQX36" s="14"/>
      <c r="GQY36" s="14"/>
      <c r="GQZ36" s="14"/>
      <c r="GRA36" s="14"/>
      <c r="GRB36" s="14"/>
      <c r="GRC36" s="14"/>
      <c r="GRD36" s="14"/>
      <c r="GRE36" s="14"/>
      <c r="GRF36" s="14"/>
      <c r="GRG36" s="14"/>
      <c r="GRH36" s="14"/>
      <c r="GRI36" s="14"/>
      <c r="GRJ36" s="14"/>
      <c r="GRK36" s="14"/>
      <c r="GRL36" s="14"/>
      <c r="GRM36" s="14"/>
      <c r="GRN36" s="14"/>
      <c r="GRO36" s="14"/>
      <c r="GRP36" s="14"/>
      <c r="GRQ36" s="14"/>
      <c r="GRR36" s="14"/>
      <c r="GRS36" s="14"/>
      <c r="GRT36" s="14"/>
      <c r="GRU36" s="14"/>
      <c r="GRV36" s="14"/>
      <c r="GRW36" s="14"/>
      <c r="GRX36" s="14"/>
      <c r="GRY36" s="14"/>
      <c r="GRZ36" s="14"/>
      <c r="GSA36" s="14"/>
      <c r="GSB36" s="14"/>
      <c r="GSC36" s="14"/>
      <c r="GSD36" s="14"/>
      <c r="GSE36" s="14"/>
      <c r="GSF36" s="14"/>
      <c r="GSG36" s="14"/>
      <c r="GSH36" s="14"/>
      <c r="GSI36" s="14"/>
      <c r="GSJ36" s="14"/>
      <c r="GSK36" s="14"/>
      <c r="GSL36" s="14"/>
      <c r="GSM36" s="14"/>
      <c r="GSN36" s="14"/>
      <c r="GSO36" s="14"/>
      <c r="GSP36" s="14"/>
      <c r="GSQ36" s="14"/>
      <c r="GSR36" s="14"/>
      <c r="GSS36" s="14"/>
      <c r="GST36" s="14"/>
      <c r="GSU36" s="14"/>
      <c r="GSV36" s="14"/>
      <c r="GSW36" s="14"/>
      <c r="GSX36" s="14"/>
      <c r="GSY36" s="14"/>
      <c r="GSZ36" s="14"/>
      <c r="GTA36" s="14"/>
      <c r="GTB36" s="14"/>
      <c r="GTC36" s="14"/>
      <c r="GTD36" s="14"/>
      <c r="GTE36" s="14"/>
      <c r="GTF36" s="14"/>
      <c r="GTG36" s="14"/>
      <c r="GTH36" s="14"/>
      <c r="GTI36" s="14"/>
      <c r="GTJ36" s="14"/>
      <c r="GTK36" s="14"/>
      <c r="GTL36" s="14"/>
      <c r="GTM36" s="14"/>
      <c r="GTN36" s="14"/>
      <c r="GTO36" s="14"/>
      <c r="GTP36" s="14"/>
      <c r="GTQ36" s="14"/>
      <c r="GTR36" s="14"/>
      <c r="GTS36" s="14"/>
      <c r="GTT36" s="14"/>
      <c r="GTU36" s="14"/>
      <c r="GTV36" s="14"/>
      <c r="GTW36" s="14"/>
      <c r="GTX36" s="14"/>
      <c r="GTY36" s="14"/>
      <c r="GTZ36" s="14"/>
      <c r="GUA36" s="14"/>
      <c r="GUB36" s="14"/>
      <c r="GUC36" s="14"/>
      <c r="GUD36" s="14"/>
      <c r="GUE36" s="14"/>
      <c r="GUF36" s="14"/>
      <c r="GUG36" s="14"/>
      <c r="GUH36" s="14"/>
      <c r="GUI36" s="14"/>
      <c r="GUJ36" s="14"/>
      <c r="GUK36" s="14"/>
      <c r="GUL36" s="14"/>
      <c r="GUM36" s="14"/>
      <c r="GUN36" s="14"/>
      <c r="GUO36" s="14"/>
      <c r="GUP36" s="14"/>
      <c r="GUQ36" s="14"/>
      <c r="GUR36" s="14"/>
      <c r="GUS36" s="14"/>
      <c r="GUT36" s="14"/>
      <c r="GUU36" s="14"/>
      <c r="GUV36" s="14"/>
      <c r="GUW36" s="14"/>
      <c r="GUX36" s="14"/>
      <c r="GUY36" s="14"/>
      <c r="GUZ36" s="14"/>
      <c r="GVA36" s="14"/>
      <c r="GVB36" s="14"/>
      <c r="GVC36" s="14"/>
      <c r="GVD36" s="14"/>
      <c r="GVE36" s="14"/>
      <c r="GVF36" s="14"/>
      <c r="GVG36" s="14"/>
      <c r="GVH36" s="14"/>
      <c r="GVI36" s="14"/>
      <c r="GVJ36" s="14"/>
      <c r="GVK36" s="14"/>
      <c r="GVL36" s="14"/>
      <c r="GVM36" s="14"/>
      <c r="GVN36" s="14"/>
      <c r="GVO36" s="14"/>
      <c r="GVP36" s="14"/>
      <c r="GVQ36" s="14"/>
      <c r="GVR36" s="14"/>
      <c r="GVS36" s="14"/>
      <c r="GVT36" s="14"/>
      <c r="GVU36" s="14"/>
      <c r="GVV36" s="14"/>
      <c r="GVW36" s="14"/>
      <c r="GVX36" s="14"/>
      <c r="GVY36" s="14"/>
      <c r="GVZ36" s="14"/>
      <c r="GWA36" s="14"/>
      <c r="GWB36" s="14"/>
      <c r="GWC36" s="14"/>
      <c r="GWD36" s="14"/>
      <c r="GWE36" s="14"/>
      <c r="GWF36" s="14"/>
      <c r="GWG36" s="14"/>
      <c r="GWH36" s="14"/>
      <c r="GWI36" s="14"/>
      <c r="GWJ36" s="14"/>
      <c r="GWK36" s="14"/>
      <c r="GWL36" s="14"/>
      <c r="GWM36" s="14"/>
      <c r="GWN36" s="14"/>
      <c r="GWO36" s="14"/>
      <c r="GWP36" s="14"/>
      <c r="GWQ36" s="14"/>
      <c r="GWR36" s="14"/>
      <c r="GWS36" s="14"/>
      <c r="GWT36" s="14"/>
      <c r="GWU36" s="14"/>
      <c r="GWV36" s="14"/>
      <c r="GWW36" s="14"/>
      <c r="GWX36" s="14"/>
      <c r="GWY36" s="14"/>
      <c r="GWZ36" s="14"/>
      <c r="GXA36" s="14"/>
      <c r="GXB36" s="14"/>
      <c r="GXC36" s="14"/>
      <c r="GXD36" s="14"/>
      <c r="GXE36" s="14"/>
      <c r="GXF36" s="14"/>
      <c r="GXG36" s="14"/>
      <c r="GXH36" s="14"/>
      <c r="GXI36" s="14"/>
      <c r="GXJ36" s="14"/>
      <c r="GXK36" s="14"/>
      <c r="GXL36" s="14"/>
      <c r="GXM36" s="14"/>
      <c r="GXN36" s="14"/>
      <c r="GXO36" s="14"/>
      <c r="GXP36" s="14"/>
      <c r="GXQ36" s="14"/>
      <c r="GXR36" s="14"/>
      <c r="GXS36" s="14"/>
      <c r="GXT36" s="14"/>
      <c r="GXU36" s="14"/>
      <c r="GXV36" s="14"/>
      <c r="GXW36" s="14"/>
      <c r="GXX36" s="14"/>
      <c r="GXY36" s="14"/>
      <c r="GXZ36" s="14"/>
      <c r="GYA36" s="14"/>
      <c r="GYB36" s="14"/>
      <c r="GYC36" s="14"/>
      <c r="GYD36" s="14"/>
      <c r="GYE36" s="14"/>
      <c r="GYF36" s="14"/>
      <c r="GYG36" s="14"/>
      <c r="GYH36" s="14"/>
      <c r="GYI36" s="14"/>
      <c r="GYJ36" s="14"/>
      <c r="GYK36" s="14"/>
      <c r="GYL36" s="14"/>
      <c r="GYM36" s="14"/>
      <c r="GYN36" s="14"/>
      <c r="GYO36" s="14"/>
      <c r="GYP36" s="14"/>
      <c r="GYQ36" s="14"/>
      <c r="GYR36" s="14"/>
      <c r="GYS36" s="14"/>
      <c r="GYT36" s="14"/>
      <c r="GYU36" s="14"/>
      <c r="GYV36" s="14"/>
      <c r="GYW36" s="14"/>
      <c r="GYX36" s="14"/>
      <c r="GYY36" s="14"/>
      <c r="GYZ36" s="14"/>
      <c r="GZA36" s="14"/>
      <c r="GZB36" s="14"/>
      <c r="GZC36" s="14"/>
      <c r="GZD36" s="14"/>
      <c r="GZE36" s="14"/>
      <c r="GZF36" s="14"/>
      <c r="GZG36" s="14"/>
      <c r="GZH36" s="14"/>
      <c r="GZI36" s="14"/>
      <c r="GZJ36" s="14"/>
      <c r="GZK36" s="14"/>
      <c r="GZL36" s="14"/>
      <c r="GZM36" s="14"/>
      <c r="GZN36" s="14"/>
      <c r="GZO36" s="14"/>
      <c r="GZP36" s="14"/>
      <c r="GZQ36" s="14"/>
      <c r="GZR36" s="14"/>
      <c r="GZS36" s="14"/>
      <c r="GZT36" s="14"/>
      <c r="GZU36" s="14"/>
      <c r="GZV36" s="14"/>
      <c r="GZW36" s="14"/>
      <c r="GZX36" s="14"/>
      <c r="GZY36" s="14"/>
      <c r="GZZ36" s="14"/>
      <c r="HAA36" s="14"/>
      <c r="HAB36" s="14"/>
      <c r="HAC36" s="14"/>
      <c r="HAD36" s="14"/>
      <c r="HAE36" s="14"/>
      <c r="HAF36" s="14"/>
      <c r="HAG36" s="14"/>
      <c r="HAH36" s="14"/>
      <c r="HAI36" s="14"/>
      <c r="HAJ36" s="14"/>
      <c r="HAK36" s="14"/>
      <c r="HAL36" s="14"/>
      <c r="HAM36" s="14"/>
      <c r="HAN36" s="14"/>
      <c r="HAO36" s="14"/>
      <c r="HAP36" s="14"/>
      <c r="HAQ36" s="14"/>
      <c r="HAR36" s="14"/>
      <c r="HAS36" s="14"/>
      <c r="HAT36" s="14"/>
      <c r="HAU36" s="14"/>
      <c r="HAV36" s="14"/>
      <c r="HAW36" s="14"/>
      <c r="HAX36" s="14"/>
      <c r="HAY36" s="14"/>
      <c r="HAZ36" s="14"/>
      <c r="HBA36" s="14"/>
      <c r="HBB36" s="14"/>
      <c r="HBC36" s="14"/>
      <c r="HBD36" s="14"/>
      <c r="HBE36" s="14"/>
      <c r="HBF36" s="14"/>
      <c r="HBG36" s="14"/>
      <c r="HBH36" s="14"/>
      <c r="HBI36" s="14"/>
      <c r="HBJ36" s="14"/>
      <c r="HBK36" s="14"/>
      <c r="HBL36" s="14"/>
      <c r="HBM36" s="14"/>
      <c r="HBN36" s="14"/>
      <c r="HBO36" s="14"/>
      <c r="HBP36" s="14"/>
      <c r="HBQ36" s="14"/>
      <c r="HBR36" s="14"/>
      <c r="HBS36" s="14"/>
      <c r="HBT36" s="14"/>
      <c r="HBU36" s="14"/>
      <c r="HBV36" s="14"/>
      <c r="HBW36" s="14"/>
      <c r="HBX36" s="14"/>
      <c r="HBY36" s="14"/>
      <c r="HBZ36" s="14"/>
      <c r="HCA36" s="14"/>
      <c r="HCB36" s="14"/>
      <c r="HCC36" s="14"/>
      <c r="HCD36" s="14"/>
      <c r="HCE36" s="14"/>
      <c r="HCF36" s="14"/>
      <c r="HCG36" s="14"/>
      <c r="HCH36" s="14"/>
      <c r="HCI36" s="14"/>
      <c r="HCJ36" s="14"/>
      <c r="HCK36" s="14"/>
      <c r="HCL36" s="14"/>
      <c r="HCM36" s="14"/>
      <c r="HCN36" s="14"/>
      <c r="HCO36" s="14"/>
      <c r="HCP36" s="14"/>
      <c r="HCQ36" s="14"/>
      <c r="HCR36" s="14"/>
      <c r="HCS36" s="14"/>
      <c r="HCT36" s="14"/>
      <c r="HCU36" s="14"/>
      <c r="HCV36" s="14"/>
      <c r="HCW36" s="14"/>
      <c r="HCX36" s="14"/>
      <c r="HCY36" s="14"/>
      <c r="HCZ36" s="14"/>
      <c r="HDA36" s="14"/>
      <c r="HDB36" s="14"/>
      <c r="HDC36" s="14"/>
      <c r="HDD36" s="14"/>
      <c r="HDE36" s="14"/>
      <c r="HDF36" s="14"/>
      <c r="HDG36" s="14"/>
      <c r="HDH36" s="14"/>
      <c r="HDI36" s="14"/>
      <c r="HDJ36" s="14"/>
      <c r="HDK36" s="14"/>
      <c r="HDL36" s="14"/>
      <c r="HDM36" s="14"/>
      <c r="HDN36" s="14"/>
      <c r="HDO36" s="14"/>
      <c r="HDP36" s="14"/>
      <c r="HDQ36" s="14"/>
      <c r="HDR36" s="14"/>
      <c r="HDS36" s="14"/>
      <c r="HDT36" s="14"/>
      <c r="HDU36" s="14"/>
      <c r="HDV36" s="14"/>
      <c r="HDW36" s="14"/>
      <c r="HDX36" s="14"/>
      <c r="HDY36" s="14"/>
      <c r="HDZ36" s="14"/>
      <c r="HEA36" s="14"/>
      <c r="HEB36" s="14"/>
      <c r="HEC36" s="14"/>
      <c r="HED36" s="14"/>
      <c r="HEE36" s="14"/>
      <c r="HEF36" s="14"/>
      <c r="HEG36" s="14"/>
      <c r="HEH36" s="14"/>
      <c r="HEI36" s="14"/>
      <c r="HEJ36" s="14"/>
      <c r="HEK36" s="14"/>
      <c r="HEL36" s="14"/>
      <c r="HEM36" s="14"/>
      <c r="HEN36" s="14"/>
      <c r="HEO36" s="14"/>
      <c r="HEP36" s="14"/>
      <c r="HEQ36" s="14"/>
      <c r="HER36" s="14"/>
      <c r="HES36" s="14"/>
      <c r="HET36" s="14"/>
      <c r="HEU36" s="14"/>
      <c r="HEV36" s="14"/>
      <c r="HEW36" s="14"/>
      <c r="HEX36" s="14"/>
      <c r="HEY36" s="14"/>
      <c r="HEZ36" s="14"/>
      <c r="HFA36" s="14"/>
      <c r="HFB36" s="14"/>
      <c r="HFC36" s="14"/>
      <c r="HFD36" s="14"/>
      <c r="HFE36" s="14"/>
      <c r="HFF36" s="14"/>
      <c r="HFG36" s="14"/>
      <c r="HFH36" s="14"/>
      <c r="HFI36" s="14"/>
      <c r="HFJ36" s="14"/>
      <c r="HFK36" s="14"/>
      <c r="HFL36" s="14"/>
      <c r="HFM36" s="14"/>
      <c r="HFN36" s="14"/>
      <c r="HFO36" s="14"/>
      <c r="HFP36" s="14"/>
      <c r="HFQ36" s="14"/>
      <c r="HFR36" s="14"/>
      <c r="HFS36" s="14"/>
      <c r="HFT36" s="14"/>
      <c r="HFU36" s="14"/>
      <c r="HFV36" s="14"/>
      <c r="HFW36" s="14"/>
      <c r="HFX36" s="14"/>
      <c r="HFY36" s="14"/>
      <c r="HFZ36" s="14"/>
      <c r="HGA36" s="14"/>
      <c r="HGB36" s="14"/>
      <c r="HGC36" s="14"/>
      <c r="HGD36" s="14"/>
      <c r="HGE36" s="14"/>
      <c r="HGF36" s="14"/>
      <c r="HGG36" s="14"/>
      <c r="HGH36" s="14"/>
      <c r="HGI36" s="14"/>
      <c r="HGJ36" s="14"/>
      <c r="HGK36" s="14"/>
      <c r="HGL36" s="14"/>
      <c r="HGM36" s="14"/>
      <c r="HGN36" s="14"/>
      <c r="HGO36" s="14"/>
      <c r="HGP36" s="14"/>
      <c r="HGQ36" s="14"/>
      <c r="HGR36" s="14"/>
      <c r="HGS36" s="14"/>
      <c r="HGT36" s="14"/>
      <c r="HGU36" s="14"/>
      <c r="HGV36" s="14"/>
      <c r="HGW36" s="14"/>
      <c r="HGX36" s="14"/>
      <c r="HGY36" s="14"/>
      <c r="HGZ36" s="14"/>
      <c r="HHA36" s="14"/>
      <c r="HHB36" s="14"/>
      <c r="HHC36" s="14"/>
      <c r="HHD36" s="14"/>
      <c r="HHE36" s="14"/>
      <c r="HHF36" s="14"/>
      <c r="HHG36" s="14"/>
      <c r="HHH36" s="14"/>
      <c r="HHI36" s="14"/>
      <c r="HHJ36" s="14"/>
      <c r="HHK36" s="14"/>
      <c r="HHL36" s="14"/>
      <c r="HHM36" s="14"/>
      <c r="HHN36" s="14"/>
      <c r="HHO36" s="14"/>
      <c r="HHP36" s="14"/>
      <c r="HHQ36" s="14"/>
      <c r="HHR36" s="14"/>
      <c r="HHS36" s="14"/>
      <c r="HHT36" s="14"/>
      <c r="HHU36" s="14"/>
      <c r="HHV36" s="14"/>
      <c r="HHW36" s="14"/>
      <c r="HHX36" s="14"/>
      <c r="HHY36" s="14"/>
      <c r="HHZ36" s="14"/>
      <c r="HIA36" s="14"/>
      <c r="HIB36" s="14"/>
      <c r="HIC36" s="14"/>
      <c r="HID36" s="14"/>
      <c r="HIE36" s="14"/>
      <c r="HIF36" s="14"/>
      <c r="HIG36" s="14"/>
      <c r="HIH36" s="14"/>
      <c r="HII36" s="14"/>
      <c r="HIJ36" s="14"/>
      <c r="HIK36" s="14"/>
      <c r="HIL36" s="14"/>
      <c r="HIM36" s="14"/>
      <c r="HIN36" s="14"/>
      <c r="HIO36" s="14"/>
      <c r="HIP36" s="14"/>
      <c r="HIQ36" s="14"/>
      <c r="HIR36" s="14"/>
      <c r="HIS36" s="14"/>
      <c r="HIT36" s="14"/>
      <c r="HIU36" s="14"/>
      <c r="HIV36" s="14"/>
      <c r="HIW36" s="14"/>
      <c r="HIX36" s="14"/>
      <c r="HIY36" s="14"/>
      <c r="HIZ36" s="14"/>
      <c r="HJA36" s="14"/>
      <c r="HJB36" s="14"/>
      <c r="HJC36" s="14"/>
      <c r="HJD36" s="14"/>
      <c r="HJE36" s="14"/>
      <c r="HJF36" s="14"/>
      <c r="HJG36" s="14"/>
      <c r="HJH36" s="14"/>
      <c r="HJI36" s="14"/>
      <c r="HJJ36" s="14"/>
      <c r="HJK36" s="14"/>
      <c r="HJL36" s="14"/>
      <c r="HJM36" s="14"/>
      <c r="HJN36" s="14"/>
      <c r="HJO36" s="14"/>
      <c r="HJP36" s="14"/>
      <c r="HJQ36" s="14"/>
      <c r="HJR36" s="14"/>
      <c r="HJS36" s="14"/>
      <c r="HJT36" s="14"/>
      <c r="HJU36" s="14"/>
      <c r="HJV36" s="14"/>
      <c r="HJW36" s="14"/>
      <c r="HJX36" s="14"/>
      <c r="HJY36" s="14"/>
      <c r="HJZ36" s="14"/>
      <c r="HKA36" s="14"/>
      <c r="HKB36" s="14"/>
      <c r="HKC36" s="14"/>
      <c r="HKD36" s="14"/>
      <c r="HKE36" s="14"/>
      <c r="HKF36" s="14"/>
      <c r="HKG36" s="14"/>
      <c r="HKH36" s="14"/>
      <c r="HKI36" s="14"/>
      <c r="HKJ36" s="14"/>
      <c r="HKK36" s="14"/>
      <c r="HKL36" s="14"/>
      <c r="HKM36" s="14"/>
      <c r="HKN36" s="14"/>
      <c r="HKO36" s="14"/>
      <c r="HKP36" s="14"/>
      <c r="HKQ36" s="14"/>
      <c r="HKR36" s="14"/>
      <c r="HKS36" s="14"/>
      <c r="HKT36" s="14"/>
      <c r="HKU36" s="14"/>
      <c r="HKV36" s="14"/>
      <c r="HKW36" s="14"/>
      <c r="HKX36" s="14"/>
      <c r="HKY36" s="14"/>
      <c r="HKZ36" s="14"/>
      <c r="HLA36" s="14"/>
      <c r="HLB36" s="14"/>
      <c r="HLC36" s="14"/>
      <c r="HLD36" s="14"/>
      <c r="HLE36" s="14"/>
      <c r="HLF36" s="14"/>
      <c r="HLG36" s="14"/>
      <c r="HLH36" s="14"/>
      <c r="HLI36" s="14"/>
      <c r="HLJ36" s="14"/>
      <c r="HLK36" s="14"/>
      <c r="HLL36" s="14"/>
      <c r="HLM36" s="14"/>
      <c r="HLN36" s="14"/>
      <c r="HLO36" s="14"/>
      <c r="HLP36" s="14"/>
      <c r="HLQ36" s="14"/>
      <c r="HLR36" s="14"/>
      <c r="HLS36" s="14"/>
      <c r="HLT36" s="14"/>
      <c r="HLU36" s="14"/>
      <c r="HLV36" s="14"/>
      <c r="HLW36" s="14"/>
      <c r="HLX36" s="14"/>
      <c r="HLY36" s="14"/>
      <c r="HLZ36" s="14"/>
      <c r="HMA36" s="14"/>
      <c r="HMB36" s="14"/>
      <c r="HMC36" s="14"/>
      <c r="HMD36" s="14"/>
      <c r="HME36" s="14"/>
      <c r="HMF36" s="14"/>
      <c r="HMG36" s="14"/>
      <c r="HMH36" s="14"/>
      <c r="HMI36" s="14"/>
      <c r="HMJ36" s="14"/>
      <c r="HMK36" s="14"/>
      <c r="HML36" s="14"/>
      <c r="HMM36" s="14"/>
      <c r="HMN36" s="14"/>
      <c r="HMO36" s="14"/>
      <c r="HMP36" s="14"/>
      <c r="HMQ36" s="14"/>
      <c r="HMR36" s="14"/>
      <c r="HMS36" s="14"/>
      <c r="HMT36" s="14"/>
      <c r="HMU36" s="14"/>
      <c r="HMV36" s="14"/>
      <c r="HMW36" s="14"/>
      <c r="HMX36" s="14"/>
      <c r="HMY36" s="14"/>
      <c r="HMZ36" s="14"/>
      <c r="HNA36" s="14"/>
      <c r="HNB36" s="14"/>
      <c r="HNC36" s="14"/>
      <c r="HND36" s="14"/>
      <c r="HNE36" s="14"/>
      <c r="HNF36" s="14"/>
      <c r="HNG36" s="14"/>
      <c r="HNH36" s="14"/>
      <c r="HNI36" s="14"/>
      <c r="HNJ36" s="14"/>
      <c r="HNK36" s="14"/>
      <c r="HNL36" s="14"/>
      <c r="HNM36" s="14"/>
      <c r="HNN36" s="14"/>
      <c r="HNO36" s="14"/>
      <c r="HNP36" s="14"/>
      <c r="HNQ36" s="14"/>
      <c r="HNR36" s="14"/>
      <c r="HNS36" s="14"/>
      <c r="HNT36" s="14"/>
      <c r="HNU36" s="14"/>
      <c r="HNV36" s="14"/>
      <c r="HNW36" s="14"/>
      <c r="HNX36" s="14"/>
      <c r="HNY36" s="14"/>
      <c r="HNZ36" s="14"/>
      <c r="HOA36" s="14"/>
      <c r="HOB36" s="14"/>
      <c r="HOC36" s="14"/>
      <c r="HOD36" s="14"/>
      <c r="HOE36" s="14"/>
      <c r="HOF36" s="14"/>
      <c r="HOG36" s="14"/>
      <c r="HOH36" s="14"/>
      <c r="HOI36" s="14"/>
      <c r="HOJ36" s="14"/>
      <c r="HOK36" s="14"/>
      <c r="HOL36" s="14"/>
      <c r="HOM36" s="14"/>
      <c r="HON36" s="14"/>
      <c r="HOO36" s="14"/>
      <c r="HOP36" s="14"/>
      <c r="HOQ36" s="14"/>
      <c r="HOR36" s="14"/>
      <c r="HOS36" s="14"/>
      <c r="HOT36" s="14"/>
      <c r="HOU36" s="14"/>
      <c r="HOV36" s="14"/>
      <c r="HOW36" s="14"/>
      <c r="HOX36" s="14"/>
      <c r="HOY36" s="14"/>
      <c r="HOZ36" s="14"/>
      <c r="HPA36" s="14"/>
      <c r="HPB36" s="14"/>
      <c r="HPC36" s="14"/>
      <c r="HPD36" s="14"/>
      <c r="HPE36" s="14"/>
      <c r="HPF36" s="14"/>
      <c r="HPG36" s="14"/>
      <c r="HPH36" s="14"/>
      <c r="HPI36" s="14"/>
      <c r="HPJ36" s="14"/>
      <c r="HPK36" s="14"/>
      <c r="HPL36" s="14"/>
      <c r="HPM36" s="14"/>
      <c r="HPN36" s="14"/>
      <c r="HPO36" s="14"/>
      <c r="HPP36" s="14"/>
      <c r="HPQ36" s="14"/>
      <c r="HPR36" s="14"/>
      <c r="HPS36" s="14"/>
      <c r="HPT36" s="14"/>
      <c r="HPU36" s="14"/>
      <c r="HPV36" s="14"/>
      <c r="HPW36" s="14"/>
      <c r="HPX36" s="14"/>
      <c r="HPY36" s="14"/>
      <c r="HPZ36" s="14"/>
      <c r="HQA36" s="14"/>
      <c r="HQB36" s="14"/>
      <c r="HQC36" s="14"/>
      <c r="HQD36" s="14"/>
      <c r="HQE36" s="14"/>
      <c r="HQF36" s="14"/>
      <c r="HQG36" s="14"/>
      <c r="HQH36" s="14"/>
      <c r="HQI36" s="14"/>
      <c r="HQJ36" s="14"/>
      <c r="HQK36" s="14"/>
      <c r="HQL36" s="14"/>
      <c r="HQM36" s="14"/>
      <c r="HQN36" s="14"/>
      <c r="HQO36" s="14"/>
      <c r="HQP36" s="14"/>
      <c r="HQQ36" s="14"/>
      <c r="HQR36" s="14"/>
      <c r="HQS36" s="14"/>
      <c r="HQT36" s="14"/>
      <c r="HQU36" s="14"/>
      <c r="HQV36" s="14"/>
      <c r="HQW36" s="14"/>
      <c r="HQX36" s="14"/>
      <c r="HQY36" s="14"/>
      <c r="HQZ36" s="14"/>
      <c r="HRA36" s="14"/>
      <c r="HRB36" s="14"/>
      <c r="HRC36" s="14"/>
      <c r="HRD36" s="14"/>
      <c r="HRE36" s="14"/>
      <c r="HRF36" s="14"/>
      <c r="HRG36" s="14"/>
      <c r="HRH36" s="14"/>
      <c r="HRI36" s="14"/>
      <c r="HRJ36" s="14"/>
      <c r="HRK36" s="14"/>
      <c r="HRL36" s="14"/>
      <c r="HRM36" s="14"/>
      <c r="HRN36" s="14"/>
      <c r="HRO36" s="14"/>
      <c r="HRP36" s="14"/>
      <c r="HRQ36" s="14"/>
      <c r="HRR36" s="14"/>
      <c r="HRS36" s="14"/>
      <c r="HRT36" s="14"/>
      <c r="HRU36" s="14"/>
      <c r="HRV36" s="14"/>
      <c r="HRW36" s="14"/>
      <c r="HRX36" s="14"/>
      <c r="HRY36" s="14"/>
      <c r="HRZ36" s="14"/>
      <c r="HSA36" s="14"/>
      <c r="HSB36" s="14"/>
      <c r="HSC36" s="14"/>
      <c r="HSD36" s="14"/>
      <c r="HSE36" s="14"/>
      <c r="HSF36" s="14"/>
      <c r="HSG36" s="14"/>
      <c r="HSH36" s="14"/>
      <c r="HSI36" s="14"/>
      <c r="HSJ36" s="14"/>
      <c r="HSK36" s="14"/>
      <c r="HSL36" s="14"/>
      <c r="HSM36" s="14"/>
      <c r="HSN36" s="14"/>
      <c r="HSO36" s="14"/>
      <c r="HSP36" s="14"/>
      <c r="HSQ36" s="14"/>
      <c r="HSR36" s="14"/>
      <c r="HSS36" s="14"/>
      <c r="HST36" s="14"/>
      <c r="HSU36" s="14"/>
      <c r="HSV36" s="14"/>
      <c r="HSW36" s="14"/>
      <c r="HSX36" s="14"/>
      <c r="HSY36" s="14"/>
      <c r="HSZ36" s="14"/>
      <c r="HTA36" s="14"/>
      <c r="HTB36" s="14"/>
      <c r="HTC36" s="14"/>
      <c r="HTD36" s="14"/>
      <c r="HTE36" s="14"/>
      <c r="HTF36" s="14"/>
      <c r="HTG36" s="14"/>
      <c r="HTH36" s="14"/>
      <c r="HTI36" s="14"/>
      <c r="HTJ36" s="14"/>
      <c r="HTK36" s="14"/>
      <c r="HTL36" s="14"/>
      <c r="HTM36" s="14"/>
      <c r="HTN36" s="14"/>
      <c r="HTO36" s="14"/>
      <c r="HTP36" s="14"/>
      <c r="HTQ36" s="14"/>
      <c r="HTR36" s="14"/>
      <c r="HTS36" s="14"/>
      <c r="HTT36" s="14"/>
      <c r="HTU36" s="14"/>
      <c r="HTV36" s="14"/>
      <c r="HTW36" s="14"/>
      <c r="HTX36" s="14"/>
      <c r="HTY36" s="14"/>
      <c r="HTZ36" s="14"/>
      <c r="HUA36" s="14"/>
      <c r="HUB36" s="14"/>
      <c r="HUC36" s="14"/>
      <c r="HUD36" s="14"/>
      <c r="HUE36" s="14"/>
      <c r="HUF36" s="14"/>
      <c r="HUG36" s="14"/>
      <c r="HUH36" s="14"/>
      <c r="HUI36" s="14"/>
      <c r="HUJ36" s="14"/>
      <c r="HUK36" s="14"/>
      <c r="HUL36" s="14"/>
      <c r="HUM36" s="14"/>
      <c r="HUN36" s="14"/>
      <c r="HUO36" s="14"/>
      <c r="HUP36" s="14"/>
      <c r="HUQ36" s="14"/>
      <c r="HUR36" s="14"/>
      <c r="HUS36" s="14"/>
      <c r="HUT36" s="14"/>
      <c r="HUU36" s="14"/>
      <c r="HUV36" s="14"/>
      <c r="HUW36" s="14"/>
      <c r="HUX36" s="14"/>
      <c r="HUY36" s="14"/>
      <c r="HUZ36" s="14"/>
      <c r="HVA36" s="14"/>
      <c r="HVB36" s="14"/>
      <c r="HVC36" s="14"/>
      <c r="HVD36" s="14"/>
      <c r="HVE36" s="14"/>
      <c r="HVF36" s="14"/>
      <c r="HVG36" s="14"/>
      <c r="HVH36" s="14"/>
      <c r="HVI36" s="14"/>
      <c r="HVJ36" s="14"/>
      <c r="HVK36" s="14"/>
      <c r="HVL36" s="14"/>
      <c r="HVM36" s="14"/>
      <c r="HVN36" s="14"/>
      <c r="HVO36" s="14"/>
      <c r="HVP36" s="14"/>
      <c r="HVQ36" s="14"/>
      <c r="HVR36" s="14"/>
      <c r="HVS36" s="14"/>
      <c r="HVT36" s="14"/>
      <c r="HVU36" s="14"/>
      <c r="HVV36" s="14"/>
      <c r="HVW36" s="14"/>
      <c r="HVX36" s="14"/>
      <c r="HVY36" s="14"/>
      <c r="HVZ36" s="14"/>
      <c r="HWA36" s="14"/>
      <c r="HWB36" s="14"/>
      <c r="HWC36" s="14"/>
      <c r="HWD36" s="14"/>
      <c r="HWE36" s="14"/>
      <c r="HWF36" s="14"/>
      <c r="HWG36" s="14"/>
      <c r="HWH36" s="14"/>
      <c r="HWI36" s="14"/>
      <c r="HWJ36" s="14"/>
      <c r="HWK36" s="14"/>
      <c r="HWL36" s="14"/>
      <c r="HWM36" s="14"/>
      <c r="HWN36" s="14"/>
      <c r="HWO36" s="14"/>
      <c r="HWP36" s="14"/>
      <c r="HWQ36" s="14"/>
      <c r="HWR36" s="14"/>
      <c r="HWS36" s="14"/>
      <c r="HWT36" s="14"/>
      <c r="HWU36" s="14"/>
      <c r="HWV36" s="14"/>
      <c r="HWW36" s="14"/>
      <c r="HWX36" s="14"/>
      <c r="HWY36" s="14"/>
      <c r="HWZ36" s="14"/>
      <c r="HXA36" s="14"/>
      <c r="HXB36" s="14"/>
      <c r="HXC36" s="14"/>
      <c r="HXD36" s="14"/>
      <c r="HXE36" s="14"/>
      <c r="HXF36" s="14"/>
      <c r="HXG36" s="14"/>
      <c r="HXH36" s="14"/>
      <c r="HXI36" s="14"/>
      <c r="HXJ36" s="14"/>
      <c r="HXK36" s="14"/>
      <c r="HXL36" s="14"/>
      <c r="HXM36" s="14"/>
      <c r="HXN36" s="14"/>
      <c r="HXO36" s="14"/>
      <c r="HXP36" s="14"/>
      <c r="HXQ36" s="14"/>
      <c r="HXR36" s="14"/>
      <c r="HXS36" s="14"/>
      <c r="HXT36" s="14"/>
      <c r="HXU36" s="14"/>
      <c r="HXV36" s="14"/>
      <c r="HXW36" s="14"/>
      <c r="HXX36" s="14"/>
      <c r="HXY36" s="14"/>
      <c r="HXZ36" s="14"/>
      <c r="HYA36" s="14"/>
      <c r="HYB36" s="14"/>
      <c r="HYC36" s="14"/>
      <c r="HYD36" s="14"/>
      <c r="HYE36" s="14"/>
      <c r="HYF36" s="14"/>
      <c r="HYG36" s="14"/>
      <c r="HYH36" s="14"/>
      <c r="HYI36" s="14"/>
      <c r="HYJ36" s="14"/>
      <c r="HYK36" s="14"/>
      <c r="HYL36" s="14"/>
      <c r="HYM36" s="14"/>
      <c r="HYN36" s="14"/>
      <c r="HYO36" s="14"/>
      <c r="HYP36" s="14"/>
      <c r="HYQ36" s="14"/>
      <c r="HYR36" s="14"/>
      <c r="HYS36" s="14"/>
      <c r="HYT36" s="14"/>
      <c r="HYU36" s="14"/>
      <c r="HYV36" s="14"/>
      <c r="HYW36" s="14"/>
      <c r="HYX36" s="14"/>
      <c r="HYY36" s="14"/>
      <c r="HYZ36" s="14"/>
      <c r="HZA36" s="14"/>
      <c r="HZB36" s="14"/>
      <c r="HZC36" s="14"/>
      <c r="HZD36" s="14"/>
      <c r="HZE36" s="14"/>
      <c r="HZF36" s="14"/>
      <c r="HZG36" s="14"/>
      <c r="HZH36" s="14"/>
      <c r="HZI36" s="14"/>
      <c r="HZJ36" s="14"/>
      <c r="HZK36" s="14"/>
      <c r="HZL36" s="14"/>
      <c r="HZM36" s="14"/>
      <c r="HZN36" s="14"/>
      <c r="HZO36" s="14"/>
      <c r="HZP36" s="14"/>
      <c r="HZQ36" s="14"/>
      <c r="HZR36" s="14"/>
      <c r="HZS36" s="14"/>
      <c r="HZT36" s="14"/>
      <c r="HZU36" s="14"/>
      <c r="HZV36" s="14"/>
      <c r="HZW36" s="14"/>
      <c r="HZX36" s="14"/>
      <c r="HZY36" s="14"/>
      <c r="HZZ36" s="14"/>
      <c r="IAA36" s="14"/>
      <c r="IAB36" s="14"/>
      <c r="IAC36" s="14"/>
      <c r="IAD36" s="14"/>
      <c r="IAE36" s="14"/>
      <c r="IAF36" s="14"/>
      <c r="IAG36" s="14"/>
      <c r="IAH36" s="14"/>
      <c r="IAI36" s="14"/>
      <c r="IAJ36" s="14"/>
      <c r="IAK36" s="14"/>
      <c r="IAL36" s="14"/>
      <c r="IAM36" s="14"/>
      <c r="IAN36" s="14"/>
      <c r="IAO36" s="14"/>
      <c r="IAP36" s="14"/>
      <c r="IAQ36" s="14"/>
      <c r="IAR36" s="14"/>
      <c r="IAS36" s="14"/>
      <c r="IAT36" s="14"/>
      <c r="IAU36" s="14"/>
      <c r="IAV36" s="14"/>
      <c r="IAW36" s="14"/>
      <c r="IAX36" s="14"/>
      <c r="IAY36" s="14"/>
      <c r="IAZ36" s="14"/>
      <c r="IBA36" s="14"/>
      <c r="IBB36" s="14"/>
      <c r="IBC36" s="14"/>
      <c r="IBD36" s="14"/>
      <c r="IBE36" s="14"/>
      <c r="IBF36" s="14"/>
      <c r="IBG36" s="14"/>
      <c r="IBH36" s="14"/>
      <c r="IBI36" s="14"/>
      <c r="IBJ36" s="14"/>
      <c r="IBK36" s="14"/>
      <c r="IBL36" s="14"/>
      <c r="IBM36" s="14"/>
      <c r="IBN36" s="14"/>
      <c r="IBO36" s="14"/>
      <c r="IBP36" s="14"/>
      <c r="IBQ36" s="14"/>
      <c r="IBR36" s="14"/>
      <c r="IBS36" s="14"/>
      <c r="IBT36" s="14"/>
      <c r="IBU36" s="14"/>
      <c r="IBV36" s="14"/>
      <c r="IBW36" s="14"/>
      <c r="IBX36" s="14"/>
      <c r="IBY36" s="14"/>
      <c r="IBZ36" s="14"/>
      <c r="ICA36" s="14"/>
      <c r="ICB36" s="14"/>
      <c r="ICC36" s="14"/>
      <c r="ICD36" s="14"/>
      <c r="ICE36" s="14"/>
      <c r="ICF36" s="14"/>
      <c r="ICG36" s="14"/>
      <c r="ICH36" s="14"/>
      <c r="ICI36" s="14"/>
      <c r="ICJ36" s="14"/>
      <c r="ICK36" s="14"/>
      <c r="ICL36" s="14"/>
      <c r="ICM36" s="14"/>
      <c r="ICN36" s="14"/>
      <c r="ICO36" s="14"/>
      <c r="ICP36" s="14"/>
      <c r="ICQ36" s="14"/>
      <c r="ICR36" s="14"/>
      <c r="ICS36" s="14"/>
      <c r="ICT36" s="14"/>
      <c r="ICU36" s="14"/>
      <c r="ICV36" s="14"/>
      <c r="ICW36" s="14"/>
      <c r="ICX36" s="14"/>
      <c r="ICY36" s="14"/>
      <c r="ICZ36" s="14"/>
      <c r="IDA36" s="14"/>
      <c r="IDB36" s="14"/>
      <c r="IDC36" s="14"/>
      <c r="IDD36" s="14"/>
      <c r="IDE36" s="14"/>
      <c r="IDF36" s="14"/>
      <c r="IDG36" s="14"/>
      <c r="IDH36" s="14"/>
      <c r="IDI36" s="14"/>
      <c r="IDJ36" s="14"/>
      <c r="IDK36" s="14"/>
      <c r="IDL36" s="14"/>
      <c r="IDM36" s="14"/>
      <c r="IDN36" s="14"/>
      <c r="IDO36" s="14"/>
      <c r="IDP36" s="14"/>
      <c r="IDQ36" s="14"/>
      <c r="IDR36" s="14"/>
      <c r="IDS36" s="14"/>
      <c r="IDT36" s="14"/>
      <c r="IDU36" s="14"/>
      <c r="IDV36" s="14"/>
      <c r="IDW36" s="14"/>
      <c r="IDX36" s="14"/>
      <c r="IDY36" s="14"/>
      <c r="IDZ36" s="14"/>
      <c r="IEA36" s="14"/>
      <c r="IEB36" s="14"/>
      <c r="IEC36" s="14"/>
      <c r="IED36" s="14"/>
      <c r="IEE36" s="14"/>
      <c r="IEF36" s="14"/>
      <c r="IEG36" s="14"/>
      <c r="IEH36" s="14"/>
      <c r="IEI36" s="14"/>
      <c r="IEJ36" s="14"/>
      <c r="IEK36" s="14"/>
      <c r="IEL36" s="14"/>
      <c r="IEM36" s="14"/>
      <c r="IEN36" s="14"/>
      <c r="IEO36" s="14"/>
      <c r="IEP36" s="14"/>
      <c r="IEQ36" s="14"/>
      <c r="IER36" s="14"/>
      <c r="IES36" s="14"/>
      <c r="IET36" s="14"/>
      <c r="IEU36" s="14"/>
      <c r="IEV36" s="14"/>
      <c r="IEW36" s="14"/>
      <c r="IEX36" s="14"/>
      <c r="IEY36" s="14"/>
      <c r="IEZ36" s="14"/>
      <c r="IFA36" s="14"/>
      <c r="IFB36" s="14"/>
      <c r="IFC36" s="14"/>
      <c r="IFD36" s="14"/>
      <c r="IFE36" s="14"/>
      <c r="IFF36" s="14"/>
      <c r="IFG36" s="14"/>
      <c r="IFH36" s="14"/>
      <c r="IFI36" s="14"/>
      <c r="IFJ36" s="14"/>
      <c r="IFK36" s="14"/>
      <c r="IFL36" s="14"/>
      <c r="IFM36" s="14"/>
      <c r="IFN36" s="14"/>
      <c r="IFO36" s="14"/>
      <c r="IFP36" s="14"/>
      <c r="IFQ36" s="14"/>
      <c r="IFR36" s="14"/>
      <c r="IFS36" s="14"/>
      <c r="IFT36" s="14"/>
      <c r="IFU36" s="14"/>
      <c r="IFV36" s="14"/>
      <c r="IFW36" s="14"/>
      <c r="IFX36" s="14"/>
      <c r="IFY36" s="14"/>
      <c r="IFZ36" s="14"/>
      <c r="IGA36" s="14"/>
      <c r="IGB36" s="14"/>
      <c r="IGC36" s="14"/>
      <c r="IGD36" s="14"/>
      <c r="IGE36" s="14"/>
      <c r="IGF36" s="14"/>
      <c r="IGG36" s="14"/>
      <c r="IGH36" s="14"/>
      <c r="IGI36" s="14"/>
      <c r="IGJ36" s="14"/>
      <c r="IGK36" s="14"/>
      <c r="IGL36" s="14"/>
      <c r="IGM36" s="14"/>
      <c r="IGN36" s="14"/>
      <c r="IGO36" s="14"/>
      <c r="IGP36" s="14"/>
      <c r="IGQ36" s="14"/>
      <c r="IGR36" s="14"/>
      <c r="IGS36" s="14"/>
      <c r="IGT36" s="14"/>
      <c r="IGU36" s="14"/>
      <c r="IGV36" s="14"/>
      <c r="IGW36" s="14"/>
      <c r="IGX36" s="14"/>
      <c r="IGY36" s="14"/>
      <c r="IGZ36" s="14"/>
      <c r="IHA36" s="14"/>
      <c r="IHB36" s="14"/>
      <c r="IHC36" s="14"/>
      <c r="IHD36" s="14"/>
      <c r="IHE36" s="14"/>
      <c r="IHF36" s="14"/>
      <c r="IHG36" s="14"/>
      <c r="IHH36" s="14"/>
      <c r="IHI36" s="14"/>
      <c r="IHJ36" s="14"/>
      <c r="IHK36" s="14"/>
      <c r="IHL36" s="14"/>
      <c r="IHM36" s="14"/>
      <c r="IHN36" s="14"/>
      <c r="IHO36" s="14"/>
      <c r="IHP36" s="14"/>
      <c r="IHQ36" s="14"/>
      <c r="IHR36" s="14"/>
      <c r="IHS36" s="14"/>
      <c r="IHT36" s="14"/>
      <c r="IHU36" s="14"/>
      <c r="IHV36" s="14"/>
      <c r="IHW36" s="14"/>
      <c r="IHX36" s="14"/>
      <c r="IHY36" s="14"/>
      <c r="IHZ36" s="14"/>
      <c r="IIA36" s="14"/>
      <c r="IIB36" s="14"/>
      <c r="IIC36" s="14"/>
      <c r="IID36" s="14"/>
      <c r="IIE36" s="14"/>
      <c r="IIF36" s="14"/>
      <c r="IIG36" s="14"/>
      <c r="IIH36" s="14"/>
      <c r="III36" s="14"/>
      <c r="IIJ36" s="14"/>
      <c r="IIK36" s="14"/>
      <c r="IIL36" s="14"/>
      <c r="IIM36" s="14"/>
      <c r="IIN36" s="14"/>
      <c r="IIO36" s="14"/>
      <c r="IIP36" s="14"/>
      <c r="IIQ36" s="14"/>
      <c r="IIR36" s="14"/>
      <c r="IIS36" s="14"/>
      <c r="IIT36" s="14"/>
      <c r="IIU36" s="14"/>
      <c r="IIV36" s="14"/>
      <c r="IIW36" s="14"/>
      <c r="IIX36" s="14"/>
      <c r="IIY36" s="14"/>
      <c r="IIZ36" s="14"/>
      <c r="IJA36" s="14"/>
      <c r="IJB36" s="14"/>
      <c r="IJC36" s="14"/>
      <c r="IJD36" s="14"/>
      <c r="IJE36" s="14"/>
      <c r="IJF36" s="14"/>
      <c r="IJG36" s="14"/>
      <c r="IJH36" s="14"/>
      <c r="IJI36" s="14"/>
      <c r="IJJ36" s="14"/>
      <c r="IJK36" s="14"/>
      <c r="IJL36" s="14"/>
      <c r="IJM36" s="14"/>
      <c r="IJN36" s="14"/>
      <c r="IJO36" s="14"/>
      <c r="IJP36" s="14"/>
      <c r="IJQ36" s="14"/>
      <c r="IJR36" s="14"/>
      <c r="IJS36" s="14"/>
      <c r="IJT36" s="14"/>
      <c r="IJU36" s="14"/>
      <c r="IJV36" s="14"/>
      <c r="IJW36" s="14"/>
      <c r="IJX36" s="14"/>
      <c r="IJY36" s="14"/>
      <c r="IJZ36" s="14"/>
      <c r="IKA36" s="14"/>
      <c r="IKB36" s="14"/>
      <c r="IKC36" s="14"/>
      <c r="IKD36" s="14"/>
      <c r="IKE36" s="14"/>
      <c r="IKF36" s="14"/>
      <c r="IKG36" s="14"/>
      <c r="IKH36" s="14"/>
      <c r="IKI36" s="14"/>
      <c r="IKJ36" s="14"/>
      <c r="IKK36" s="14"/>
      <c r="IKL36" s="14"/>
      <c r="IKM36" s="14"/>
      <c r="IKN36" s="14"/>
      <c r="IKO36" s="14"/>
      <c r="IKP36" s="14"/>
      <c r="IKQ36" s="14"/>
      <c r="IKR36" s="14"/>
      <c r="IKS36" s="14"/>
      <c r="IKT36" s="14"/>
      <c r="IKU36" s="14"/>
      <c r="IKV36" s="14"/>
      <c r="IKW36" s="14"/>
      <c r="IKX36" s="14"/>
      <c r="IKY36" s="14"/>
      <c r="IKZ36" s="14"/>
      <c r="ILA36" s="14"/>
      <c r="ILB36" s="14"/>
      <c r="ILC36" s="14"/>
      <c r="ILD36" s="14"/>
      <c r="ILE36" s="14"/>
      <c r="ILF36" s="14"/>
      <c r="ILG36" s="14"/>
      <c r="ILH36" s="14"/>
      <c r="ILI36" s="14"/>
      <c r="ILJ36" s="14"/>
      <c r="ILK36" s="14"/>
      <c r="ILL36" s="14"/>
      <c r="ILM36" s="14"/>
      <c r="ILN36" s="14"/>
      <c r="ILO36" s="14"/>
      <c r="ILP36" s="14"/>
      <c r="ILQ36" s="14"/>
      <c r="ILR36" s="14"/>
      <c r="ILS36" s="14"/>
      <c r="ILT36" s="14"/>
      <c r="ILU36" s="14"/>
      <c r="ILV36" s="14"/>
      <c r="ILW36" s="14"/>
      <c r="ILX36" s="14"/>
      <c r="ILY36" s="14"/>
      <c r="ILZ36" s="14"/>
      <c r="IMA36" s="14"/>
      <c r="IMB36" s="14"/>
      <c r="IMC36" s="14"/>
      <c r="IMD36" s="14"/>
      <c r="IME36" s="14"/>
      <c r="IMF36" s="14"/>
      <c r="IMG36" s="14"/>
      <c r="IMH36" s="14"/>
      <c r="IMI36" s="14"/>
      <c r="IMJ36" s="14"/>
      <c r="IMK36" s="14"/>
      <c r="IML36" s="14"/>
      <c r="IMM36" s="14"/>
      <c r="IMN36" s="14"/>
      <c r="IMO36" s="14"/>
      <c r="IMP36" s="14"/>
      <c r="IMQ36" s="14"/>
      <c r="IMR36" s="14"/>
      <c r="IMS36" s="14"/>
      <c r="IMT36" s="14"/>
      <c r="IMU36" s="14"/>
      <c r="IMV36" s="14"/>
      <c r="IMW36" s="14"/>
      <c r="IMX36" s="14"/>
      <c r="IMY36" s="14"/>
      <c r="IMZ36" s="14"/>
      <c r="INA36" s="14"/>
      <c r="INB36" s="14"/>
      <c r="INC36" s="14"/>
      <c r="IND36" s="14"/>
      <c r="INE36" s="14"/>
      <c r="INF36" s="14"/>
      <c r="ING36" s="14"/>
      <c r="INH36" s="14"/>
      <c r="INI36" s="14"/>
      <c r="INJ36" s="14"/>
      <c r="INK36" s="14"/>
      <c r="INL36" s="14"/>
      <c r="INM36" s="14"/>
      <c r="INN36" s="14"/>
      <c r="INO36" s="14"/>
      <c r="INP36" s="14"/>
      <c r="INQ36" s="14"/>
      <c r="INR36" s="14"/>
      <c r="INS36" s="14"/>
      <c r="INT36" s="14"/>
      <c r="INU36" s="14"/>
      <c r="INV36" s="14"/>
      <c r="INW36" s="14"/>
      <c r="INX36" s="14"/>
      <c r="INY36" s="14"/>
      <c r="INZ36" s="14"/>
      <c r="IOA36" s="14"/>
      <c r="IOB36" s="14"/>
      <c r="IOC36" s="14"/>
      <c r="IOD36" s="14"/>
      <c r="IOE36" s="14"/>
      <c r="IOF36" s="14"/>
      <c r="IOG36" s="14"/>
      <c r="IOH36" s="14"/>
      <c r="IOI36" s="14"/>
      <c r="IOJ36" s="14"/>
      <c r="IOK36" s="14"/>
      <c r="IOL36" s="14"/>
      <c r="IOM36" s="14"/>
      <c r="ION36" s="14"/>
      <c r="IOO36" s="14"/>
      <c r="IOP36" s="14"/>
      <c r="IOQ36" s="14"/>
      <c r="IOR36" s="14"/>
      <c r="IOS36" s="14"/>
      <c r="IOT36" s="14"/>
      <c r="IOU36" s="14"/>
      <c r="IOV36" s="14"/>
      <c r="IOW36" s="14"/>
      <c r="IOX36" s="14"/>
      <c r="IOY36" s="14"/>
      <c r="IOZ36" s="14"/>
      <c r="IPA36" s="14"/>
      <c r="IPB36" s="14"/>
      <c r="IPC36" s="14"/>
      <c r="IPD36" s="14"/>
      <c r="IPE36" s="14"/>
      <c r="IPF36" s="14"/>
      <c r="IPG36" s="14"/>
      <c r="IPH36" s="14"/>
      <c r="IPI36" s="14"/>
      <c r="IPJ36" s="14"/>
      <c r="IPK36" s="14"/>
      <c r="IPL36" s="14"/>
      <c r="IPM36" s="14"/>
      <c r="IPN36" s="14"/>
      <c r="IPO36" s="14"/>
      <c r="IPP36" s="14"/>
      <c r="IPQ36" s="14"/>
      <c r="IPR36" s="14"/>
      <c r="IPS36" s="14"/>
      <c r="IPT36" s="14"/>
      <c r="IPU36" s="14"/>
      <c r="IPV36" s="14"/>
      <c r="IPW36" s="14"/>
      <c r="IPX36" s="14"/>
      <c r="IPY36" s="14"/>
      <c r="IPZ36" s="14"/>
      <c r="IQA36" s="14"/>
      <c r="IQB36" s="14"/>
      <c r="IQC36" s="14"/>
      <c r="IQD36" s="14"/>
      <c r="IQE36" s="14"/>
      <c r="IQF36" s="14"/>
      <c r="IQG36" s="14"/>
      <c r="IQH36" s="14"/>
      <c r="IQI36" s="14"/>
      <c r="IQJ36" s="14"/>
      <c r="IQK36" s="14"/>
      <c r="IQL36" s="14"/>
      <c r="IQM36" s="14"/>
      <c r="IQN36" s="14"/>
      <c r="IQO36" s="14"/>
      <c r="IQP36" s="14"/>
      <c r="IQQ36" s="14"/>
      <c r="IQR36" s="14"/>
      <c r="IQS36" s="14"/>
      <c r="IQT36" s="14"/>
      <c r="IQU36" s="14"/>
      <c r="IQV36" s="14"/>
      <c r="IQW36" s="14"/>
      <c r="IQX36" s="14"/>
      <c r="IQY36" s="14"/>
      <c r="IQZ36" s="14"/>
      <c r="IRA36" s="14"/>
      <c r="IRB36" s="14"/>
      <c r="IRC36" s="14"/>
      <c r="IRD36" s="14"/>
      <c r="IRE36" s="14"/>
      <c r="IRF36" s="14"/>
      <c r="IRG36" s="14"/>
      <c r="IRH36" s="14"/>
      <c r="IRI36" s="14"/>
      <c r="IRJ36" s="14"/>
      <c r="IRK36" s="14"/>
      <c r="IRL36" s="14"/>
      <c r="IRM36" s="14"/>
      <c r="IRN36" s="14"/>
      <c r="IRO36" s="14"/>
      <c r="IRP36" s="14"/>
      <c r="IRQ36" s="14"/>
      <c r="IRR36" s="14"/>
      <c r="IRS36" s="14"/>
      <c r="IRT36" s="14"/>
      <c r="IRU36" s="14"/>
      <c r="IRV36" s="14"/>
      <c r="IRW36" s="14"/>
      <c r="IRX36" s="14"/>
      <c r="IRY36" s="14"/>
      <c r="IRZ36" s="14"/>
      <c r="ISA36" s="14"/>
      <c r="ISB36" s="14"/>
      <c r="ISC36" s="14"/>
      <c r="ISD36" s="14"/>
      <c r="ISE36" s="14"/>
      <c r="ISF36" s="14"/>
      <c r="ISG36" s="14"/>
      <c r="ISH36" s="14"/>
      <c r="ISI36" s="14"/>
      <c r="ISJ36" s="14"/>
      <c r="ISK36" s="14"/>
      <c r="ISL36" s="14"/>
      <c r="ISM36" s="14"/>
      <c r="ISN36" s="14"/>
      <c r="ISO36" s="14"/>
      <c r="ISP36" s="14"/>
      <c r="ISQ36" s="14"/>
      <c r="ISR36" s="14"/>
      <c r="ISS36" s="14"/>
      <c r="IST36" s="14"/>
      <c r="ISU36" s="14"/>
      <c r="ISV36" s="14"/>
      <c r="ISW36" s="14"/>
      <c r="ISX36" s="14"/>
      <c r="ISY36" s="14"/>
      <c r="ISZ36" s="14"/>
      <c r="ITA36" s="14"/>
      <c r="ITB36" s="14"/>
      <c r="ITC36" s="14"/>
      <c r="ITD36" s="14"/>
      <c r="ITE36" s="14"/>
      <c r="ITF36" s="14"/>
      <c r="ITG36" s="14"/>
      <c r="ITH36" s="14"/>
      <c r="ITI36" s="14"/>
      <c r="ITJ36" s="14"/>
      <c r="ITK36" s="14"/>
      <c r="ITL36" s="14"/>
      <c r="ITM36" s="14"/>
      <c r="ITN36" s="14"/>
      <c r="ITO36" s="14"/>
      <c r="ITP36" s="14"/>
      <c r="ITQ36" s="14"/>
      <c r="ITR36" s="14"/>
      <c r="ITS36" s="14"/>
      <c r="ITT36" s="14"/>
      <c r="ITU36" s="14"/>
      <c r="ITV36" s="14"/>
      <c r="ITW36" s="14"/>
      <c r="ITX36" s="14"/>
      <c r="ITY36" s="14"/>
      <c r="ITZ36" s="14"/>
      <c r="IUA36" s="14"/>
      <c r="IUB36" s="14"/>
      <c r="IUC36" s="14"/>
      <c r="IUD36" s="14"/>
      <c r="IUE36" s="14"/>
      <c r="IUF36" s="14"/>
      <c r="IUG36" s="14"/>
      <c r="IUH36" s="14"/>
      <c r="IUI36" s="14"/>
      <c r="IUJ36" s="14"/>
      <c r="IUK36" s="14"/>
      <c r="IUL36" s="14"/>
      <c r="IUM36" s="14"/>
      <c r="IUN36" s="14"/>
      <c r="IUO36" s="14"/>
      <c r="IUP36" s="14"/>
      <c r="IUQ36" s="14"/>
      <c r="IUR36" s="14"/>
      <c r="IUS36" s="14"/>
      <c r="IUT36" s="14"/>
      <c r="IUU36" s="14"/>
      <c r="IUV36" s="14"/>
      <c r="IUW36" s="14"/>
      <c r="IUX36" s="14"/>
      <c r="IUY36" s="14"/>
      <c r="IUZ36" s="14"/>
      <c r="IVA36" s="14"/>
      <c r="IVB36" s="14"/>
      <c r="IVC36" s="14"/>
      <c r="IVD36" s="14"/>
      <c r="IVE36" s="14"/>
      <c r="IVF36" s="14"/>
      <c r="IVG36" s="14"/>
      <c r="IVH36" s="14"/>
      <c r="IVI36" s="14"/>
      <c r="IVJ36" s="14"/>
      <c r="IVK36" s="14"/>
      <c r="IVL36" s="14"/>
      <c r="IVM36" s="14"/>
      <c r="IVN36" s="14"/>
      <c r="IVO36" s="14"/>
      <c r="IVP36" s="14"/>
      <c r="IVQ36" s="14"/>
      <c r="IVR36" s="14"/>
      <c r="IVS36" s="14"/>
      <c r="IVT36" s="14"/>
      <c r="IVU36" s="14"/>
      <c r="IVV36" s="14"/>
      <c r="IVW36" s="14"/>
      <c r="IVX36" s="14"/>
      <c r="IVY36" s="14"/>
      <c r="IVZ36" s="14"/>
      <c r="IWA36" s="14"/>
      <c r="IWB36" s="14"/>
      <c r="IWC36" s="14"/>
      <c r="IWD36" s="14"/>
      <c r="IWE36" s="14"/>
      <c r="IWF36" s="14"/>
      <c r="IWG36" s="14"/>
      <c r="IWH36" s="14"/>
      <c r="IWI36" s="14"/>
      <c r="IWJ36" s="14"/>
      <c r="IWK36" s="14"/>
      <c r="IWL36" s="14"/>
      <c r="IWM36" s="14"/>
      <c r="IWN36" s="14"/>
      <c r="IWO36" s="14"/>
      <c r="IWP36" s="14"/>
      <c r="IWQ36" s="14"/>
      <c r="IWR36" s="14"/>
      <c r="IWS36" s="14"/>
      <c r="IWT36" s="14"/>
      <c r="IWU36" s="14"/>
      <c r="IWV36" s="14"/>
      <c r="IWW36" s="14"/>
      <c r="IWX36" s="14"/>
      <c r="IWY36" s="14"/>
      <c r="IWZ36" s="14"/>
      <c r="IXA36" s="14"/>
      <c r="IXB36" s="14"/>
      <c r="IXC36" s="14"/>
      <c r="IXD36" s="14"/>
      <c r="IXE36" s="14"/>
      <c r="IXF36" s="14"/>
      <c r="IXG36" s="14"/>
      <c r="IXH36" s="14"/>
      <c r="IXI36" s="14"/>
      <c r="IXJ36" s="14"/>
      <c r="IXK36" s="14"/>
      <c r="IXL36" s="14"/>
      <c r="IXM36" s="14"/>
      <c r="IXN36" s="14"/>
      <c r="IXO36" s="14"/>
      <c r="IXP36" s="14"/>
      <c r="IXQ36" s="14"/>
      <c r="IXR36" s="14"/>
      <c r="IXS36" s="14"/>
      <c r="IXT36" s="14"/>
      <c r="IXU36" s="14"/>
      <c r="IXV36" s="14"/>
      <c r="IXW36" s="14"/>
      <c r="IXX36" s="14"/>
      <c r="IXY36" s="14"/>
      <c r="IXZ36" s="14"/>
      <c r="IYA36" s="14"/>
      <c r="IYB36" s="14"/>
      <c r="IYC36" s="14"/>
      <c r="IYD36" s="14"/>
      <c r="IYE36" s="14"/>
      <c r="IYF36" s="14"/>
      <c r="IYG36" s="14"/>
      <c r="IYH36" s="14"/>
      <c r="IYI36" s="14"/>
      <c r="IYJ36" s="14"/>
      <c r="IYK36" s="14"/>
      <c r="IYL36" s="14"/>
      <c r="IYM36" s="14"/>
      <c r="IYN36" s="14"/>
      <c r="IYO36" s="14"/>
      <c r="IYP36" s="14"/>
      <c r="IYQ36" s="14"/>
      <c r="IYR36" s="14"/>
      <c r="IYS36" s="14"/>
      <c r="IYT36" s="14"/>
      <c r="IYU36" s="14"/>
      <c r="IYV36" s="14"/>
      <c r="IYW36" s="14"/>
      <c r="IYX36" s="14"/>
      <c r="IYY36" s="14"/>
      <c r="IYZ36" s="14"/>
      <c r="IZA36" s="14"/>
      <c r="IZB36" s="14"/>
      <c r="IZC36" s="14"/>
      <c r="IZD36" s="14"/>
      <c r="IZE36" s="14"/>
      <c r="IZF36" s="14"/>
      <c r="IZG36" s="14"/>
      <c r="IZH36" s="14"/>
      <c r="IZI36" s="14"/>
      <c r="IZJ36" s="14"/>
      <c r="IZK36" s="14"/>
      <c r="IZL36" s="14"/>
      <c r="IZM36" s="14"/>
      <c r="IZN36" s="14"/>
      <c r="IZO36" s="14"/>
      <c r="IZP36" s="14"/>
      <c r="IZQ36" s="14"/>
      <c r="IZR36" s="14"/>
      <c r="IZS36" s="14"/>
      <c r="IZT36" s="14"/>
      <c r="IZU36" s="14"/>
      <c r="IZV36" s="14"/>
      <c r="IZW36" s="14"/>
      <c r="IZX36" s="14"/>
      <c r="IZY36" s="14"/>
      <c r="IZZ36" s="14"/>
      <c r="JAA36" s="14"/>
      <c r="JAB36" s="14"/>
      <c r="JAC36" s="14"/>
      <c r="JAD36" s="14"/>
      <c r="JAE36" s="14"/>
      <c r="JAF36" s="14"/>
      <c r="JAG36" s="14"/>
      <c r="JAH36" s="14"/>
      <c r="JAI36" s="14"/>
      <c r="JAJ36" s="14"/>
      <c r="JAK36" s="14"/>
      <c r="JAL36" s="14"/>
      <c r="JAM36" s="14"/>
      <c r="JAN36" s="14"/>
      <c r="JAO36" s="14"/>
      <c r="JAP36" s="14"/>
      <c r="JAQ36" s="14"/>
      <c r="JAR36" s="14"/>
      <c r="JAS36" s="14"/>
      <c r="JAT36" s="14"/>
      <c r="JAU36" s="14"/>
      <c r="JAV36" s="14"/>
      <c r="JAW36" s="14"/>
      <c r="JAX36" s="14"/>
      <c r="JAY36" s="14"/>
      <c r="JAZ36" s="14"/>
      <c r="JBA36" s="14"/>
      <c r="JBB36" s="14"/>
      <c r="JBC36" s="14"/>
      <c r="JBD36" s="14"/>
      <c r="JBE36" s="14"/>
      <c r="JBF36" s="14"/>
      <c r="JBG36" s="14"/>
      <c r="JBH36" s="14"/>
      <c r="JBI36" s="14"/>
      <c r="JBJ36" s="14"/>
      <c r="JBK36" s="14"/>
      <c r="JBL36" s="14"/>
      <c r="JBM36" s="14"/>
      <c r="JBN36" s="14"/>
      <c r="JBO36" s="14"/>
      <c r="JBP36" s="14"/>
      <c r="JBQ36" s="14"/>
      <c r="JBR36" s="14"/>
      <c r="JBS36" s="14"/>
      <c r="JBT36" s="14"/>
      <c r="JBU36" s="14"/>
      <c r="JBV36" s="14"/>
      <c r="JBW36" s="14"/>
      <c r="JBX36" s="14"/>
      <c r="JBY36" s="14"/>
      <c r="JBZ36" s="14"/>
      <c r="JCA36" s="14"/>
      <c r="JCB36" s="14"/>
      <c r="JCC36" s="14"/>
      <c r="JCD36" s="14"/>
      <c r="JCE36" s="14"/>
      <c r="JCF36" s="14"/>
      <c r="JCG36" s="14"/>
      <c r="JCH36" s="14"/>
      <c r="JCI36" s="14"/>
      <c r="JCJ36" s="14"/>
      <c r="JCK36" s="14"/>
      <c r="JCL36" s="14"/>
      <c r="JCM36" s="14"/>
      <c r="JCN36" s="14"/>
      <c r="JCO36" s="14"/>
      <c r="JCP36" s="14"/>
      <c r="JCQ36" s="14"/>
      <c r="JCR36" s="14"/>
      <c r="JCS36" s="14"/>
      <c r="JCT36" s="14"/>
      <c r="JCU36" s="14"/>
      <c r="JCV36" s="14"/>
      <c r="JCW36" s="14"/>
      <c r="JCX36" s="14"/>
      <c r="JCY36" s="14"/>
      <c r="JCZ36" s="14"/>
      <c r="JDA36" s="14"/>
      <c r="JDB36" s="14"/>
      <c r="JDC36" s="14"/>
      <c r="JDD36" s="14"/>
      <c r="JDE36" s="14"/>
      <c r="JDF36" s="14"/>
      <c r="JDG36" s="14"/>
      <c r="JDH36" s="14"/>
      <c r="JDI36" s="14"/>
      <c r="JDJ36" s="14"/>
      <c r="JDK36" s="14"/>
      <c r="JDL36" s="14"/>
      <c r="JDM36" s="14"/>
      <c r="JDN36" s="14"/>
      <c r="JDO36" s="14"/>
      <c r="JDP36" s="14"/>
      <c r="JDQ36" s="14"/>
      <c r="JDR36" s="14"/>
      <c r="JDS36" s="14"/>
      <c r="JDT36" s="14"/>
      <c r="JDU36" s="14"/>
      <c r="JDV36" s="14"/>
      <c r="JDW36" s="14"/>
      <c r="JDX36" s="14"/>
      <c r="JDY36" s="14"/>
      <c r="JDZ36" s="14"/>
      <c r="JEA36" s="14"/>
      <c r="JEB36" s="14"/>
      <c r="JEC36" s="14"/>
      <c r="JED36" s="14"/>
      <c r="JEE36" s="14"/>
      <c r="JEF36" s="14"/>
      <c r="JEG36" s="14"/>
      <c r="JEH36" s="14"/>
      <c r="JEI36" s="14"/>
      <c r="JEJ36" s="14"/>
      <c r="JEK36" s="14"/>
      <c r="JEL36" s="14"/>
      <c r="JEM36" s="14"/>
      <c r="JEN36" s="14"/>
      <c r="JEO36" s="14"/>
      <c r="JEP36" s="14"/>
      <c r="JEQ36" s="14"/>
      <c r="JER36" s="14"/>
      <c r="JES36" s="14"/>
      <c r="JET36" s="14"/>
      <c r="JEU36" s="14"/>
      <c r="JEV36" s="14"/>
      <c r="JEW36" s="14"/>
      <c r="JEX36" s="14"/>
      <c r="JEY36" s="14"/>
      <c r="JEZ36" s="14"/>
      <c r="JFA36" s="14"/>
      <c r="JFB36" s="14"/>
      <c r="JFC36" s="14"/>
      <c r="JFD36" s="14"/>
      <c r="JFE36" s="14"/>
      <c r="JFF36" s="14"/>
      <c r="JFG36" s="14"/>
      <c r="JFH36" s="14"/>
      <c r="JFI36" s="14"/>
      <c r="JFJ36" s="14"/>
      <c r="JFK36" s="14"/>
      <c r="JFL36" s="14"/>
      <c r="JFM36" s="14"/>
      <c r="JFN36" s="14"/>
      <c r="JFO36" s="14"/>
      <c r="JFP36" s="14"/>
      <c r="JFQ36" s="14"/>
      <c r="JFR36" s="14"/>
      <c r="JFS36" s="14"/>
      <c r="JFT36" s="14"/>
      <c r="JFU36" s="14"/>
      <c r="JFV36" s="14"/>
      <c r="JFW36" s="14"/>
      <c r="JFX36" s="14"/>
      <c r="JFY36" s="14"/>
      <c r="JFZ36" s="14"/>
      <c r="JGA36" s="14"/>
      <c r="JGB36" s="14"/>
      <c r="JGC36" s="14"/>
      <c r="JGD36" s="14"/>
      <c r="JGE36" s="14"/>
      <c r="JGF36" s="14"/>
      <c r="JGG36" s="14"/>
      <c r="JGH36" s="14"/>
      <c r="JGI36" s="14"/>
      <c r="JGJ36" s="14"/>
      <c r="JGK36" s="14"/>
      <c r="JGL36" s="14"/>
      <c r="JGM36" s="14"/>
      <c r="JGN36" s="14"/>
      <c r="JGO36" s="14"/>
      <c r="JGP36" s="14"/>
      <c r="JGQ36" s="14"/>
      <c r="JGR36" s="14"/>
      <c r="JGS36" s="14"/>
      <c r="JGT36" s="14"/>
      <c r="JGU36" s="14"/>
      <c r="JGV36" s="14"/>
      <c r="JGW36" s="14"/>
      <c r="JGX36" s="14"/>
      <c r="JGY36" s="14"/>
      <c r="JGZ36" s="14"/>
      <c r="JHA36" s="14"/>
      <c r="JHB36" s="14"/>
      <c r="JHC36" s="14"/>
      <c r="JHD36" s="14"/>
      <c r="JHE36" s="14"/>
      <c r="JHF36" s="14"/>
      <c r="JHG36" s="14"/>
      <c r="JHH36" s="14"/>
      <c r="JHI36" s="14"/>
      <c r="JHJ36" s="14"/>
      <c r="JHK36" s="14"/>
      <c r="JHL36" s="14"/>
      <c r="JHM36" s="14"/>
      <c r="JHN36" s="14"/>
      <c r="JHO36" s="14"/>
      <c r="JHP36" s="14"/>
      <c r="JHQ36" s="14"/>
      <c r="JHR36" s="14"/>
      <c r="JHS36" s="14"/>
      <c r="JHT36" s="14"/>
      <c r="JHU36" s="14"/>
      <c r="JHV36" s="14"/>
      <c r="JHW36" s="14"/>
      <c r="JHX36" s="14"/>
      <c r="JHY36" s="14"/>
      <c r="JHZ36" s="14"/>
      <c r="JIA36" s="14"/>
      <c r="JIB36" s="14"/>
      <c r="JIC36" s="14"/>
      <c r="JID36" s="14"/>
      <c r="JIE36" s="14"/>
      <c r="JIF36" s="14"/>
      <c r="JIG36" s="14"/>
      <c r="JIH36" s="14"/>
      <c r="JII36" s="14"/>
      <c r="JIJ36" s="14"/>
      <c r="JIK36" s="14"/>
      <c r="JIL36" s="14"/>
      <c r="JIM36" s="14"/>
      <c r="JIN36" s="14"/>
      <c r="JIO36" s="14"/>
      <c r="JIP36" s="14"/>
      <c r="JIQ36" s="14"/>
      <c r="JIR36" s="14"/>
      <c r="JIS36" s="14"/>
      <c r="JIT36" s="14"/>
      <c r="JIU36" s="14"/>
      <c r="JIV36" s="14"/>
      <c r="JIW36" s="14"/>
      <c r="JIX36" s="14"/>
      <c r="JIY36" s="14"/>
      <c r="JIZ36" s="14"/>
      <c r="JJA36" s="14"/>
      <c r="JJB36" s="14"/>
      <c r="JJC36" s="14"/>
      <c r="JJD36" s="14"/>
      <c r="JJE36" s="14"/>
      <c r="JJF36" s="14"/>
      <c r="JJG36" s="14"/>
      <c r="JJH36" s="14"/>
      <c r="JJI36" s="14"/>
      <c r="JJJ36" s="14"/>
      <c r="JJK36" s="14"/>
      <c r="JJL36" s="14"/>
      <c r="JJM36" s="14"/>
      <c r="JJN36" s="14"/>
      <c r="JJO36" s="14"/>
      <c r="JJP36" s="14"/>
      <c r="JJQ36" s="14"/>
      <c r="JJR36" s="14"/>
      <c r="JJS36" s="14"/>
      <c r="JJT36" s="14"/>
      <c r="JJU36" s="14"/>
      <c r="JJV36" s="14"/>
      <c r="JJW36" s="14"/>
      <c r="JJX36" s="14"/>
      <c r="JJY36" s="14"/>
      <c r="JJZ36" s="14"/>
      <c r="JKA36" s="14"/>
      <c r="JKB36" s="14"/>
      <c r="JKC36" s="14"/>
      <c r="JKD36" s="14"/>
      <c r="JKE36" s="14"/>
      <c r="JKF36" s="14"/>
      <c r="JKG36" s="14"/>
      <c r="JKH36" s="14"/>
      <c r="JKI36" s="14"/>
      <c r="JKJ36" s="14"/>
      <c r="JKK36" s="14"/>
      <c r="JKL36" s="14"/>
      <c r="JKM36" s="14"/>
      <c r="JKN36" s="14"/>
      <c r="JKO36" s="14"/>
      <c r="JKP36" s="14"/>
      <c r="JKQ36" s="14"/>
      <c r="JKR36" s="14"/>
      <c r="JKS36" s="14"/>
      <c r="JKT36" s="14"/>
      <c r="JKU36" s="14"/>
      <c r="JKV36" s="14"/>
      <c r="JKW36" s="14"/>
      <c r="JKX36" s="14"/>
      <c r="JKY36" s="14"/>
      <c r="JKZ36" s="14"/>
      <c r="JLA36" s="14"/>
      <c r="JLB36" s="14"/>
      <c r="JLC36" s="14"/>
      <c r="JLD36" s="14"/>
      <c r="JLE36" s="14"/>
      <c r="JLF36" s="14"/>
      <c r="JLG36" s="14"/>
      <c r="JLH36" s="14"/>
      <c r="JLI36" s="14"/>
      <c r="JLJ36" s="14"/>
      <c r="JLK36" s="14"/>
      <c r="JLL36" s="14"/>
      <c r="JLM36" s="14"/>
      <c r="JLN36" s="14"/>
      <c r="JLO36" s="14"/>
      <c r="JLP36" s="14"/>
      <c r="JLQ36" s="14"/>
      <c r="JLR36" s="14"/>
      <c r="JLS36" s="14"/>
      <c r="JLT36" s="14"/>
      <c r="JLU36" s="14"/>
      <c r="JLV36" s="14"/>
      <c r="JLW36" s="14"/>
      <c r="JLX36" s="14"/>
      <c r="JLY36" s="14"/>
      <c r="JLZ36" s="14"/>
      <c r="JMA36" s="14"/>
      <c r="JMB36" s="14"/>
      <c r="JMC36" s="14"/>
      <c r="JMD36" s="14"/>
      <c r="JME36" s="14"/>
      <c r="JMF36" s="14"/>
      <c r="JMG36" s="14"/>
      <c r="JMH36" s="14"/>
      <c r="JMI36" s="14"/>
      <c r="JMJ36" s="14"/>
      <c r="JMK36" s="14"/>
      <c r="JML36" s="14"/>
      <c r="JMM36" s="14"/>
      <c r="JMN36" s="14"/>
      <c r="JMO36" s="14"/>
      <c r="JMP36" s="14"/>
      <c r="JMQ36" s="14"/>
      <c r="JMR36" s="14"/>
      <c r="JMS36" s="14"/>
      <c r="JMT36" s="14"/>
      <c r="JMU36" s="14"/>
      <c r="JMV36" s="14"/>
      <c r="JMW36" s="14"/>
      <c r="JMX36" s="14"/>
      <c r="JMY36" s="14"/>
      <c r="JMZ36" s="14"/>
      <c r="JNA36" s="14"/>
      <c r="JNB36" s="14"/>
      <c r="JNC36" s="14"/>
      <c r="JND36" s="14"/>
      <c r="JNE36" s="14"/>
      <c r="JNF36" s="14"/>
      <c r="JNG36" s="14"/>
      <c r="JNH36" s="14"/>
      <c r="JNI36" s="14"/>
      <c r="JNJ36" s="14"/>
      <c r="JNK36" s="14"/>
      <c r="JNL36" s="14"/>
      <c r="JNM36" s="14"/>
      <c r="JNN36" s="14"/>
      <c r="JNO36" s="14"/>
      <c r="JNP36" s="14"/>
      <c r="JNQ36" s="14"/>
      <c r="JNR36" s="14"/>
      <c r="JNS36" s="14"/>
      <c r="JNT36" s="14"/>
      <c r="JNU36" s="14"/>
      <c r="JNV36" s="14"/>
      <c r="JNW36" s="14"/>
      <c r="JNX36" s="14"/>
      <c r="JNY36" s="14"/>
      <c r="JNZ36" s="14"/>
      <c r="JOA36" s="14"/>
      <c r="JOB36" s="14"/>
      <c r="JOC36" s="14"/>
      <c r="JOD36" s="14"/>
      <c r="JOE36" s="14"/>
      <c r="JOF36" s="14"/>
      <c r="JOG36" s="14"/>
      <c r="JOH36" s="14"/>
      <c r="JOI36" s="14"/>
      <c r="JOJ36" s="14"/>
      <c r="JOK36" s="14"/>
      <c r="JOL36" s="14"/>
      <c r="JOM36" s="14"/>
      <c r="JON36" s="14"/>
      <c r="JOO36" s="14"/>
      <c r="JOP36" s="14"/>
      <c r="JOQ36" s="14"/>
      <c r="JOR36" s="14"/>
      <c r="JOS36" s="14"/>
      <c r="JOT36" s="14"/>
      <c r="JOU36" s="14"/>
      <c r="JOV36" s="14"/>
      <c r="JOW36" s="14"/>
      <c r="JOX36" s="14"/>
      <c r="JOY36" s="14"/>
      <c r="JOZ36" s="14"/>
      <c r="JPA36" s="14"/>
      <c r="JPB36" s="14"/>
      <c r="JPC36" s="14"/>
      <c r="JPD36" s="14"/>
      <c r="JPE36" s="14"/>
      <c r="JPF36" s="14"/>
      <c r="JPG36" s="14"/>
      <c r="JPH36" s="14"/>
      <c r="JPI36" s="14"/>
      <c r="JPJ36" s="14"/>
      <c r="JPK36" s="14"/>
      <c r="JPL36" s="14"/>
      <c r="JPM36" s="14"/>
      <c r="JPN36" s="14"/>
      <c r="JPO36" s="14"/>
      <c r="JPP36" s="14"/>
      <c r="JPQ36" s="14"/>
      <c r="JPR36" s="14"/>
      <c r="JPS36" s="14"/>
      <c r="JPT36" s="14"/>
      <c r="JPU36" s="14"/>
      <c r="JPV36" s="14"/>
      <c r="JPW36" s="14"/>
      <c r="JPX36" s="14"/>
      <c r="JPY36" s="14"/>
      <c r="JPZ36" s="14"/>
      <c r="JQA36" s="14"/>
      <c r="JQB36" s="14"/>
      <c r="JQC36" s="14"/>
      <c r="JQD36" s="14"/>
      <c r="JQE36" s="14"/>
      <c r="JQF36" s="14"/>
      <c r="JQG36" s="14"/>
      <c r="JQH36" s="14"/>
      <c r="JQI36" s="14"/>
      <c r="JQJ36" s="14"/>
      <c r="JQK36" s="14"/>
      <c r="JQL36" s="14"/>
      <c r="JQM36" s="14"/>
      <c r="JQN36" s="14"/>
      <c r="JQO36" s="14"/>
      <c r="JQP36" s="14"/>
      <c r="JQQ36" s="14"/>
      <c r="JQR36" s="14"/>
      <c r="JQS36" s="14"/>
      <c r="JQT36" s="14"/>
      <c r="JQU36" s="14"/>
      <c r="JQV36" s="14"/>
      <c r="JQW36" s="14"/>
      <c r="JQX36" s="14"/>
      <c r="JQY36" s="14"/>
      <c r="JQZ36" s="14"/>
      <c r="JRA36" s="14"/>
      <c r="JRB36" s="14"/>
      <c r="JRC36" s="14"/>
      <c r="JRD36" s="14"/>
      <c r="JRE36" s="14"/>
      <c r="JRF36" s="14"/>
      <c r="JRG36" s="14"/>
      <c r="JRH36" s="14"/>
      <c r="JRI36" s="14"/>
      <c r="JRJ36" s="14"/>
      <c r="JRK36" s="14"/>
      <c r="JRL36" s="14"/>
      <c r="JRM36" s="14"/>
      <c r="JRN36" s="14"/>
      <c r="JRO36" s="14"/>
      <c r="JRP36" s="14"/>
      <c r="JRQ36" s="14"/>
      <c r="JRR36" s="14"/>
      <c r="JRS36" s="14"/>
      <c r="JRT36" s="14"/>
      <c r="JRU36" s="14"/>
      <c r="JRV36" s="14"/>
      <c r="JRW36" s="14"/>
      <c r="JRX36" s="14"/>
      <c r="JRY36" s="14"/>
      <c r="JRZ36" s="14"/>
      <c r="JSA36" s="14"/>
      <c r="JSB36" s="14"/>
      <c r="JSC36" s="14"/>
      <c r="JSD36" s="14"/>
      <c r="JSE36" s="14"/>
      <c r="JSF36" s="14"/>
      <c r="JSG36" s="14"/>
      <c r="JSH36" s="14"/>
      <c r="JSI36" s="14"/>
      <c r="JSJ36" s="14"/>
      <c r="JSK36" s="14"/>
      <c r="JSL36" s="14"/>
      <c r="JSM36" s="14"/>
      <c r="JSN36" s="14"/>
      <c r="JSO36" s="14"/>
      <c r="JSP36" s="14"/>
      <c r="JSQ36" s="14"/>
      <c r="JSR36" s="14"/>
      <c r="JSS36" s="14"/>
      <c r="JST36" s="14"/>
      <c r="JSU36" s="14"/>
      <c r="JSV36" s="14"/>
      <c r="JSW36" s="14"/>
      <c r="JSX36" s="14"/>
      <c r="JSY36" s="14"/>
      <c r="JSZ36" s="14"/>
      <c r="JTA36" s="14"/>
      <c r="JTB36" s="14"/>
      <c r="JTC36" s="14"/>
      <c r="JTD36" s="14"/>
      <c r="JTE36" s="14"/>
      <c r="JTF36" s="14"/>
      <c r="JTG36" s="14"/>
      <c r="JTH36" s="14"/>
      <c r="JTI36" s="14"/>
      <c r="JTJ36" s="14"/>
      <c r="JTK36" s="14"/>
      <c r="JTL36" s="14"/>
      <c r="JTM36" s="14"/>
      <c r="JTN36" s="14"/>
      <c r="JTO36" s="14"/>
      <c r="JTP36" s="14"/>
      <c r="JTQ36" s="14"/>
      <c r="JTR36" s="14"/>
      <c r="JTS36" s="14"/>
      <c r="JTT36" s="14"/>
      <c r="JTU36" s="14"/>
      <c r="JTV36" s="14"/>
      <c r="JTW36" s="14"/>
      <c r="JTX36" s="14"/>
      <c r="JTY36" s="14"/>
      <c r="JTZ36" s="14"/>
      <c r="JUA36" s="14"/>
      <c r="JUB36" s="14"/>
      <c r="JUC36" s="14"/>
      <c r="JUD36" s="14"/>
      <c r="JUE36" s="14"/>
      <c r="JUF36" s="14"/>
      <c r="JUG36" s="14"/>
      <c r="JUH36" s="14"/>
      <c r="JUI36" s="14"/>
      <c r="JUJ36" s="14"/>
      <c r="JUK36" s="14"/>
      <c r="JUL36" s="14"/>
      <c r="JUM36" s="14"/>
      <c r="JUN36" s="14"/>
      <c r="JUO36" s="14"/>
      <c r="JUP36" s="14"/>
      <c r="JUQ36" s="14"/>
      <c r="JUR36" s="14"/>
      <c r="JUS36" s="14"/>
      <c r="JUT36" s="14"/>
      <c r="JUU36" s="14"/>
      <c r="JUV36" s="14"/>
      <c r="JUW36" s="14"/>
      <c r="JUX36" s="14"/>
      <c r="JUY36" s="14"/>
      <c r="JUZ36" s="14"/>
      <c r="JVA36" s="14"/>
      <c r="JVB36" s="14"/>
      <c r="JVC36" s="14"/>
      <c r="JVD36" s="14"/>
      <c r="JVE36" s="14"/>
      <c r="JVF36" s="14"/>
      <c r="JVG36" s="14"/>
      <c r="JVH36" s="14"/>
      <c r="JVI36" s="14"/>
      <c r="JVJ36" s="14"/>
      <c r="JVK36" s="14"/>
      <c r="JVL36" s="14"/>
      <c r="JVM36" s="14"/>
      <c r="JVN36" s="14"/>
      <c r="JVO36" s="14"/>
      <c r="JVP36" s="14"/>
      <c r="JVQ36" s="14"/>
      <c r="JVR36" s="14"/>
      <c r="JVS36" s="14"/>
      <c r="JVT36" s="14"/>
      <c r="JVU36" s="14"/>
      <c r="JVV36" s="14"/>
      <c r="JVW36" s="14"/>
      <c r="JVX36" s="14"/>
      <c r="JVY36" s="14"/>
      <c r="JVZ36" s="14"/>
      <c r="JWA36" s="14"/>
      <c r="JWB36" s="14"/>
      <c r="JWC36" s="14"/>
      <c r="JWD36" s="14"/>
      <c r="JWE36" s="14"/>
      <c r="JWF36" s="14"/>
      <c r="JWG36" s="14"/>
      <c r="JWH36" s="14"/>
      <c r="JWI36" s="14"/>
      <c r="JWJ36" s="14"/>
      <c r="JWK36" s="14"/>
      <c r="JWL36" s="14"/>
      <c r="JWM36" s="14"/>
      <c r="JWN36" s="14"/>
      <c r="JWO36" s="14"/>
      <c r="JWP36" s="14"/>
      <c r="JWQ36" s="14"/>
      <c r="JWR36" s="14"/>
      <c r="JWS36" s="14"/>
      <c r="JWT36" s="14"/>
      <c r="JWU36" s="14"/>
      <c r="JWV36" s="14"/>
      <c r="JWW36" s="14"/>
      <c r="JWX36" s="14"/>
      <c r="JWY36" s="14"/>
      <c r="JWZ36" s="14"/>
      <c r="JXA36" s="14"/>
      <c r="JXB36" s="14"/>
      <c r="JXC36" s="14"/>
      <c r="JXD36" s="14"/>
      <c r="JXE36" s="14"/>
      <c r="JXF36" s="14"/>
      <c r="JXG36" s="14"/>
      <c r="JXH36" s="14"/>
      <c r="JXI36" s="14"/>
      <c r="JXJ36" s="14"/>
      <c r="JXK36" s="14"/>
      <c r="JXL36" s="14"/>
      <c r="JXM36" s="14"/>
      <c r="JXN36" s="14"/>
      <c r="JXO36" s="14"/>
      <c r="JXP36" s="14"/>
      <c r="JXQ36" s="14"/>
      <c r="JXR36" s="14"/>
      <c r="JXS36" s="14"/>
      <c r="JXT36" s="14"/>
      <c r="JXU36" s="14"/>
      <c r="JXV36" s="14"/>
      <c r="JXW36" s="14"/>
      <c r="JXX36" s="14"/>
      <c r="JXY36" s="14"/>
      <c r="JXZ36" s="14"/>
      <c r="JYA36" s="14"/>
      <c r="JYB36" s="14"/>
      <c r="JYC36" s="14"/>
      <c r="JYD36" s="14"/>
      <c r="JYE36" s="14"/>
      <c r="JYF36" s="14"/>
      <c r="JYG36" s="14"/>
      <c r="JYH36" s="14"/>
      <c r="JYI36" s="14"/>
      <c r="JYJ36" s="14"/>
      <c r="JYK36" s="14"/>
      <c r="JYL36" s="14"/>
      <c r="JYM36" s="14"/>
      <c r="JYN36" s="14"/>
      <c r="JYO36" s="14"/>
      <c r="JYP36" s="14"/>
      <c r="JYQ36" s="14"/>
      <c r="JYR36" s="14"/>
      <c r="JYS36" s="14"/>
      <c r="JYT36" s="14"/>
      <c r="JYU36" s="14"/>
      <c r="JYV36" s="14"/>
      <c r="JYW36" s="14"/>
      <c r="JYX36" s="14"/>
      <c r="JYY36" s="14"/>
      <c r="JYZ36" s="14"/>
      <c r="JZA36" s="14"/>
      <c r="JZB36" s="14"/>
      <c r="JZC36" s="14"/>
      <c r="JZD36" s="14"/>
      <c r="JZE36" s="14"/>
      <c r="JZF36" s="14"/>
      <c r="JZG36" s="14"/>
      <c r="JZH36" s="14"/>
      <c r="JZI36" s="14"/>
      <c r="JZJ36" s="14"/>
      <c r="JZK36" s="14"/>
      <c r="JZL36" s="14"/>
      <c r="JZM36" s="14"/>
      <c r="JZN36" s="14"/>
      <c r="JZO36" s="14"/>
      <c r="JZP36" s="14"/>
      <c r="JZQ36" s="14"/>
      <c r="JZR36" s="14"/>
      <c r="JZS36" s="14"/>
      <c r="JZT36" s="14"/>
      <c r="JZU36" s="14"/>
      <c r="JZV36" s="14"/>
      <c r="JZW36" s="14"/>
      <c r="JZX36" s="14"/>
      <c r="JZY36" s="14"/>
      <c r="JZZ36" s="14"/>
      <c r="KAA36" s="14"/>
      <c r="KAB36" s="14"/>
      <c r="KAC36" s="14"/>
      <c r="KAD36" s="14"/>
      <c r="KAE36" s="14"/>
      <c r="KAF36" s="14"/>
      <c r="KAG36" s="14"/>
      <c r="KAH36" s="14"/>
      <c r="KAI36" s="14"/>
      <c r="KAJ36" s="14"/>
      <c r="KAK36" s="14"/>
      <c r="KAL36" s="14"/>
      <c r="KAM36" s="14"/>
      <c r="KAN36" s="14"/>
      <c r="KAO36" s="14"/>
      <c r="KAP36" s="14"/>
      <c r="KAQ36" s="14"/>
      <c r="KAR36" s="14"/>
      <c r="KAS36" s="14"/>
      <c r="KAT36" s="14"/>
      <c r="KAU36" s="14"/>
      <c r="KAV36" s="14"/>
      <c r="KAW36" s="14"/>
      <c r="KAX36" s="14"/>
      <c r="KAY36" s="14"/>
      <c r="KAZ36" s="14"/>
      <c r="KBA36" s="14"/>
      <c r="KBB36" s="14"/>
      <c r="KBC36" s="14"/>
      <c r="KBD36" s="14"/>
      <c r="KBE36" s="14"/>
      <c r="KBF36" s="14"/>
      <c r="KBG36" s="14"/>
      <c r="KBH36" s="14"/>
      <c r="KBI36" s="14"/>
      <c r="KBJ36" s="14"/>
      <c r="KBK36" s="14"/>
      <c r="KBL36" s="14"/>
      <c r="KBM36" s="14"/>
      <c r="KBN36" s="14"/>
      <c r="KBO36" s="14"/>
      <c r="KBP36" s="14"/>
      <c r="KBQ36" s="14"/>
      <c r="KBR36" s="14"/>
      <c r="KBS36" s="14"/>
      <c r="KBT36" s="14"/>
      <c r="KBU36" s="14"/>
      <c r="KBV36" s="14"/>
      <c r="KBW36" s="14"/>
      <c r="KBX36" s="14"/>
      <c r="KBY36" s="14"/>
      <c r="KBZ36" s="14"/>
      <c r="KCA36" s="14"/>
      <c r="KCB36" s="14"/>
      <c r="KCC36" s="14"/>
      <c r="KCD36" s="14"/>
      <c r="KCE36" s="14"/>
      <c r="KCF36" s="14"/>
      <c r="KCG36" s="14"/>
      <c r="KCH36" s="14"/>
      <c r="KCI36" s="14"/>
      <c r="KCJ36" s="14"/>
      <c r="KCK36" s="14"/>
      <c r="KCL36" s="14"/>
      <c r="KCM36" s="14"/>
      <c r="KCN36" s="14"/>
      <c r="KCO36" s="14"/>
      <c r="KCP36" s="14"/>
      <c r="KCQ36" s="14"/>
      <c r="KCR36" s="14"/>
      <c r="KCS36" s="14"/>
      <c r="KCT36" s="14"/>
      <c r="KCU36" s="14"/>
      <c r="KCV36" s="14"/>
      <c r="KCW36" s="14"/>
      <c r="KCX36" s="14"/>
      <c r="KCY36" s="14"/>
      <c r="KCZ36" s="14"/>
      <c r="KDA36" s="14"/>
      <c r="KDB36" s="14"/>
      <c r="KDC36" s="14"/>
      <c r="KDD36" s="14"/>
      <c r="KDE36" s="14"/>
      <c r="KDF36" s="14"/>
      <c r="KDG36" s="14"/>
      <c r="KDH36" s="14"/>
      <c r="KDI36" s="14"/>
      <c r="KDJ36" s="14"/>
      <c r="KDK36" s="14"/>
      <c r="KDL36" s="14"/>
      <c r="KDM36" s="14"/>
      <c r="KDN36" s="14"/>
      <c r="KDO36" s="14"/>
      <c r="KDP36" s="14"/>
      <c r="KDQ36" s="14"/>
      <c r="KDR36" s="14"/>
      <c r="KDS36" s="14"/>
      <c r="KDT36" s="14"/>
      <c r="KDU36" s="14"/>
      <c r="KDV36" s="14"/>
      <c r="KDW36" s="14"/>
      <c r="KDX36" s="14"/>
      <c r="KDY36" s="14"/>
      <c r="KDZ36" s="14"/>
      <c r="KEA36" s="14"/>
      <c r="KEB36" s="14"/>
      <c r="KEC36" s="14"/>
      <c r="KED36" s="14"/>
      <c r="KEE36" s="14"/>
      <c r="KEF36" s="14"/>
      <c r="KEG36" s="14"/>
      <c r="KEH36" s="14"/>
      <c r="KEI36" s="14"/>
      <c r="KEJ36" s="14"/>
      <c r="KEK36" s="14"/>
      <c r="KEL36" s="14"/>
      <c r="KEM36" s="14"/>
      <c r="KEN36" s="14"/>
      <c r="KEO36" s="14"/>
      <c r="KEP36" s="14"/>
      <c r="KEQ36" s="14"/>
      <c r="KER36" s="14"/>
      <c r="KES36" s="14"/>
      <c r="KET36" s="14"/>
      <c r="KEU36" s="14"/>
      <c r="KEV36" s="14"/>
      <c r="KEW36" s="14"/>
      <c r="KEX36" s="14"/>
      <c r="KEY36" s="14"/>
      <c r="KEZ36" s="14"/>
      <c r="KFA36" s="14"/>
      <c r="KFB36" s="14"/>
      <c r="KFC36" s="14"/>
      <c r="KFD36" s="14"/>
      <c r="KFE36" s="14"/>
      <c r="KFF36" s="14"/>
      <c r="KFG36" s="14"/>
      <c r="KFH36" s="14"/>
      <c r="KFI36" s="14"/>
      <c r="KFJ36" s="14"/>
      <c r="KFK36" s="14"/>
      <c r="KFL36" s="14"/>
      <c r="KFM36" s="14"/>
      <c r="KFN36" s="14"/>
      <c r="KFO36" s="14"/>
      <c r="KFP36" s="14"/>
      <c r="KFQ36" s="14"/>
      <c r="KFR36" s="14"/>
      <c r="KFS36" s="14"/>
      <c r="KFT36" s="14"/>
      <c r="KFU36" s="14"/>
      <c r="KFV36" s="14"/>
      <c r="KFW36" s="14"/>
      <c r="KFX36" s="14"/>
      <c r="KFY36" s="14"/>
      <c r="KFZ36" s="14"/>
      <c r="KGA36" s="14"/>
      <c r="KGB36" s="14"/>
      <c r="KGC36" s="14"/>
      <c r="KGD36" s="14"/>
      <c r="KGE36" s="14"/>
      <c r="KGF36" s="14"/>
      <c r="KGG36" s="14"/>
      <c r="KGH36" s="14"/>
      <c r="KGI36" s="14"/>
      <c r="KGJ36" s="14"/>
      <c r="KGK36" s="14"/>
      <c r="KGL36" s="14"/>
      <c r="KGM36" s="14"/>
      <c r="KGN36" s="14"/>
      <c r="KGO36" s="14"/>
      <c r="KGP36" s="14"/>
      <c r="KGQ36" s="14"/>
      <c r="KGR36" s="14"/>
      <c r="KGS36" s="14"/>
      <c r="KGT36" s="14"/>
      <c r="KGU36" s="14"/>
      <c r="KGV36" s="14"/>
      <c r="KGW36" s="14"/>
      <c r="KGX36" s="14"/>
      <c r="KGY36" s="14"/>
      <c r="KGZ36" s="14"/>
      <c r="KHA36" s="14"/>
      <c r="KHB36" s="14"/>
      <c r="KHC36" s="14"/>
      <c r="KHD36" s="14"/>
      <c r="KHE36" s="14"/>
      <c r="KHF36" s="14"/>
      <c r="KHG36" s="14"/>
      <c r="KHH36" s="14"/>
      <c r="KHI36" s="14"/>
      <c r="KHJ36" s="14"/>
      <c r="KHK36" s="14"/>
      <c r="KHL36" s="14"/>
      <c r="KHM36" s="14"/>
      <c r="KHN36" s="14"/>
      <c r="KHO36" s="14"/>
      <c r="KHP36" s="14"/>
      <c r="KHQ36" s="14"/>
      <c r="KHR36" s="14"/>
      <c r="KHS36" s="14"/>
      <c r="KHT36" s="14"/>
      <c r="KHU36" s="14"/>
      <c r="KHV36" s="14"/>
      <c r="KHW36" s="14"/>
      <c r="KHX36" s="14"/>
      <c r="KHY36" s="14"/>
      <c r="KHZ36" s="14"/>
      <c r="KIA36" s="14"/>
      <c r="KIB36" s="14"/>
      <c r="KIC36" s="14"/>
      <c r="KID36" s="14"/>
      <c r="KIE36" s="14"/>
      <c r="KIF36" s="14"/>
      <c r="KIG36" s="14"/>
      <c r="KIH36" s="14"/>
      <c r="KII36" s="14"/>
      <c r="KIJ36" s="14"/>
      <c r="KIK36" s="14"/>
      <c r="KIL36" s="14"/>
      <c r="KIM36" s="14"/>
      <c r="KIN36" s="14"/>
      <c r="KIO36" s="14"/>
      <c r="KIP36" s="14"/>
      <c r="KIQ36" s="14"/>
      <c r="KIR36" s="14"/>
      <c r="KIS36" s="14"/>
      <c r="KIT36" s="14"/>
      <c r="KIU36" s="14"/>
      <c r="KIV36" s="14"/>
      <c r="KIW36" s="14"/>
      <c r="KIX36" s="14"/>
      <c r="KIY36" s="14"/>
      <c r="KIZ36" s="14"/>
      <c r="KJA36" s="14"/>
      <c r="KJB36" s="14"/>
      <c r="KJC36" s="14"/>
      <c r="KJD36" s="14"/>
      <c r="KJE36" s="14"/>
      <c r="KJF36" s="14"/>
      <c r="KJG36" s="14"/>
      <c r="KJH36" s="14"/>
      <c r="KJI36" s="14"/>
      <c r="KJJ36" s="14"/>
      <c r="KJK36" s="14"/>
      <c r="KJL36" s="14"/>
      <c r="KJM36" s="14"/>
      <c r="KJN36" s="14"/>
      <c r="KJO36" s="14"/>
      <c r="KJP36" s="14"/>
      <c r="KJQ36" s="14"/>
      <c r="KJR36" s="14"/>
      <c r="KJS36" s="14"/>
      <c r="KJT36" s="14"/>
      <c r="KJU36" s="14"/>
      <c r="KJV36" s="14"/>
      <c r="KJW36" s="14"/>
      <c r="KJX36" s="14"/>
      <c r="KJY36" s="14"/>
      <c r="KJZ36" s="14"/>
      <c r="KKA36" s="14"/>
      <c r="KKB36" s="14"/>
      <c r="KKC36" s="14"/>
      <c r="KKD36" s="14"/>
      <c r="KKE36" s="14"/>
      <c r="KKF36" s="14"/>
      <c r="KKG36" s="14"/>
      <c r="KKH36" s="14"/>
      <c r="KKI36" s="14"/>
      <c r="KKJ36" s="14"/>
      <c r="KKK36" s="14"/>
      <c r="KKL36" s="14"/>
      <c r="KKM36" s="14"/>
      <c r="KKN36" s="14"/>
      <c r="KKO36" s="14"/>
      <c r="KKP36" s="14"/>
      <c r="KKQ36" s="14"/>
      <c r="KKR36" s="14"/>
      <c r="KKS36" s="14"/>
      <c r="KKT36" s="14"/>
      <c r="KKU36" s="14"/>
      <c r="KKV36" s="14"/>
      <c r="KKW36" s="14"/>
      <c r="KKX36" s="14"/>
      <c r="KKY36" s="14"/>
      <c r="KKZ36" s="14"/>
      <c r="KLA36" s="14"/>
      <c r="KLB36" s="14"/>
      <c r="KLC36" s="14"/>
      <c r="KLD36" s="14"/>
      <c r="KLE36" s="14"/>
      <c r="KLF36" s="14"/>
      <c r="KLG36" s="14"/>
      <c r="KLH36" s="14"/>
      <c r="KLI36" s="14"/>
      <c r="KLJ36" s="14"/>
      <c r="KLK36" s="14"/>
      <c r="KLL36" s="14"/>
      <c r="KLM36" s="14"/>
      <c r="KLN36" s="14"/>
      <c r="KLO36" s="14"/>
      <c r="KLP36" s="14"/>
      <c r="KLQ36" s="14"/>
      <c r="KLR36" s="14"/>
      <c r="KLS36" s="14"/>
      <c r="KLT36" s="14"/>
      <c r="KLU36" s="14"/>
      <c r="KLV36" s="14"/>
      <c r="KLW36" s="14"/>
      <c r="KLX36" s="14"/>
      <c r="KLY36" s="14"/>
      <c r="KLZ36" s="14"/>
      <c r="KMA36" s="14"/>
      <c r="KMB36" s="14"/>
      <c r="KMC36" s="14"/>
      <c r="KMD36" s="14"/>
      <c r="KME36" s="14"/>
      <c r="KMF36" s="14"/>
      <c r="KMG36" s="14"/>
      <c r="KMH36" s="14"/>
      <c r="KMI36" s="14"/>
      <c r="KMJ36" s="14"/>
      <c r="KMK36" s="14"/>
      <c r="KML36" s="14"/>
      <c r="KMM36" s="14"/>
      <c r="KMN36" s="14"/>
      <c r="KMO36" s="14"/>
      <c r="KMP36" s="14"/>
      <c r="KMQ36" s="14"/>
      <c r="KMR36" s="14"/>
      <c r="KMS36" s="14"/>
      <c r="KMT36" s="14"/>
      <c r="KMU36" s="14"/>
      <c r="KMV36" s="14"/>
      <c r="KMW36" s="14"/>
      <c r="KMX36" s="14"/>
      <c r="KMY36" s="14"/>
      <c r="KMZ36" s="14"/>
      <c r="KNA36" s="14"/>
      <c r="KNB36" s="14"/>
      <c r="KNC36" s="14"/>
      <c r="KND36" s="14"/>
      <c r="KNE36" s="14"/>
      <c r="KNF36" s="14"/>
      <c r="KNG36" s="14"/>
      <c r="KNH36" s="14"/>
      <c r="KNI36" s="14"/>
      <c r="KNJ36" s="14"/>
      <c r="KNK36" s="14"/>
      <c r="KNL36" s="14"/>
      <c r="KNM36" s="14"/>
      <c r="KNN36" s="14"/>
      <c r="KNO36" s="14"/>
      <c r="KNP36" s="14"/>
      <c r="KNQ36" s="14"/>
      <c r="KNR36" s="14"/>
      <c r="KNS36" s="14"/>
      <c r="KNT36" s="14"/>
      <c r="KNU36" s="14"/>
      <c r="KNV36" s="14"/>
      <c r="KNW36" s="14"/>
      <c r="KNX36" s="14"/>
      <c r="KNY36" s="14"/>
      <c r="KNZ36" s="14"/>
      <c r="KOA36" s="14"/>
      <c r="KOB36" s="14"/>
      <c r="KOC36" s="14"/>
      <c r="KOD36" s="14"/>
      <c r="KOE36" s="14"/>
      <c r="KOF36" s="14"/>
      <c r="KOG36" s="14"/>
      <c r="KOH36" s="14"/>
      <c r="KOI36" s="14"/>
      <c r="KOJ36" s="14"/>
      <c r="KOK36" s="14"/>
      <c r="KOL36" s="14"/>
      <c r="KOM36" s="14"/>
      <c r="KON36" s="14"/>
      <c r="KOO36" s="14"/>
      <c r="KOP36" s="14"/>
      <c r="KOQ36" s="14"/>
      <c r="KOR36" s="14"/>
      <c r="KOS36" s="14"/>
      <c r="KOT36" s="14"/>
      <c r="KOU36" s="14"/>
      <c r="KOV36" s="14"/>
      <c r="KOW36" s="14"/>
      <c r="KOX36" s="14"/>
      <c r="KOY36" s="14"/>
      <c r="KOZ36" s="14"/>
      <c r="KPA36" s="14"/>
      <c r="KPB36" s="14"/>
      <c r="KPC36" s="14"/>
      <c r="KPD36" s="14"/>
      <c r="KPE36" s="14"/>
      <c r="KPF36" s="14"/>
      <c r="KPG36" s="14"/>
      <c r="KPH36" s="14"/>
      <c r="KPI36" s="14"/>
      <c r="KPJ36" s="14"/>
      <c r="KPK36" s="14"/>
      <c r="KPL36" s="14"/>
      <c r="KPM36" s="14"/>
      <c r="KPN36" s="14"/>
      <c r="KPO36" s="14"/>
      <c r="KPP36" s="14"/>
      <c r="KPQ36" s="14"/>
      <c r="KPR36" s="14"/>
      <c r="KPS36" s="14"/>
      <c r="KPT36" s="14"/>
      <c r="KPU36" s="14"/>
      <c r="KPV36" s="14"/>
      <c r="KPW36" s="14"/>
      <c r="KPX36" s="14"/>
      <c r="KPY36" s="14"/>
      <c r="KPZ36" s="14"/>
      <c r="KQA36" s="14"/>
      <c r="KQB36" s="14"/>
      <c r="KQC36" s="14"/>
      <c r="KQD36" s="14"/>
      <c r="KQE36" s="14"/>
      <c r="KQF36" s="14"/>
      <c r="KQG36" s="14"/>
      <c r="KQH36" s="14"/>
      <c r="KQI36" s="14"/>
      <c r="KQJ36" s="14"/>
      <c r="KQK36" s="14"/>
      <c r="KQL36" s="14"/>
      <c r="KQM36" s="14"/>
      <c r="KQN36" s="14"/>
      <c r="KQO36" s="14"/>
      <c r="KQP36" s="14"/>
      <c r="KQQ36" s="14"/>
      <c r="KQR36" s="14"/>
      <c r="KQS36" s="14"/>
      <c r="KQT36" s="14"/>
      <c r="KQU36" s="14"/>
      <c r="KQV36" s="14"/>
      <c r="KQW36" s="14"/>
      <c r="KQX36" s="14"/>
      <c r="KQY36" s="14"/>
      <c r="KQZ36" s="14"/>
      <c r="KRA36" s="14"/>
      <c r="KRB36" s="14"/>
      <c r="KRC36" s="14"/>
      <c r="KRD36" s="14"/>
      <c r="KRE36" s="14"/>
      <c r="KRF36" s="14"/>
      <c r="KRG36" s="14"/>
      <c r="KRH36" s="14"/>
      <c r="KRI36" s="14"/>
      <c r="KRJ36" s="14"/>
      <c r="KRK36" s="14"/>
      <c r="KRL36" s="14"/>
      <c r="KRM36" s="14"/>
      <c r="KRN36" s="14"/>
      <c r="KRO36" s="14"/>
      <c r="KRP36" s="14"/>
      <c r="KRQ36" s="14"/>
      <c r="KRR36" s="14"/>
      <c r="KRS36" s="14"/>
      <c r="KRT36" s="14"/>
      <c r="KRU36" s="14"/>
      <c r="KRV36" s="14"/>
      <c r="KRW36" s="14"/>
      <c r="KRX36" s="14"/>
      <c r="KRY36" s="14"/>
      <c r="KRZ36" s="14"/>
      <c r="KSA36" s="14"/>
      <c r="KSB36" s="14"/>
      <c r="KSC36" s="14"/>
      <c r="KSD36" s="14"/>
      <c r="KSE36" s="14"/>
      <c r="KSF36" s="14"/>
      <c r="KSG36" s="14"/>
      <c r="KSH36" s="14"/>
      <c r="KSI36" s="14"/>
      <c r="KSJ36" s="14"/>
      <c r="KSK36" s="14"/>
      <c r="KSL36" s="14"/>
      <c r="KSM36" s="14"/>
      <c r="KSN36" s="14"/>
      <c r="KSO36" s="14"/>
      <c r="KSP36" s="14"/>
      <c r="KSQ36" s="14"/>
      <c r="KSR36" s="14"/>
      <c r="KSS36" s="14"/>
      <c r="KST36" s="14"/>
      <c r="KSU36" s="14"/>
      <c r="KSV36" s="14"/>
      <c r="KSW36" s="14"/>
      <c r="KSX36" s="14"/>
      <c r="KSY36" s="14"/>
      <c r="KSZ36" s="14"/>
      <c r="KTA36" s="14"/>
      <c r="KTB36" s="14"/>
      <c r="KTC36" s="14"/>
      <c r="KTD36" s="14"/>
      <c r="KTE36" s="14"/>
      <c r="KTF36" s="14"/>
      <c r="KTG36" s="14"/>
      <c r="KTH36" s="14"/>
      <c r="KTI36" s="14"/>
      <c r="KTJ36" s="14"/>
      <c r="KTK36" s="14"/>
      <c r="KTL36" s="14"/>
      <c r="KTM36" s="14"/>
      <c r="KTN36" s="14"/>
      <c r="KTO36" s="14"/>
      <c r="KTP36" s="14"/>
      <c r="KTQ36" s="14"/>
      <c r="KTR36" s="14"/>
      <c r="KTS36" s="14"/>
      <c r="KTT36" s="14"/>
      <c r="KTU36" s="14"/>
      <c r="KTV36" s="14"/>
      <c r="KTW36" s="14"/>
      <c r="KTX36" s="14"/>
      <c r="KTY36" s="14"/>
      <c r="KTZ36" s="14"/>
      <c r="KUA36" s="14"/>
      <c r="KUB36" s="14"/>
      <c r="KUC36" s="14"/>
      <c r="KUD36" s="14"/>
      <c r="KUE36" s="14"/>
      <c r="KUF36" s="14"/>
      <c r="KUG36" s="14"/>
      <c r="KUH36" s="14"/>
      <c r="KUI36" s="14"/>
      <c r="KUJ36" s="14"/>
      <c r="KUK36" s="14"/>
      <c r="KUL36" s="14"/>
      <c r="KUM36" s="14"/>
      <c r="KUN36" s="14"/>
      <c r="KUO36" s="14"/>
      <c r="KUP36" s="14"/>
      <c r="KUQ36" s="14"/>
      <c r="KUR36" s="14"/>
      <c r="KUS36" s="14"/>
      <c r="KUT36" s="14"/>
      <c r="KUU36" s="14"/>
      <c r="KUV36" s="14"/>
      <c r="KUW36" s="14"/>
      <c r="KUX36" s="14"/>
      <c r="KUY36" s="14"/>
      <c r="KUZ36" s="14"/>
      <c r="KVA36" s="14"/>
      <c r="KVB36" s="14"/>
      <c r="KVC36" s="14"/>
      <c r="KVD36" s="14"/>
      <c r="KVE36" s="14"/>
      <c r="KVF36" s="14"/>
      <c r="KVG36" s="14"/>
      <c r="KVH36" s="14"/>
      <c r="KVI36" s="14"/>
      <c r="KVJ36" s="14"/>
      <c r="KVK36" s="14"/>
      <c r="KVL36" s="14"/>
      <c r="KVM36" s="14"/>
      <c r="KVN36" s="14"/>
      <c r="KVO36" s="14"/>
      <c r="KVP36" s="14"/>
      <c r="KVQ36" s="14"/>
      <c r="KVR36" s="14"/>
      <c r="KVS36" s="14"/>
      <c r="KVT36" s="14"/>
      <c r="KVU36" s="14"/>
      <c r="KVV36" s="14"/>
      <c r="KVW36" s="14"/>
      <c r="KVX36" s="14"/>
      <c r="KVY36" s="14"/>
      <c r="KVZ36" s="14"/>
      <c r="KWA36" s="14"/>
      <c r="KWB36" s="14"/>
      <c r="KWC36" s="14"/>
      <c r="KWD36" s="14"/>
      <c r="KWE36" s="14"/>
      <c r="KWF36" s="14"/>
      <c r="KWG36" s="14"/>
      <c r="KWH36" s="14"/>
      <c r="KWI36" s="14"/>
      <c r="KWJ36" s="14"/>
      <c r="KWK36" s="14"/>
      <c r="KWL36" s="14"/>
      <c r="KWM36" s="14"/>
      <c r="KWN36" s="14"/>
      <c r="KWO36" s="14"/>
      <c r="KWP36" s="14"/>
      <c r="KWQ36" s="14"/>
      <c r="KWR36" s="14"/>
      <c r="KWS36" s="14"/>
      <c r="KWT36" s="14"/>
      <c r="KWU36" s="14"/>
      <c r="KWV36" s="14"/>
      <c r="KWW36" s="14"/>
      <c r="KWX36" s="14"/>
      <c r="KWY36" s="14"/>
      <c r="KWZ36" s="14"/>
      <c r="KXA36" s="14"/>
      <c r="KXB36" s="14"/>
      <c r="KXC36" s="14"/>
      <c r="KXD36" s="14"/>
      <c r="KXE36" s="14"/>
      <c r="KXF36" s="14"/>
      <c r="KXG36" s="14"/>
      <c r="KXH36" s="14"/>
      <c r="KXI36" s="14"/>
      <c r="KXJ36" s="14"/>
      <c r="KXK36" s="14"/>
      <c r="KXL36" s="14"/>
      <c r="KXM36" s="14"/>
      <c r="KXN36" s="14"/>
      <c r="KXO36" s="14"/>
      <c r="KXP36" s="14"/>
      <c r="KXQ36" s="14"/>
      <c r="KXR36" s="14"/>
      <c r="KXS36" s="14"/>
      <c r="KXT36" s="14"/>
      <c r="KXU36" s="14"/>
      <c r="KXV36" s="14"/>
      <c r="KXW36" s="14"/>
      <c r="KXX36" s="14"/>
      <c r="KXY36" s="14"/>
      <c r="KXZ36" s="14"/>
      <c r="KYA36" s="14"/>
      <c r="KYB36" s="14"/>
      <c r="KYC36" s="14"/>
      <c r="KYD36" s="14"/>
      <c r="KYE36" s="14"/>
      <c r="KYF36" s="14"/>
      <c r="KYG36" s="14"/>
      <c r="KYH36" s="14"/>
      <c r="KYI36" s="14"/>
      <c r="KYJ36" s="14"/>
      <c r="KYK36" s="14"/>
      <c r="KYL36" s="14"/>
      <c r="KYM36" s="14"/>
      <c r="KYN36" s="14"/>
      <c r="KYO36" s="14"/>
      <c r="KYP36" s="14"/>
      <c r="KYQ36" s="14"/>
      <c r="KYR36" s="14"/>
      <c r="KYS36" s="14"/>
      <c r="KYT36" s="14"/>
      <c r="KYU36" s="14"/>
      <c r="KYV36" s="14"/>
      <c r="KYW36" s="14"/>
      <c r="KYX36" s="14"/>
      <c r="KYY36" s="14"/>
      <c r="KYZ36" s="14"/>
      <c r="KZA36" s="14"/>
      <c r="KZB36" s="14"/>
      <c r="KZC36" s="14"/>
      <c r="KZD36" s="14"/>
      <c r="KZE36" s="14"/>
      <c r="KZF36" s="14"/>
      <c r="KZG36" s="14"/>
      <c r="KZH36" s="14"/>
      <c r="KZI36" s="14"/>
      <c r="KZJ36" s="14"/>
      <c r="KZK36" s="14"/>
      <c r="KZL36" s="14"/>
      <c r="KZM36" s="14"/>
      <c r="KZN36" s="14"/>
      <c r="KZO36" s="14"/>
      <c r="KZP36" s="14"/>
      <c r="KZQ36" s="14"/>
      <c r="KZR36" s="14"/>
      <c r="KZS36" s="14"/>
      <c r="KZT36" s="14"/>
      <c r="KZU36" s="14"/>
      <c r="KZV36" s="14"/>
      <c r="KZW36" s="14"/>
      <c r="KZX36" s="14"/>
      <c r="KZY36" s="14"/>
      <c r="KZZ36" s="14"/>
      <c r="LAA36" s="14"/>
      <c r="LAB36" s="14"/>
      <c r="LAC36" s="14"/>
      <c r="LAD36" s="14"/>
      <c r="LAE36" s="14"/>
      <c r="LAF36" s="14"/>
      <c r="LAG36" s="14"/>
      <c r="LAH36" s="14"/>
      <c r="LAI36" s="14"/>
      <c r="LAJ36" s="14"/>
      <c r="LAK36" s="14"/>
      <c r="LAL36" s="14"/>
      <c r="LAM36" s="14"/>
      <c r="LAN36" s="14"/>
      <c r="LAO36" s="14"/>
      <c r="LAP36" s="14"/>
      <c r="LAQ36" s="14"/>
      <c r="LAR36" s="14"/>
      <c r="LAS36" s="14"/>
      <c r="LAT36" s="14"/>
      <c r="LAU36" s="14"/>
      <c r="LAV36" s="14"/>
      <c r="LAW36" s="14"/>
      <c r="LAX36" s="14"/>
      <c r="LAY36" s="14"/>
      <c r="LAZ36" s="14"/>
      <c r="LBA36" s="14"/>
      <c r="LBB36" s="14"/>
      <c r="LBC36" s="14"/>
      <c r="LBD36" s="14"/>
      <c r="LBE36" s="14"/>
      <c r="LBF36" s="14"/>
      <c r="LBG36" s="14"/>
      <c r="LBH36" s="14"/>
      <c r="LBI36" s="14"/>
      <c r="LBJ36" s="14"/>
      <c r="LBK36" s="14"/>
      <c r="LBL36" s="14"/>
      <c r="LBM36" s="14"/>
      <c r="LBN36" s="14"/>
      <c r="LBO36" s="14"/>
      <c r="LBP36" s="14"/>
      <c r="LBQ36" s="14"/>
      <c r="LBR36" s="14"/>
      <c r="LBS36" s="14"/>
      <c r="LBT36" s="14"/>
      <c r="LBU36" s="14"/>
      <c r="LBV36" s="14"/>
      <c r="LBW36" s="14"/>
      <c r="LBX36" s="14"/>
      <c r="LBY36" s="14"/>
      <c r="LBZ36" s="14"/>
      <c r="LCA36" s="14"/>
      <c r="LCB36" s="14"/>
      <c r="LCC36" s="14"/>
      <c r="LCD36" s="14"/>
      <c r="LCE36" s="14"/>
      <c r="LCF36" s="14"/>
      <c r="LCG36" s="14"/>
      <c r="LCH36" s="14"/>
      <c r="LCI36" s="14"/>
      <c r="LCJ36" s="14"/>
      <c r="LCK36" s="14"/>
      <c r="LCL36" s="14"/>
      <c r="LCM36" s="14"/>
      <c r="LCN36" s="14"/>
      <c r="LCO36" s="14"/>
      <c r="LCP36" s="14"/>
      <c r="LCQ36" s="14"/>
      <c r="LCR36" s="14"/>
      <c r="LCS36" s="14"/>
      <c r="LCT36" s="14"/>
      <c r="LCU36" s="14"/>
      <c r="LCV36" s="14"/>
      <c r="LCW36" s="14"/>
      <c r="LCX36" s="14"/>
      <c r="LCY36" s="14"/>
      <c r="LCZ36" s="14"/>
      <c r="LDA36" s="14"/>
      <c r="LDB36" s="14"/>
      <c r="LDC36" s="14"/>
      <c r="LDD36" s="14"/>
      <c r="LDE36" s="14"/>
      <c r="LDF36" s="14"/>
      <c r="LDG36" s="14"/>
      <c r="LDH36" s="14"/>
      <c r="LDI36" s="14"/>
      <c r="LDJ36" s="14"/>
      <c r="LDK36" s="14"/>
      <c r="LDL36" s="14"/>
      <c r="LDM36" s="14"/>
      <c r="LDN36" s="14"/>
      <c r="LDO36" s="14"/>
      <c r="LDP36" s="14"/>
      <c r="LDQ36" s="14"/>
      <c r="LDR36" s="14"/>
      <c r="LDS36" s="14"/>
      <c r="LDT36" s="14"/>
      <c r="LDU36" s="14"/>
      <c r="LDV36" s="14"/>
      <c r="LDW36" s="14"/>
      <c r="LDX36" s="14"/>
      <c r="LDY36" s="14"/>
      <c r="LDZ36" s="14"/>
      <c r="LEA36" s="14"/>
      <c r="LEB36" s="14"/>
      <c r="LEC36" s="14"/>
      <c r="LED36" s="14"/>
      <c r="LEE36" s="14"/>
      <c r="LEF36" s="14"/>
      <c r="LEG36" s="14"/>
      <c r="LEH36" s="14"/>
      <c r="LEI36" s="14"/>
      <c r="LEJ36" s="14"/>
      <c r="LEK36" s="14"/>
      <c r="LEL36" s="14"/>
      <c r="LEM36" s="14"/>
      <c r="LEN36" s="14"/>
      <c r="LEO36" s="14"/>
      <c r="LEP36" s="14"/>
      <c r="LEQ36" s="14"/>
      <c r="LER36" s="14"/>
      <c r="LES36" s="14"/>
      <c r="LET36" s="14"/>
      <c r="LEU36" s="14"/>
      <c r="LEV36" s="14"/>
      <c r="LEW36" s="14"/>
      <c r="LEX36" s="14"/>
      <c r="LEY36" s="14"/>
      <c r="LEZ36" s="14"/>
      <c r="LFA36" s="14"/>
      <c r="LFB36" s="14"/>
      <c r="LFC36" s="14"/>
      <c r="LFD36" s="14"/>
      <c r="LFE36" s="14"/>
      <c r="LFF36" s="14"/>
      <c r="LFG36" s="14"/>
      <c r="LFH36" s="14"/>
      <c r="LFI36" s="14"/>
      <c r="LFJ36" s="14"/>
      <c r="LFK36" s="14"/>
      <c r="LFL36" s="14"/>
      <c r="LFM36" s="14"/>
      <c r="LFN36" s="14"/>
      <c r="LFO36" s="14"/>
      <c r="LFP36" s="14"/>
      <c r="LFQ36" s="14"/>
      <c r="LFR36" s="14"/>
      <c r="LFS36" s="14"/>
      <c r="LFT36" s="14"/>
      <c r="LFU36" s="14"/>
      <c r="LFV36" s="14"/>
      <c r="LFW36" s="14"/>
      <c r="LFX36" s="14"/>
      <c r="LFY36" s="14"/>
      <c r="LFZ36" s="14"/>
      <c r="LGA36" s="14"/>
      <c r="LGB36" s="14"/>
      <c r="LGC36" s="14"/>
      <c r="LGD36" s="14"/>
      <c r="LGE36" s="14"/>
      <c r="LGF36" s="14"/>
      <c r="LGG36" s="14"/>
      <c r="LGH36" s="14"/>
      <c r="LGI36" s="14"/>
      <c r="LGJ36" s="14"/>
      <c r="LGK36" s="14"/>
      <c r="LGL36" s="14"/>
      <c r="LGM36" s="14"/>
      <c r="LGN36" s="14"/>
      <c r="LGO36" s="14"/>
      <c r="LGP36" s="14"/>
      <c r="LGQ36" s="14"/>
      <c r="LGR36" s="14"/>
      <c r="LGS36" s="14"/>
      <c r="LGT36" s="14"/>
      <c r="LGU36" s="14"/>
      <c r="LGV36" s="14"/>
      <c r="LGW36" s="14"/>
      <c r="LGX36" s="14"/>
      <c r="LGY36" s="14"/>
      <c r="LGZ36" s="14"/>
      <c r="LHA36" s="14"/>
      <c r="LHB36" s="14"/>
      <c r="LHC36" s="14"/>
      <c r="LHD36" s="14"/>
      <c r="LHE36" s="14"/>
      <c r="LHF36" s="14"/>
      <c r="LHG36" s="14"/>
      <c r="LHH36" s="14"/>
      <c r="LHI36" s="14"/>
      <c r="LHJ36" s="14"/>
      <c r="LHK36" s="14"/>
      <c r="LHL36" s="14"/>
      <c r="LHM36" s="14"/>
      <c r="LHN36" s="14"/>
      <c r="LHO36" s="14"/>
      <c r="LHP36" s="14"/>
      <c r="LHQ36" s="14"/>
      <c r="LHR36" s="14"/>
      <c r="LHS36" s="14"/>
      <c r="LHT36" s="14"/>
      <c r="LHU36" s="14"/>
      <c r="LHV36" s="14"/>
      <c r="LHW36" s="14"/>
      <c r="LHX36" s="14"/>
      <c r="LHY36" s="14"/>
      <c r="LHZ36" s="14"/>
      <c r="LIA36" s="14"/>
      <c r="LIB36" s="14"/>
      <c r="LIC36" s="14"/>
      <c r="LID36" s="14"/>
      <c r="LIE36" s="14"/>
      <c r="LIF36" s="14"/>
      <c r="LIG36" s="14"/>
      <c r="LIH36" s="14"/>
      <c r="LII36" s="14"/>
      <c r="LIJ36" s="14"/>
      <c r="LIK36" s="14"/>
      <c r="LIL36" s="14"/>
      <c r="LIM36" s="14"/>
      <c r="LIN36" s="14"/>
      <c r="LIO36" s="14"/>
      <c r="LIP36" s="14"/>
      <c r="LIQ36" s="14"/>
      <c r="LIR36" s="14"/>
      <c r="LIS36" s="14"/>
      <c r="LIT36" s="14"/>
      <c r="LIU36" s="14"/>
      <c r="LIV36" s="14"/>
      <c r="LIW36" s="14"/>
      <c r="LIX36" s="14"/>
      <c r="LIY36" s="14"/>
      <c r="LIZ36" s="14"/>
      <c r="LJA36" s="14"/>
      <c r="LJB36" s="14"/>
      <c r="LJC36" s="14"/>
      <c r="LJD36" s="14"/>
      <c r="LJE36" s="14"/>
      <c r="LJF36" s="14"/>
      <c r="LJG36" s="14"/>
      <c r="LJH36" s="14"/>
      <c r="LJI36" s="14"/>
      <c r="LJJ36" s="14"/>
      <c r="LJK36" s="14"/>
      <c r="LJL36" s="14"/>
      <c r="LJM36" s="14"/>
      <c r="LJN36" s="14"/>
      <c r="LJO36" s="14"/>
      <c r="LJP36" s="14"/>
      <c r="LJQ36" s="14"/>
      <c r="LJR36" s="14"/>
      <c r="LJS36" s="14"/>
      <c r="LJT36" s="14"/>
      <c r="LJU36" s="14"/>
      <c r="LJV36" s="14"/>
      <c r="LJW36" s="14"/>
      <c r="LJX36" s="14"/>
      <c r="LJY36" s="14"/>
      <c r="LJZ36" s="14"/>
      <c r="LKA36" s="14"/>
      <c r="LKB36" s="14"/>
      <c r="LKC36" s="14"/>
      <c r="LKD36" s="14"/>
      <c r="LKE36" s="14"/>
      <c r="LKF36" s="14"/>
      <c r="LKG36" s="14"/>
      <c r="LKH36" s="14"/>
      <c r="LKI36" s="14"/>
      <c r="LKJ36" s="14"/>
      <c r="LKK36" s="14"/>
      <c r="LKL36" s="14"/>
      <c r="LKM36" s="14"/>
      <c r="LKN36" s="14"/>
      <c r="LKO36" s="14"/>
      <c r="LKP36" s="14"/>
      <c r="LKQ36" s="14"/>
      <c r="LKR36" s="14"/>
      <c r="LKS36" s="14"/>
      <c r="LKT36" s="14"/>
      <c r="LKU36" s="14"/>
      <c r="LKV36" s="14"/>
      <c r="LKW36" s="14"/>
      <c r="LKX36" s="14"/>
      <c r="LKY36" s="14"/>
      <c r="LKZ36" s="14"/>
      <c r="LLA36" s="14"/>
      <c r="LLB36" s="14"/>
      <c r="LLC36" s="14"/>
      <c r="LLD36" s="14"/>
      <c r="LLE36" s="14"/>
      <c r="LLF36" s="14"/>
      <c r="LLG36" s="14"/>
      <c r="LLH36" s="14"/>
      <c r="LLI36" s="14"/>
      <c r="LLJ36" s="14"/>
      <c r="LLK36" s="14"/>
      <c r="LLL36" s="14"/>
      <c r="LLM36" s="14"/>
      <c r="LLN36" s="14"/>
      <c r="LLO36" s="14"/>
      <c r="LLP36" s="14"/>
      <c r="LLQ36" s="14"/>
      <c r="LLR36" s="14"/>
      <c r="LLS36" s="14"/>
      <c r="LLT36" s="14"/>
      <c r="LLU36" s="14"/>
      <c r="LLV36" s="14"/>
      <c r="LLW36" s="14"/>
      <c r="LLX36" s="14"/>
      <c r="LLY36" s="14"/>
      <c r="LLZ36" s="14"/>
      <c r="LMA36" s="14"/>
      <c r="LMB36" s="14"/>
      <c r="LMC36" s="14"/>
      <c r="LMD36" s="14"/>
      <c r="LME36" s="14"/>
      <c r="LMF36" s="14"/>
      <c r="LMG36" s="14"/>
      <c r="LMH36" s="14"/>
      <c r="LMI36" s="14"/>
      <c r="LMJ36" s="14"/>
      <c r="LMK36" s="14"/>
      <c r="LML36" s="14"/>
      <c r="LMM36" s="14"/>
      <c r="LMN36" s="14"/>
      <c r="LMO36" s="14"/>
      <c r="LMP36" s="14"/>
      <c r="LMQ36" s="14"/>
      <c r="LMR36" s="14"/>
      <c r="LMS36" s="14"/>
      <c r="LMT36" s="14"/>
      <c r="LMU36" s="14"/>
      <c r="LMV36" s="14"/>
      <c r="LMW36" s="14"/>
      <c r="LMX36" s="14"/>
      <c r="LMY36" s="14"/>
      <c r="LMZ36" s="14"/>
      <c r="LNA36" s="14"/>
      <c r="LNB36" s="14"/>
      <c r="LNC36" s="14"/>
      <c r="LND36" s="14"/>
      <c r="LNE36" s="14"/>
      <c r="LNF36" s="14"/>
      <c r="LNG36" s="14"/>
      <c r="LNH36" s="14"/>
      <c r="LNI36" s="14"/>
      <c r="LNJ36" s="14"/>
      <c r="LNK36" s="14"/>
      <c r="LNL36" s="14"/>
      <c r="LNM36" s="14"/>
      <c r="LNN36" s="14"/>
      <c r="LNO36" s="14"/>
      <c r="LNP36" s="14"/>
      <c r="LNQ36" s="14"/>
      <c r="LNR36" s="14"/>
      <c r="LNS36" s="14"/>
      <c r="LNT36" s="14"/>
      <c r="LNU36" s="14"/>
      <c r="LNV36" s="14"/>
      <c r="LNW36" s="14"/>
      <c r="LNX36" s="14"/>
      <c r="LNY36" s="14"/>
      <c r="LNZ36" s="14"/>
      <c r="LOA36" s="14"/>
      <c r="LOB36" s="14"/>
      <c r="LOC36" s="14"/>
      <c r="LOD36" s="14"/>
      <c r="LOE36" s="14"/>
      <c r="LOF36" s="14"/>
      <c r="LOG36" s="14"/>
      <c r="LOH36" s="14"/>
      <c r="LOI36" s="14"/>
      <c r="LOJ36" s="14"/>
      <c r="LOK36" s="14"/>
      <c r="LOL36" s="14"/>
      <c r="LOM36" s="14"/>
      <c r="LON36" s="14"/>
      <c r="LOO36" s="14"/>
      <c r="LOP36" s="14"/>
      <c r="LOQ36" s="14"/>
      <c r="LOR36" s="14"/>
      <c r="LOS36" s="14"/>
      <c r="LOT36" s="14"/>
      <c r="LOU36" s="14"/>
      <c r="LOV36" s="14"/>
      <c r="LOW36" s="14"/>
      <c r="LOX36" s="14"/>
      <c r="LOY36" s="14"/>
      <c r="LOZ36" s="14"/>
      <c r="LPA36" s="14"/>
      <c r="LPB36" s="14"/>
      <c r="LPC36" s="14"/>
      <c r="LPD36" s="14"/>
      <c r="LPE36" s="14"/>
      <c r="LPF36" s="14"/>
      <c r="LPG36" s="14"/>
      <c r="LPH36" s="14"/>
      <c r="LPI36" s="14"/>
      <c r="LPJ36" s="14"/>
      <c r="LPK36" s="14"/>
      <c r="LPL36" s="14"/>
      <c r="LPM36" s="14"/>
      <c r="LPN36" s="14"/>
      <c r="LPO36" s="14"/>
      <c r="LPP36" s="14"/>
      <c r="LPQ36" s="14"/>
      <c r="LPR36" s="14"/>
      <c r="LPS36" s="14"/>
      <c r="LPT36" s="14"/>
      <c r="LPU36" s="14"/>
      <c r="LPV36" s="14"/>
      <c r="LPW36" s="14"/>
      <c r="LPX36" s="14"/>
      <c r="LPY36" s="14"/>
      <c r="LPZ36" s="14"/>
      <c r="LQA36" s="14"/>
      <c r="LQB36" s="14"/>
      <c r="LQC36" s="14"/>
      <c r="LQD36" s="14"/>
      <c r="LQE36" s="14"/>
      <c r="LQF36" s="14"/>
      <c r="LQG36" s="14"/>
      <c r="LQH36" s="14"/>
      <c r="LQI36" s="14"/>
      <c r="LQJ36" s="14"/>
      <c r="LQK36" s="14"/>
      <c r="LQL36" s="14"/>
      <c r="LQM36" s="14"/>
      <c r="LQN36" s="14"/>
      <c r="LQO36" s="14"/>
      <c r="LQP36" s="14"/>
      <c r="LQQ36" s="14"/>
      <c r="LQR36" s="14"/>
      <c r="LQS36" s="14"/>
      <c r="LQT36" s="14"/>
      <c r="LQU36" s="14"/>
      <c r="LQV36" s="14"/>
      <c r="LQW36" s="14"/>
      <c r="LQX36" s="14"/>
      <c r="LQY36" s="14"/>
      <c r="LQZ36" s="14"/>
      <c r="LRA36" s="14"/>
      <c r="LRB36" s="14"/>
      <c r="LRC36" s="14"/>
      <c r="LRD36" s="14"/>
      <c r="LRE36" s="14"/>
      <c r="LRF36" s="14"/>
      <c r="LRG36" s="14"/>
      <c r="LRH36" s="14"/>
      <c r="LRI36" s="14"/>
      <c r="LRJ36" s="14"/>
      <c r="LRK36" s="14"/>
      <c r="LRL36" s="14"/>
      <c r="LRM36" s="14"/>
      <c r="LRN36" s="14"/>
      <c r="LRO36" s="14"/>
      <c r="LRP36" s="14"/>
      <c r="LRQ36" s="14"/>
      <c r="LRR36" s="14"/>
      <c r="LRS36" s="14"/>
      <c r="LRT36" s="14"/>
      <c r="LRU36" s="14"/>
      <c r="LRV36" s="14"/>
      <c r="LRW36" s="14"/>
      <c r="LRX36" s="14"/>
      <c r="LRY36" s="14"/>
      <c r="LRZ36" s="14"/>
      <c r="LSA36" s="14"/>
      <c r="LSB36" s="14"/>
      <c r="LSC36" s="14"/>
      <c r="LSD36" s="14"/>
      <c r="LSE36" s="14"/>
      <c r="LSF36" s="14"/>
      <c r="LSG36" s="14"/>
      <c r="LSH36" s="14"/>
      <c r="LSI36" s="14"/>
      <c r="LSJ36" s="14"/>
      <c r="LSK36" s="14"/>
      <c r="LSL36" s="14"/>
      <c r="LSM36" s="14"/>
      <c r="LSN36" s="14"/>
      <c r="LSO36" s="14"/>
      <c r="LSP36" s="14"/>
      <c r="LSQ36" s="14"/>
      <c r="LSR36" s="14"/>
      <c r="LSS36" s="14"/>
      <c r="LST36" s="14"/>
      <c r="LSU36" s="14"/>
      <c r="LSV36" s="14"/>
      <c r="LSW36" s="14"/>
      <c r="LSX36" s="14"/>
      <c r="LSY36" s="14"/>
      <c r="LSZ36" s="14"/>
      <c r="LTA36" s="14"/>
      <c r="LTB36" s="14"/>
      <c r="LTC36" s="14"/>
      <c r="LTD36" s="14"/>
      <c r="LTE36" s="14"/>
      <c r="LTF36" s="14"/>
      <c r="LTG36" s="14"/>
      <c r="LTH36" s="14"/>
      <c r="LTI36" s="14"/>
      <c r="LTJ36" s="14"/>
      <c r="LTK36" s="14"/>
      <c r="LTL36" s="14"/>
      <c r="LTM36" s="14"/>
      <c r="LTN36" s="14"/>
      <c r="LTO36" s="14"/>
      <c r="LTP36" s="14"/>
      <c r="LTQ36" s="14"/>
      <c r="LTR36" s="14"/>
      <c r="LTS36" s="14"/>
      <c r="LTT36" s="14"/>
      <c r="LTU36" s="14"/>
      <c r="LTV36" s="14"/>
      <c r="LTW36" s="14"/>
      <c r="LTX36" s="14"/>
      <c r="LTY36" s="14"/>
      <c r="LTZ36" s="14"/>
      <c r="LUA36" s="14"/>
      <c r="LUB36" s="14"/>
      <c r="LUC36" s="14"/>
      <c r="LUD36" s="14"/>
      <c r="LUE36" s="14"/>
      <c r="LUF36" s="14"/>
      <c r="LUG36" s="14"/>
      <c r="LUH36" s="14"/>
      <c r="LUI36" s="14"/>
      <c r="LUJ36" s="14"/>
      <c r="LUK36" s="14"/>
      <c r="LUL36" s="14"/>
      <c r="LUM36" s="14"/>
      <c r="LUN36" s="14"/>
      <c r="LUO36" s="14"/>
      <c r="LUP36" s="14"/>
      <c r="LUQ36" s="14"/>
      <c r="LUR36" s="14"/>
      <c r="LUS36" s="14"/>
      <c r="LUT36" s="14"/>
      <c r="LUU36" s="14"/>
      <c r="LUV36" s="14"/>
      <c r="LUW36" s="14"/>
      <c r="LUX36" s="14"/>
      <c r="LUY36" s="14"/>
      <c r="LUZ36" s="14"/>
      <c r="LVA36" s="14"/>
      <c r="LVB36" s="14"/>
      <c r="LVC36" s="14"/>
      <c r="LVD36" s="14"/>
      <c r="LVE36" s="14"/>
      <c r="LVF36" s="14"/>
      <c r="LVG36" s="14"/>
      <c r="LVH36" s="14"/>
      <c r="LVI36" s="14"/>
      <c r="LVJ36" s="14"/>
      <c r="LVK36" s="14"/>
      <c r="LVL36" s="14"/>
      <c r="LVM36" s="14"/>
      <c r="LVN36" s="14"/>
      <c r="LVO36" s="14"/>
      <c r="LVP36" s="14"/>
      <c r="LVQ36" s="14"/>
      <c r="LVR36" s="14"/>
      <c r="LVS36" s="14"/>
      <c r="LVT36" s="14"/>
      <c r="LVU36" s="14"/>
      <c r="LVV36" s="14"/>
      <c r="LVW36" s="14"/>
      <c r="LVX36" s="14"/>
      <c r="LVY36" s="14"/>
      <c r="LVZ36" s="14"/>
      <c r="LWA36" s="14"/>
      <c r="LWB36" s="14"/>
      <c r="LWC36" s="14"/>
      <c r="LWD36" s="14"/>
      <c r="LWE36" s="14"/>
      <c r="LWF36" s="14"/>
      <c r="LWG36" s="14"/>
      <c r="LWH36" s="14"/>
      <c r="LWI36" s="14"/>
      <c r="LWJ36" s="14"/>
      <c r="LWK36" s="14"/>
      <c r="LWL36" s="14"/>
      <c r="LWM36" s="14"/>
      <c r="LWN36" s="14"/>
      <c r="LWO36" s="14"/>
      <c r="LWP36" s="14"/>
      <c r="LWQ36" s="14"/>
      <c r="LWR36" s="14"/>
      <c r="LWS36" s="14"/>
      <c r="LWT36" s="14"/>
      <c r="LWU36" s="14"/>
      <c r="LWV36" s="14"/>
      <c r="LWW36" s="14"/>
      <c r="LWX36" s="14"/>
      <c r="LWY36" s="14"/>
      <c r="LWZ36" s="14"/>
      <c r="LXA36" s="14"/>
      <c r="LXB36" s="14"/>
      <c r="LXC36" s="14"/>
      <c r="LXD36" s="14"/>
      <c r="LXE36" s="14"/>
      <c r="LXF36" s="14"/>
      <c r="LXG36" s="14"/>
      <c r="LXH36" s="14"/>
      <c r="LXI36" s="14"/>
      <c r="LXJ36" s="14"/>
      <c r="LXK36" s="14"/>
      <c r="LXL36" s="14"/>
      <c r="LXM36" s="14"/>
      <c r="LXN36" s="14"/>
      <c r="LXO36" s="14"/>
      <c r="LXP36" s="14"/>
      <c r="LXQ36" s="14"/>
      <c r="LXR36" s="14"/>
      <c r="LXS36" s="14"/>
      <c r="LXT36" s="14"/>
      <c r="LXU36" s="14"/>
      <c r="LXV36" s="14"/>
      <c r="LXW36" s="14"/>
      <c r="LXX36" s="14"/>
      <c r="LXY36" s="14"/>
      <c r="LXZ36" s="14"/>
      <c r="LYA36" s="14"/>
      <c r="LYB36" s="14"/>
      <c r="LYC36" s="14"/>
      <c r="LYD36" s="14"/>
      <c r="LYE36" s="14"/>
      <c r="LYF36" s="14"/>
      <c r="LYG36" s="14"/>
      <c r="LYH36" s="14"/>
      <c r="LYI36" s="14"/>
      <c r="LYJ36" s="14"/>
      <c r="LYK36" s="14"/>
      <c r="LYL36" s="14"/>
      <c r="LYM36" s="14"/>
      <c r="LYN36" s="14"/>
      <c r="LYO36" s="14"/>
      <c r="LYP36" s="14"/>
      <c r="LYQ36" s="14"/>
      <c r="LYR36" s="14"/>
      <c r="LYS36" s="14"/>
      <c r="LYT36" s="14"/>
      <c r="LYU36" s="14"/>
      <c r="LYV36" s="14"/>
      <c r="LYW36" s="14"/>
      <c r="LYX36" s="14"/>
      <c r="LYY36" s="14"/>
      <c r="LYZ36" s="14"/>
      <c r="LZA36" s="14"/>
      <c r="LZB36" s="14"/>
      <c r="LZC36" s="14"/>
      <c r="LZD36" s="14"/>
      <c r="LZE36" s="14"/>
      <c r="LZF36" s="14"/>
      <c r="LZG36" s="14"/>
      <c r="LZH36" s="14"/>
      <c r="LZI36" s="14"/>
      <c r="LZJ36" s="14"/>
      <c r="LZK36" s="14"/>
      <c r="LZL36" s="14"/>
      <c r="LZM36" s="14"/>
      <c r="LZN36" s="14"/>
      <c r="LZO36" s="14"/>
      <c r="LZP36" s="14"/>
      <c r="LZQ36" s="14"/>
      <c r="LZR36" s="14"/>
      <c r="LZS36" s="14"/>
      <c r="LZT36" s="14"/>
      <c r="LZU36" s="14"/>
      <c r="LZV36" s="14"/>
      <c r="LZW36" s="14"/>
      <c r="LZX36" s="14"/>
      <c r="LZY36" s="14"/>
      <c r="LZZ36" s="14"/>
      <c r="MAA36" s="14"/>
      <c r="MAB36" s="14"/>
      <c r="MAC36" s="14"/>
      <c r="MAD36" s="14"/>
      <c r="MAE36" s="14"/>
      <c r="MAF36" s="14"/>
      <c r="MAG36" s="14"/>
      <c r="MAH36" s="14"/>
      <c r="MAI36" s="14"/>
      <c r="MAJ36" s="14"/>
      <c r="MAK36" s="14"/>
      <c r="MAL36" s="14"/>
      <c r="MAM36" s="14"/>
      <c r="MAN36" s="14"/>
      <c r="MAO36" s="14"/>
      <c r="MAP36" s="14"/>
      <c r="MAQ36" s="14"/>
      <c r="MAR36" s="14"/>
      <c r="MAS36" s="14"/>
      <c r="MAT36" s="14"/>
      <c r="MAU36" s="14"/>
      <c r="MAV36" s="14"/>
      <c r="MAW36" s="14"/>
      <c r="MAX36" s="14"/>
      <c r="MAY36" s="14"/>
      <c r="MAZ36" s="14"/>
      <c r="MBA36" s="14"/>
      <c r="MBB36" s="14"/>
      <c r="MBC36" s="14"/>
      <c r="MBD36" s="14"/>
      <c r="MBE36" s="14"/>
      <c r="MBF36" s="14"/>
      <c r="MBG36" s="14"/>
      <c r="MBH36" s="14"/>
      <c r="MBI36" s="14"/>
      <c r="MBJ36" s="14"/>
      <c r="MBK36" s="14"/>
      <c r="MBL36" s="14"/>
      <c r="MBM36" s="14"/>
      <c r="MBN36" s="14"/>
      <c r="MBO36" s="14"/>
      <c r="MBP36" s="14"/>
      <c r="MBQ36" s="14"/>
      <c r="MBR36" s="14"/>
      <c r="MBS36" s="14"/>
      <c r="MBT36" s="14"/>
      <c r="MBU36" s="14"/>
      <c r="MBV36" s="14"/>
      <c r="MBW36" s="14"/>
      <c r="MBX36" s="14"/>
      <c r="MBY36" s="14"/>
      <c r="MBZ36" s="14"/>
      <c r="MCA36" s="14"/>
      <c r="MCB36" s="14"/>
      <c r="MCC36" s="14"/>
      <c r="MCD36" s="14"/>
      <c r="MCE36" s="14"/>
      <c r="MCF36" s="14"/>
      <c r="MCG36" s="14"/>
      <c r="MCH36" s="14"/>
      <c r="MCI36" s="14"/>
      <c r="MCJ36" s="14"/>
      <c r="MCK36" s="14"/>
      <c r="MCL36" s="14"/>
      <c r="MCM36" s="14"/>
      <c r="MCN36" s="14"/>
      <c r="MCO36" s="14"/>
      <c r="MCP36" s="14"/>
      <c r="MCQ36" s="14"/>
      <c r="MCR36" s="14"/>
      <c r="MCS36" s="14"/>
      <c r="MCT36" s="14"/>
      <c r="MCU36" s="14"/>
      <c r="MCV36" s="14"/>
      <c r="MCW36" s="14"/>
      <c r="MCX36" s="14"/>
      <c r="MCY36" s="14"/>
      <c r="MCZ36" s="14"/>
      <c r="MDA36" s="14"/>
      <c r="MDB36" s="14"/>
      <c r="MDC36" s="14"/>
      <c r="MDD36" s="14"/>
      <c r="MDE36" s="14"/>
      <c r="MDF36" s="14"/>
      <c r="MDG36" s="14"/>
      <c r="MDH36" s="14"/>
      <c r="MDI36" s="14"/>
      <c r="MDJ36" s="14"/>
      <c r="MDK36" s="14"/>
      <c r="MDL36" s="14"/>
      <c r="MDM36" s="14"/>
      <c r="MDN36" s="14"/>
      <c r="MDO36" s="14"/>
      <c r="MDP36" s="14"/>
      <c r="MDQ36" s="14"/>
      <c r="MDR36" s="14"/>
      <c r="MDS36" s="14"/>
      <c r="MDT36" s="14"/>
      <c r="MDU36" s="14"/>
      <c r="MDV36" s="14"/>
      <c r="MDW36" s="14"/>
      <c r="MDX36" s="14"/>
      <c r="MDY36" s="14"/>
      <c r="MDZ36" s="14"/>
      <c r="MEA36" s="14"/>
      <c r="MEB36" s="14"/>
      <c r="MEC36" s="14"/>
      <c r="MED36" s="14"/>
      <c r="MEE36" s="14"/>
      <c r="MEF36" s="14"/>
      <c r="MEG36" s="14"/>
      <c r="MEH36" s="14"/>
      <c r="MEI36" s="14"/>
      <c r="MEJ36" s="14"/>
      <c r="MEK36" s="14"/>
      <c r="MEL36" s="14"/>
      <c r="MEM36" s="14"/>
      <c r="MEN36" s="14"/>
      <c r="MEO36" s="14"/>
      <c r="MEP36" s="14"/>
      <c r="MEQ36" s="14"/>
      <c r="MER36" s="14"/>
      <c r="MES36" s="14"/>
      <c r="MET36" s="14"/>
      <c r="MEU36" s="14"/>
      <c r="MEV36" s="14"/>
      <c r="MEW36" s="14"/>
      <c r="MEX36" s="14"/>
      <c r="MEY36" s="14"/>
      <c r="MEZ36" s="14"/>
      <c r="MFA36" s="14"/>
      <c r="MFB36" s="14"/>
      <c r="MFC36" s="14"/>
      <c r="MFD36" s="14"/>
      <c r="MFE36" s="14"/>
      <c r="MFF36" s="14"/>
      <c r="MFG36" s="14"/>
      <c r="MFH36" s="14"/>
      <c r="MFI36" s="14"/>
      <c r="MFJ36" s="14"/>
      <c r="MFK36" s="14"/>
      <c r="MFL36" s="14"/>
      <c r="MFM36" s="14"/>
      <c r="MFN36" s="14"/>
      <c r="MFO36" s="14"/>
      <c r="MFP36" s="14"/>
      <c r="MFQ36" s="14"/>
      <c r="MFR36" s="14"/>
      <c r="MFS36" s="14"/>
      <c r="MFT36" s="14"/>
      <c r="MFU36" s="14"/>
      <c r="MFV36" s="14"/>
      <c r="MFW36" s="14"/>
      <c r="MFX36" s="14"/>
      <c r="MFY36" s="14"/>
      <c r="MFZ36" s="14"/>
      <c r="MGA36" s="14"/>
      <c r="MGB36" s="14"/>
      <c r="MGC36" s="14"/>
      <c r="MGD36" s="14"/>
      <c r="MGE36" s="14"/>
      <c r="MGF36" s="14"/>
      <c r="MGG36" s="14"/>
      <c r="MGH36" s="14"/>
      <c r="MGI36" s="14"/>
      <c r="MGJ36" s="14"/>
      <c r="MGK36" s="14"/>
      <c r="MGL36" s="14"/>
      <c r="MGM36" s="14"/>
      <c r="MGN36" s="14"/>
      <c r="MGO36" s="14"/>
      <c r="MGP36" s="14"/>
      <c r="MGQ36" s="14"/>
      <c r="MGR36" s="14"/>
      <c r="MGS36" s="14"/>
      <c r="MGT36" s="14"/>
      <c r="MGU36" s="14"/>
      <c r="MGV36" s="14"/>
      <c r="MGW36" s="14"/>
      <c r="MGX36" s="14"/>
      <c r="MGY36" s="14"/>
      <c r="MGZ36" s="14"/>
      <c r="MHA36" s="14"/>
      <c r="MHB36" s="14"/>
      <c r="MHC36" s="14"/>
      <c r="MHD36" s="14"/>
      <c r="MHE36" s="14"/>
      <c r="MHF36" s="14"/>
      <c r="MHG36" s="14"/>
      <c r="MHH36" s="14"/>
      <c r="MHI36" s="14"/>
      <c r="MHJ36" s="14"/>
      <c r="MHK36" s="14"/>
      <c r="MHL36" s="14"/>
      <c r="MHM36" s="14"/>
      <c r="MHN36" s="14"/>
      <c r="MHO36" s="14"/>
      <c r="MHP36" s="14"/>
      <c r="MHQ36" s="14"/>
      <c r="MHR36" s="14"/>
      <c r="MHS36" s="14"/>
      <c r="MHT36" s="14"/>
      <c r="MHU36" s="14"/>
      <c r="MHV36" s="14"/>
      <c r="MHW36" s="14"/>
      <c r="MHX36" s="14"/>
      <c r="MHY36" s="14"/>
      <c r="MHZ36" s="14"/>
      <c r="MIA36" s="14"/>
      <c r="MIB36" s="14"/>
      <c r="MIC36" s="14"/>
      <c r="MID36" s="14"/>
      <c r="MIE36" s="14"/>
      <c r="MIF36" s="14"/>
      <c r="MIG36" s="14"/>
      <c r="MIH36" s="14"/>
      <c r="MII36" s="14"/>
      <c r="MIJ36" s="14"/>
      <c r="MIK36" s="14"/>
      <c r="MIL36" s="14"/>
      <c r="MIM36" s="14"/>
      <c r="MIN36" s="14"/>
      <c r="MIO36" s="14"/>
      <c r="MIP36" s="14"/>
      <c r="MIQ36" s="14"/>
      <c r="MIR36" s="14"/>
      <c r="MIS36" s="14"/>
      <c r="MIT36" s="14"/>
      <c r="MIU36" s="14"/>
      <c r="MIV36" s="14"/>
      <c r="MIW36" s="14"/>
      <c r="MIX36" s="14"/>
      <c r="MIY36" s="14"/>
      <c r="MIZ36" s="14"/>
      <c r="MJA36" s="14"/>
      <c r="MJB36" s="14"/>
      <c r="MJC36" s="14"/>
      <c r="MJD36" s="14"/>
      <c r="MJE36" s="14"/>
      <c r="MJF36" s="14"/>
      <c r="MJG36" s="14"/>
      <c r="MJH36" s="14"/>
      <c r="MJI36" s="14"/>
      <c r="MJJ36" s="14"/>
      <c r="MJK36" s="14"/>
      <c r="MJL36" s="14"/>
      <c r="MJM36" s="14"/>
      <c r="MJN36" s="14"/>
      <c r="MJO36" s="14"/>
      <c r="MJP36" s="14"/>
      <c r="MJQ36" s="14"/>
      <c r="MJR36" s="14"/>
      <c r="MJS36" s="14"/>
      <c r="MJT36" s="14"/>
      <c r="MJU36" s="14"/>
      <c r="MJV36" s="14"/>
      <c r="MJW36" s="14"/>
      <c r="MJX36" s="14"/>
      <c r="MJY36" s="14"/>
      <c r="MJZ36" s="14"/>
      <c r="MKA36" s="14"/>
      <c r="MKB36" s="14"/>
      <c r="MKC36" s="14"/>
      <c r="MKD36" s="14"/>
      <c r="MKE36" s="14"/>
      <c r="MKF36" s="14"/>
      <c r="MKG36" s="14"/>
      <c r="MKH36" s="14"/>
      <c r="MKI36" s="14"/>
      <c r="MKJ36" s="14"/>
      <c r="MKK36" s="14"/>
      <c r="MKL36" s="14"/>
      <c r="MKM36" s="14"/>
      <c r="MKN36" s="14"/>
      <c r="MKO36" s="14"/>
      <c r="MKP36" s="14"/>
      <c r="MKQ36" s="14"/>
      <c r="MKR36" s="14"/>
      <c r="MKS36" s="14"/>
      <c r="MKT36" s="14"/>
      <c r="MKU36" s="14"/>
      <c r="MKV36" s="14"/>
      <c r="MKW36" s="14"/>
      <c r="MKX36" s="14"/>
      <c r="MKY36" s="14"/>
      <c r="MKZ36" s="14"/>
      <c r="MLA36" s="14"/>
      <c r="MLB36" s="14"/>
      <c r="MLC36" s="14"/>
      <c r="MLD36" s="14"/>
      <c r="MLE36" s="14"/>
      <c r="MLF36" s="14"/>
      <c r="MLG36" s="14"/>
      <c r="MLH36" s="14"/>
      <c r="MLI36" s="14"/>
      <c r="MLJ36" s="14"/>
      <c r="MLK36" s="14"/>
      <c r="MLL36" s="14"/>
      <c r="MLM36" s="14"/>
      <c r="MLN36" s="14"/>
      <c r="MLO36" s="14"/>
      <c r="MLP36" s="14"/>
      <c r="MLQ36" s="14"/>
      <c r="MLR36" s="14"/>
      <c r="MLS36" s="14"/>
      <c r="MLT36" s="14"/>
      <c r="MLU36" s="14"/>
      <c r="MLV36" s="14"/>
      <c r="MLW36" s="14"/>
      <c r="MLX36" s="14"/>
      <c r="MLY36" s="14"/>
      <c r="MLZ36" s="14"/>
      <c r="MMA36" s="14"/>
      <c r="MMB36" s="14"/>
      <c r="MMC36" s="14"/>
      <c r="MMD36" s="14"/>
      <c r="MME36" s="14"/>
      <c r="MMF36" s="14"/>
      <c r="MMG36" s="14"/>
      <c r="MMH36" s="14"/>
      <c r="MMI36" s="14"/>
      <c r="MMJ36" s="14"/>
      <c r="MMK36" s="14"/>
      <c r="MML36" s="14"/>
      <c r="MMM36" s="14"/>
      <c r="MMN36" s="14"/>
      <c r="MMO36" s="14"/>
      <c r="MMP36" s="14"/>
      <c r="MMQ36" s="14"/>
      <c r="MMR36" s="14"/>
      <c r="MMS36" s="14"/>
      <c r="MMT36" s="14"/>
      <c r="MMU36" s="14"/>
      <c r="MMV36" s="14"/>
      <c r="MMW36" s="14"/>
      <c r="MMX36" s="14"/>
      <c r="MMY36" s="14"/>
      <c r="MMZ36" s="14"/>
      <c r="MNA36" s="14"/>
      <c r="MNB36" s="14"/>
      <c r="MNC36" s="14"/>
      <c r="MND36" s="14"/>
      <c r="MNE36" s="14"/>
      <c r="MNF36" s="14"/>
      <c r="MNG36" s="14"/>
      <c r="MNH36" s="14"/>
      <c r="MNI36" s="14"/>
      <c r="MNJ36" s="14"/>
      <c r="MNK36" s="14"/>
      <c r="MNL36" s="14"/>
      <c r="MNM36" s="14"/>
      <c r="MNN36" s="14"/>
      <c r="MNO36" s="14"/>
      <c r="MNP36" s="14"/>
      <c r="MNQ36" s="14"/>
      <c r="MNR36" s="14"/>
      <c r="MNS36" s="14"/>
      <c r="MNT36" s="14"/>
      <c r="MNU36" s="14"/>
      <c r="MNV36" s="14"/>
      <c r="MNW36" s="14"/>
      <c r="MNX36" s="14"/>
      <c r="MNY36" s="14"/>
      <c r="MNZ36" s="14"/>
      <c r="MOA36" s="14"/>
      <c r="MOB36" s="14"/>
      <c r="MOC36" s="14"/>
      <c r="MOD36" s="14"/>
      <c r="MOE36" s="14"/>
      <c r="MOF36" s="14"/>
      <c r="MOG36" s="14"/>
      <c r="MOH36" s="14"/>
      <c r="MOI36" s="14"/>
      <c r="MOJ36" s="14"/>
      <c r="MOK36" s="14"/>
      <c r="MOL36" s="14"/>
      <c r="MOM36" s="14"/>
      <c r="MON36" s="14"/>
      <c r="MOO36" s="14"/>
      <c r="MOP36" s="14"/>
      <c r="MOQ36" s="14"/>
      <c r="MOR36" s="14"/>
      <c r="MOS36" s="14"/>
      <c r="MOT36" s="14"/>
      <c r="MOU36" s="14"/>
      <c r="MOV36" s="14"/>
      <c r="MOW36" s="14"/>
      <c r="MOX36" s="14"/>
      <c r="MOY36" s="14"/>
      <c r="MOZ36" s="14"/>
      <c r="MPA36" s="14"/>
      <c r="MPB36" s="14"/>
      <c r="MPC36" s="14"/>
      <c r="MPD36" s="14"/>
      <c r="MPE36" s="14"/>
      <c r="MPF36" s="14"/>
      <c r="MPG36" s="14"/>
      <c r="MPH36" s="14"/>
      <c r="MPI36" s="14"/>
      <c r="MPJ36" s="14"/>
      <c r="MPK36" s="14"/>
      <c r="MPL36" s="14"/>
      <c r="MPM36" s="14"/>
      <c r="MPN36" s="14"/>
      <c r="MPO36" s="14"/>
      <c r="MPP36" s="14"/>
      <c r="MPQ36" s="14"/>
      <c r="MPR36" s="14"/>
      <c r="MPS36" s="14"/>
      <c r="MPT36" s="14"/>
      <c r="MPU36" s="14"/>
      <c r="MPV36" s="14"/>
      <c r="MPW36" s="14"/>
      <c r="MPX36" s="14"/>
      <c r="MPY36" s="14"/>
      <c r="MPZ36" s="14"/>
      <c r="MQA36" s="14"/>
      <c r="MQB36" s="14"/>
      <c r="MQC36" s="14"/>
      <c r="MQD36" s="14"/>
      <c r="MQE36" s="14"/>
      <c r="MQF36" s="14"/>
      <c r="MQG36" s="14"/>
      <c r="MQH36" s="14"/>
      <c r="MQI36" s="14"/>
      <c r="MQJ36" s="14"/>
      <c r="MQK36" s="14"/>
      <c r="MQL36" s="14"/>
      <c r="MQM36" s="14"/>
      <c r="MQN36" s="14"/>
      <c r="MQO36" s="14"/>
      <c r="MQP36" s="14"/>
      <c r="MQQ36" s="14"/>
      <c r="MQR36" s="14"/>
      <c r="MQS36" s="14"/>
      <c r="MQT36" s="14"/>
      <c r="MQU36" s="14"/>
      <c r="MQV36" s="14"/>
      <c r="MQW36" s="14"/>
      <c r="MQX36" s="14"/>
      <c r="MQY36" s="14"/>
      <c r="MQZ36" s="14"/>
      <c r="MRA36" s="14"/>
      <c r="MRB36" s="14"/>
      <c r="MRC36" s="14"/>
      <c r="MRD36" s="14"/>
      <c r="MRE36" s="14"/>
      <c r="MRF36" s="14"/>
      <c r="MRG36" s="14"/>
      <c r="MRH36" s="14"/>
      <c r="MRI36" s="14"/>
      <c r="MRJ36" s="14"/>
      <c r="MRK36" s="14"/>
      <c r="MRL36" s="14"/>
      <c r="MRM36" s="14"/>
      <c r="MRN36" s="14"/>
      <c r="MRO36" s="14"/>
      <c r="MRP36" s="14"/>
      <c r="MRQ36" s="14"/>
      <c r="MRR36" s="14"/>
      <c r="MRS36" s="14"/>
      <c r="MRT36" s="14"/>
      <c r="MRU36" s="14"/>
      <c r="MRV36" s="14"/>
      <c r="MRW36" s="14"/>
      <c r="MRX36" s="14"/>
      <c r="MRY36" s="14"/>
      <c r="MRZ36" s="14"/>
      <c r="MSA36" s="14"/>
      <c r="MSB36" s="14"/>
      <c r="MSC36" s="14"/>
      <c r="MSD36" s="14"/>
      <c r="MSE36" s="14"/>
      <c r="MSF36" s="14"/>
      <c r="MSG36" s="14"/>
      <c r="MSH36" s="14"/>
      <c r="MSI36" s="14"/>
      <c r="MSJ36" s="14"/>
      <c r="MSK36" s="14"/>
      <c r="MSL36" s="14"/>
      <c r="MSM36" s="14"/>
      <c r="MSN36" s="14"/>
      <c r="MSO36" s="14"/>
      <c r="MSP36" s="14"/>
      <c r="MSQ36" s="14"/>
      <c r="MSR36" s="14"/>
      <c r="MSS36" s="14"/>
      <c r="MST36" s="14"/>
      <c r="MSU36" s="14"/>
      <c r="MSV36" s="14"/>
      <c r="MSW36" s="14"/>
      <c r="MSX36" s="14"/>
      <c r="MSY36" s="14"/>
      <c r="MSZ36" s="14"/>
      <c r="MTA36" s="14"/>
      <c r="MTB36" s="14"/>
      <c r="MTC36" s="14"/>
      <c r="MTD36" s="14"/>
      <c r="MTE36" s="14"/>
      <c r="MTF36" s="14"/>
      <c r="MTG36" s="14"/>
      <c r="MTH36" s="14"/>
      <c r="MTI36" s="14"/>
      <c r="MTJ36" s="14"/>
      <c r="MTK36" s="14"/>
      <c r="MTL36" s="14"/>
      <c r="MTM36" s="14"/>
      <c r="MTN36" s="14"/>
      <c r="MTO36" s="14"/>
      <c r="MTP36" s="14"/>
      <c r="MTQ36" s="14"/>
      <c r="MTR36" s="14"/>
      <c r="MTS36" s="14"/>
      <c r="MTT36" s="14"/>
      <c r="MTU36" s="14"/>
      <c r="MTV36" s="14"/>
      <c r="MTW36" s="14"/>
      <c r="MTX36" s="14"/>
      <c r="MTY36" s="14"/>
      <c r="MTZ36" s="14"/>
      <c r="MUA36" s="14"/>
      <c r="MUB36" s="14"/>
      <c r="MUC36" s="14"/>
      <c r="MUD36" s="14"/>
      <c r="MUE36" s="14"/>
      <c r="MUF36" s="14"/>
      <c r="MUG36" s="14"/>
      <c r="MUH36" s="14"/>
      <c r="MUI36" s="14"/>
      <c r="MUJ36" s="14"/>
      <c r="MUK36" s="14"/>
      <c r="MUL36" s="14"/>
      <c r="MUM36" s="14"/>
      <c r="MUN36" s="14"/>
      <c r="MUO36" s="14"/>
      <c r="MUP36" s="14"/>
      <c r="MUQ36" s="14"/>
      <c r="MUR36" s="14"/>
      <c r="MUS36" s="14"/>
      <c r="MUT36" s="14"/>
      <c r="MUU36" s="14"/>
      <c r="MUV36" s="14"/>
      <c r="MUW36" s="14"/>
      <c r="MUX36" s="14"/>
      <c r="MUY36" s="14"/>
      <c r="MUZ36" s="14"/>
      <c r="MVA36" s="14"/>
      <c r="MVB36" s="14"/>
      <c r="MVC36" s="14"/>
      <c r="MVD36" s="14"/>
      <c r="MVE36" s="14"/>
      <c r="MVF36" s="14"/>
      <c r="MVG36" s="14"/>
      <c r="MVH36" s="14"/>
      <c r="MVI36" s="14"/>
      <c r="MVJ36" s="14"/>
      <c r="MVK36" s="14"/>
      <c r="MVL36" s="14"/>
      <c r="MVM36" s="14"/>
      <c r="MVN36" s="14"/>
      <c r="MVO36" s="14"/>
      <c r="MVP36" s="14"/>
      <c r="MVQ36" s="14"/>
      <c r="MVR36" s="14"/>
      <c r="MVS36" s="14"/>
      <c r="MVT36" s="14"/>
      <c r="MVU36" s="14"/>
      <c r="MVV36" s="14"/>
      <c r="MVW36" s="14"/>
      <c r="MVX36" s="14"/>
      <c r="MVY36" s="14"/>
      <c r="MVZ36" s="14"/>
      <c r="MWA36" s="14"/>
      <c r="MWB36" s="14"/>
      <c r="MWC36" s="14"/>
      <c r="MWD36" s="14"/>
      <c r="MWE36" s="14"/>
      <c r="MWF36" s="14"/>
      <c r="MWG36" s="14"/>
      <c r="MWH36" s="14"/>
      <c r="MWI36" s="14"/>
      <c r="MWJ36" s="14"/>
      <c r="MWK36" s="14"/>
      <c r="MWL36" s="14"/>
      <c r="MWM36" s="14"/>
      <c r="MWN36" s="14"/>
      <c r="MWO36" s="14"/>
      <c r="MWP36" s="14"/>
      <c r="MWQ36" s="14"/>
      <c r="MWR36" s="14"/>
      <c r="MWS36" s="14"/>
      <c r="MWT36" s="14"/>
      <c r="MWU36" s="14"/>
      <c r="MWV36" s="14"/>
      <c r="MWW36" s="14"/>
      <c r="MWX36" s="14"/>
      <c r="MWY36" s="14"/>
      <c r="MWZ36" s="14"/>
      <c r="MXA36" s="14"/>
      <c r="MXB36" s="14"/>
      <c r="MXC36" s="14"/>
      <c r="MXD36" s="14"/>
      <c r="MXE36" s="14"/>
      <c r="MXF36" s="14"/>
      <c r="MXG36" s="14"/>
      <c r="MXH36" s="14"/>
      <c r="MXI36" s="14"/>
      <c r="MXJ36" s="14"/>
      <c r="MXK36" s="14"/>
      <c r="MXL36" s="14"/>
      <c r="MXM36" s="14"/>
      <c r="MXN36" s="14"/>
      <c r="MXO36" s="14"/>
      <c r="MXP36" s="14"/>
      <c r="MXQ36" s="14"/>
      <c r="MXR36" s="14"/>
      <c r="MXS36" s="14"/>
      <c r="MXT36" s="14"/>
      <c r="MXU36" s="14"/>
      <c r="MXV36" s="14"/>
      <c r="MXW36" s="14"/>
      <c r="MXX36" s="14"/>
      <c r="MXY36" s="14"/>
      <c r="MXZ36" s="14"/>
      <c r="MYA36" s="14"/>
      <c r="MYB36" s="14"/>
      <c r="MYC36" s="14"/>
      <c r="MYD36" s="14"/>
      <c r="MYE36" s="14"/>
      <c r="MYF36" s="14"/>
      <c r="MYG36" s="14"/>
      <c r="MYH36" s="14"/>
      <c r="MYI36" s="14"/>
      <c r="MYJ36" s="14"/>
      <c r="MYK36" s="14"/>
      <c r="MYL36" s="14"/>
      <c r="MYM36" s="14"/>
      <c r="MYN36" s="14"/>
      <c r="MYO36" s="14"/>
      <c r="MYP36" s="14"/>
      <c r="MYQ36" s="14"/>
      <c r="MYR36" s="14"/>
      <c r="MYS36" s="14"/>
      <c r="MYT36" s="14"/>
      <c r="MYU36" s="14"/>
      <c r="MYV36" s="14"/>
      <c r="MYW36" s="14"/>
      <c r="MYX36" s="14"/>
      <c r="MYY36" s="14"/>
      <c r="MYZ36" s="14"/>
      <c r="MZA36" s="14"/>
      <c r="MZB36" s="14"/>
      <c r="MZC36" s="14"/>
      <c r="MZD36" s="14"/>
      <c r="MZE36" s="14"/>
      <c r="MZF36" s="14"/>
      <c r="MZG36" s="14"/>
      <c r="MZH36" s="14"/>
      <c r="MZI36" s="14"/>
      <c r="MZJ36" s="14"/>
      <c r="MZK36" s="14"/>
      <c r="MZL36" s="14"/>
      <c r="MZM36" s="14"/>
      <c r="MZN36" s="14"/>
      <c r="MZO36" s="14"/>
      <c r="MZP36" s="14"/>
      <c r="MZQ36" s="14"/>
      <c r="MZR36" s="14"/>
      <c r="MZS36" s="14"/>
      <c r="MZT36" s="14"/>
      <c r="MZU36" s="14"/>
      <c r="MZV36" s="14"/>
      <c r="MZW36" s="14"/>
      <c r="MZX36" s="14"/>
      <c r="MZY36" s="14"/>
      <c r="MZZ36" s="14"/>
      <c r="NAA36" s="14"/>
      <c r="NAB36" s="14"/>
      <c r="NAC36" s="14"/>
      <c r="NAD36" s="14"/>
      <c r="NAE36" s="14"/>
      <c r="NAF36" s="14"/>
      <c r="NAG36" s="14"/>
      <c r="NAH36" s="14"/>
      <c r="NAI36" s="14"/>
      <c r="NAJ36" s="14"/>
      <c r="NAK36" s="14"/>
      <c r="NAL36" s="14"/>
      <c r="NAM36" s="14"/>
      <c r="NAN36" s="14"/>
      <c r="NAO36" s="14"/>
      <c r="NAP36" s="14"/>
      <c r="NAQ36" s="14"/>
      <c r="NAR36" s="14"/>
      <c r="NAS36" s="14"/>
      <c r="NAT36" s="14"/>
      <c r="NAU36" s="14"/>
      <c r="NAV36" s="14"/>
      <c r="NAW36" s="14"/>
      <c r="NAX36" s="14"/>
      <c r="NAY36" s="14"/>
      <c r="NAZ36" s="14"/>
      <c r="NBA36" s="14"/>
      <c r="NBB36" s="14"/>
      <c r="NBC36" s="14"/>
      <c r="NBD36" s="14"/>
      <c r="NBE36" s="14"/>
      <c r="NBF36" s="14"/>
      <c r="NBG36" s="14"/>
      <c r="NBH36" s="14"/>
      <c r="NBI36" s="14"/>
      <c r="NBJ36" s="14"/>
      <c r="NBK36" s="14"/>
      <c r="NBL36" s="14"/>
      <c r="NBM36" s="14"/>
      <c r="NBN36" s="14"/>
      <c r="NBO36" s="14"/>
      <c r="NBP36" s="14"/>
      <c r="NBQ36" s="14"/>
      <c r="NBR36" s="14"/>
      <c r="NBS36" s="14"/>
      <c r="NBT36" s="14"/>
      <c r="NBU36" s="14"/>
      <c r="NBV36" s="14"/>
      <c r="NBW36" s="14"/>
      <c r="NBX36" s="14"/>
      <c r="NBY36" s="14"/>
      <c r="NBZ36" s="14"/>
      <c r="NCA36" s="14"/>
      <c r="NCB36" s="14"/>
      <c r="NCC36" s="14"/>
      <c r="NCD36" s="14"/>
      <c r="NCE36" s="14"/>
      <c r="NCF36" s="14"/>
      <c r="NCG36" s="14"/>
      <c r="NCH36" s="14"/>
      <c r="NCI36" s="14"/>
      <c r="NCJ36" s="14"/>
      <c r="NCK36" s="14"/>
      <c r="NCL36" s="14"/>
      <c r="NCM36" s="14"/>
      <c r="NCN36" s="14"/>
      <c r="NCO36" s="14"/>
      <c r="NCP36" s="14"/>
      <c r="NCQ36" s="14"/>
      <c r="NCR36" s="14"/>
      <c r="NCS36" s="14"/>
      <c r="NCT36" s="14"/>
      <c r="NCU36" s="14"/>
      <c r="NCV36" s="14"/>
      <c r="NCW36" s="14"/>
      <c r="NCX36" s="14"/>
      <c r="NCY36" s="14"/>
      <c r="NCZ36" s="14"/>
      <c r="NDA36" s="14"/>
      <c r="NDB36" s="14"/>
      <c r="NDC36" s="14"/>
      <c r="NDD36" s="14"/>
      <c r="NDE36" s="14"/>
      <c r="NDF36" s="14"/>
      <c r="NDG36" s="14"/>
      <c r="NDH36" s="14"/>
      <c r="NDI36" s="14"/>
      <c r="NDJ36" s="14"/>
      <c r="NDK36" s="14"/>
      <c r="NDL36" s="14"/>
      <c r="NDM36" s="14"/>
      <c r="NDN36" s="14"/>
      <c r="NDO36" s="14"/>
      <c r="NDP36" s="14"/>
      <c r="NDQ36" s="14"/>
      <c r="NDR36" s="14"/>
      <c r="NDS36" s="14"/>
      <c r="NDT36" s="14"/>
      <c r="NDU36" s="14"/>
      <c r="NDV36" s="14"/>
      <c r="NDW36" s="14"/>
      <c r="NDX36" s="14"/>
      <c r="NDY36" s="14"/>
      <c r="NDZ36" s="14"/>
      <c r="NEA36" s="14"/>
      <c r="NEB36" s="14"/>
      <c r="NEC36" s="14"/>
      <c r="NED36" s="14"/>
      <c r="NEE36" s="14"/>
      <c r="NEF36" s="14"/>
      <c r="NEG36" s="14"/>
      <c r="NEH36" s="14"/>
      <c r="NEI36" s="14"/>
      <c r="NEJ36" s="14"/>
      <c r="NEK36" s="14"/>
      <c r="NEL36" s="14"/>
      <c r="NEM36" s="14"/>
      <c r="NEN36" s="14"/>
      <c r="NEO36" s="14"/>
      <c r="NEP36" s="14"/>
      <c r="NEQ36" s="14"/>
      <c r="NER36" s="14"/>
      <c r="NES36" s="14"/>
      <c r="NET36" s="14"/>
      <c r="NEU36" s="14"/>
      <c r="NEV36" s="14"/>
      <c r="NEW36" s="14"/>
      <c r="NEX36" s="14"/>
      <c r="NEY36" s="14"/>
      <c r="NEZ36" s="14"/>
      <c r="NFA36" s="14"/>
      <c r="NFB36" s="14"/>
      <c r="NFC36" s="14"/>
      <c r="NFD36" s="14"/>
      <c r="NFE36" s="14"/>
      <c r="NFF36" s="14"/>
      <c r="NFG36" s="14"/>
      <c r="NFH36" s="14"/>
      <c r="NFI36" s="14"/>
      <c r="NFJ36" s="14"/>
      <c r="NFK36" s="14"/>
      <c r="NFL36" s="14"/>
      <c r="NFM36" s="14"/>
      <c r="NFN36" s="14"/>
      <c r="NFO36" s="14"/>
      <c r="NFP36" s="14"/>
      <c r="NFQ36" s="14"/>
      <c r="NFR36" s="14"/>
      <c r="NFS36" s="14"/>
      <c r="NFT36" s="14"/>
      <c r="NFU36" s="14"/>
      <c r="NFV36" s="14"/>
      <c r="NFW36" s="14"/>
      <c r="NFX36" s="14"/>
      <c r="NFY36" s="14"/>
      <c r="NFZ36" s="14"/>
      <c r="NGA36" s="14"/>
      <c r="NGB36" s="14"/>
      <c r="NGC36" s="14"/>
      <c r="NGD36" s="14"/>
      <c r="NGE36" s="14"/>
      <c r="NGF36" s="14"/>
      <c r="NGG36" s="14"/>
      <c r="NGH36" s="14"/>
      <c r="NGI36" s="14"/>
      <c r="NGJ36" s="14"/>
      <c r="NGK36" s="14"/>
      <c r="NGL36" s="14"/>
      <c r="NGM36" s="14"/>
      <c r="NGN36" s="14"/>
      <c r="NGO36" s="14"/>
      <c r="NGP36" s="14"/>
      <c r="NGQ36" s="14"/>
      <c r="NGR36" s="14"/>
      <c r="NGS36" s="14"/>
      <c r="NGT36" s="14"/>
      <c r="NGU36" s="14"/>
      <c r="NGV36" s="14"/>
      <c r="NGW36" s="14"/>
      <c r="NGX36" s="14"/>
      <c r="NGY36" s="14"/>
      <c r="NGZ36" s="14"/>
      <c r="NHA36" s="14"/>
      <c r="NHB36" s="14"/>
      <c r="NHC36" s="14"/>
      <c r="NHD36" s="14"/>
      <c r="NHE36" s="14"/>
      <c r="NHF36" s="14"/>
      <c r="NHG36" s="14"/>
      <c r="NHH36" s="14"/>
      <c r="NHI36" s="14"/>
      <c r="NHJ36" s="14"/>
      <c r="NHK36" s="14"/>
      <c r="NHL36" s="14"/>
      <c r="NHM36" s="14"/>
      <c r="NHN36" s="14"/>
      <c r="NHO36" s="14"/>
      <c r="NHP36" s="14"/>
      <c r="NHQ36" s="14"/>
      <c r="NHR36" s="14"/>
      <c r="NHS36" s="14"/>
      <c r="NHT36" s="14"/>
      <c r="NHU36" s="14"/>
      <c r="NHV36" s="14"/>
      <c r="NHW36" s="14"/>
      <c r="NHX36" s="14"/>
      <c r="NHY36" s="14"/>
      <c r="NHZ36" s="14"/>
      <c r="NIA36" s="14"/>
      <c r="NIB36" s="14"/>
      <c r="NIC36" s="14"/>
      <c r="NID36" s="14"/>
      <c r="NIE36" s="14"/>
      <c r="NIF36" s="14"/>
      <c r="NIG36" s="14"/>
      <c r="NIH36" s="14"/>
      <c r="NII36" s="14"/>
      <c r="NIJ36" s="14"/>
      <c r="NIK36" s="14"/>
      <c r="NIL36" s="14"/>
      <c r="NIM36" s="14"/>
      <c r="NIN36" s="14"/>
      <c r="NIO36" s="14"/>
      <c r="NIP36" s="14"/>
      <c r="NIQ36" s="14"/>
      <c r="NIR36" s="14"/>
      <c r="NIS36" s="14"/>
      <c r="NIT36" s="14"/>
      <c r="NIU36" s="14"/>
      <c r="NIV36" s="14"/>
      <c r="NIW36" s="14"/>
      <c r="NIX36" s="14"/>
      <c r="NIY36" s="14"/>
      <c r="NIZ36" s="14"/>
      <c r="NJA36" s="14"/>
      <c r="NJB36" s="14"/>
      <c r="NJC36" s="14"/>
      <c r="NJD36" s="14"/>
      <c r="NJE36" s="14"/>
      <c r="NJF36" s="14"/>
      <c r="NJG36" s="14"/>
      <c r="NJH36" s="14"/>
      <c r="NJI36" s="14"/>
      <c r="NJJ36" s="14"/>
      <c r="NJK36" s="14"/>
      <c r="NJL36" s="14"/>
      <c r="NJM36" s="14"/>
      <c r="NJN36" s="14"/>
      <c r="NJO36" s="14"/>
      <c r="NJP36" s="14"/>
      <c r="NJQ36" s="14"/>
      <c r="NJR36" s="14"/>
      <c r="NJS36" s="14"/>
      <c r="NJT36" s="14"/>
      <c r="NJU36" s="14"/>
      <c r="NJV36" s="14"/>
      <c r="NJW36" s="14"/>
      <c r="NJX36" s="14"/>
      <c r="NJY36" s="14"/>
      <c r="NJZ36" s="14"/>
      <c r="NKA36" s="14"/>
      <c r="NKB36" s="14"/>
      <c r="NKC36" s="14"/>
      <c r="NKD36" s="14"/>
      <c r="NKE36" s="14"/>
      <c r="NKF36" s="14"/>
      <c r="NKG36" s="14"/>
      <c r="NKH36" s="14"/>
      <c r="NKI36" s="14"/>
      <c r="NKJ36" s="14"/>
      <c r="NKK36" s="14"/>
      <c r="NKL36" s="14"/>
      <c r="NKM36" s="14"/>
      <c r="NKN36" s="14"/>
      <c r="NKO36" s="14"/>
      <c r="NKP36" s="14"/>
      <c r="NKQ36" s="14"/>
      <c r="NKR36" s="14"/>
      <c r="NKS36" s="14"/>
      <c r="NKT36" s="14"/>
      <c r="NKU36" s="14"/>
      <c r="NKV36" s="14"/>
      <c r="NKW36" s="14"/>
      <c r="NKX36" s="14"/>
      <c r="NKY36" s="14"/>
      <c r="NKZ36" s="14"/>
      <c r="NLA36" s="14"/>
      <c r="NLB36" s="14"/>
      <c r="NLC36" s="14"/>
      <c r="NLD36" s="14"/>
      <c r="NLE36" s="14"/>
      <c r="NLF36" s="14"/>
      <c r="NLG36" s="14"/>
      <c r="NLH36" s="14"/>
      <c r="NLI36" s="14"/>
      <c r="NLJ36" s="14"/>
      <c r="NLK36" s="14"/>
      <c r="NLL36" s="14"/>
      <c r="NLM36" s="14"/>
      <c r="NLN36" s="14"/>
      <c r="NLO36" s="14"/>
      <c r="NLP36" s="14"/>
      <c r="NLQ36" s="14"/>
      <c r="NLR36" s="14"/>
      <c r="NLS36" s="14"/>
      <c r="NLT36" s="14"/>
      <c r="NLU36" s="14"/>
      <c r="NLV36" s="14"/>
      <c r="NLW36" s="14"/>
      <c r="NLX36" s="14"/>
      <c r="NLY36" s="14"/>
      <c r="NLZ36" s="14"/>
      <c r="NMA36" s="14"/>
      <c r="NMB36" s="14"/>
      <c r="NMC36" s="14"/>
      <c r="NMD36" s="14"/>
      <c r="NME36" s="14"/>
      <c r="NMF36" s="14"/>
      <c r="NMG36" s="14"/>
      <c r="NMH36" s="14"/>
      <c r="NMI36" s="14"/>
      <c r="NMJ36" s="14"/>
      <c r="NMK36" s="14"/>
      <c r="NML36" s="14"/>
      <c r="NMM36" s="14"/>
      <c r="NMN36" s="14"/>
      <c r="NMO36" s="14"/>
      <c r="NMP36" s="14"/>
      <c r="NMQ36" s="14"/>
      <c r="NMR36" s="14"/>
      <c r="NMS36" s="14"/>
      <c r="NMT36" s="14"/>
      <c r="NMU36" s="14"/>
      <c r="NMV36" s="14"/>
      <c r="NMW36" s="14"/>
      <c r="NMX36" s="14"/>
      <c r="NMY36" s="14"/>
      <c r="NMZ36" s="14"/>
      <c r="NNA36" s="14"/>
      <c r="NNB36" s="14"/>
      <c r="NNC36" s="14"/>
      <c r="NND36" s="14"/>
      <c r="NNE36" s="14"/>
      <c r="NNF36" s="14"/>
      <c r="NNG36" s="14"/>
      <c r="NNH36" s="14"/>
      <c r="NNI36" s="14"/>
      <c r="NNJ36" s="14"/>
      <c r="NNK36" s="14"/>
      <c r="NNL36" s="14"/>
      <c r="NNM36" s="14"/>
      <c r="NNN36" s="14"/>
      <c r="NNO36" s="14"/>
      <c r="NNP36" s="14"/>
      <c r="NNQ36" s="14"/>
      <c r="NNR36" s="14"/>
      <c r="NNS36" s="14"/>
      <c r="NNT36" s="14"/>
      <c r="NNU36" s="14"/>
      <c r="NNV36" s="14"/>
      <c r="NNW36" s="14"/>
      <c r="NNX36" s="14"/>
      <c r="NNY36" s="14"/>
      <c r="NNZ36" s="14"/>
      <c r="NOA36" s="14"/>
      <c r="NOB36" s="14"/>
      <c r="NOC36" s="14"/>
      <c r="NOD36" s="14"/>
      <c r="NOE36" s="14"/>
      <c r="NOF36" s="14"/>
      <c r="NOG36" s="14"/>
      <c r="NOH36" s="14"/>
      <c r="NOI36" s="14"/>
      <c r="NOJ36" s="14"/>
      <c r="NOK36" s="14"/>
      <c r="NOL36" s="14"/>
      <c r="NOM36" s="14"/>
      <c r="NON36" s="14"/>
      <c r="NOO36" s="14"/>
      <c r="NOP36" s="14"/>
      <c r="NOQ36" s="14"/>
      <c r="NOR36" s="14"/>
      <c r="NOS36" s="14"/>
      <c r="NOT36" s="14"/>
      <c r="NOU36" s="14"/>
      <c r="NOV36" s="14"/>
      <c r="NOW36" s="14"/>
      <c r="NOX36" s="14"/>
      <c r="NOY36" s="14"/>
      <c r="NOZ36" s="14"/>
      <c r="NPA36" s="14"/>
      <c r="NPB36" s="14"/>
      <c r="NPC36" s="14"/>
      <c r="NPD36" s="14"/>
      <c r="NPE36" s="14"/>
      <c r="NPF36" s="14"/>
      <c r="NPG36" s="14"/>
      <c r="NPH36" s="14"/>
      <c r="NPI36" s="14"/>
      <c r="NPJ36" s="14"/>
      <c r="NPK36" s="14"/>
      <c r="NPL36" s="14"/>
      <c r="NPM36" s="14"/>
      <c r="NPN36" s="14"/>
      <c r="NPO36" s="14"/>
      <c r="NPP36" s="14"/>
      <c r="NPQ36" s="14"/>
      <c r="NPR36" s="14"/>
      <c r="NPS36" s="14"/>
      <c r="NPT36" s="14"/>
      <c r="NPU36" s="14"/>
      <c r="NPV36" s="14"/>
      <c r="NPW36" s="14"/>
      <c r="NPX36" s="14"/>
      <c r="NPY36" s="14"/>
      <c r="NPZ36" s="14"/>
      <c r="NQA36" s="14"/>
      <c r="NQB36" s="14"/>
      <c r="NQC36" s="14"/>
      <c r="NQD36" s="14"/>
      <c r="NQE36" s="14"/>
      <c r="NQF36" s="14"/>
      <c r="NQG36" s="14"/>
      <c r="NQH36" s="14"/>
      <c r="NQI36" s="14"/>
      <c r="NQJ36" s="14"/>
      <c r="NQK36" s="14"/>
      <c r="NQL36" s="14"/>
      <c r="NQM36" s="14"/>
      <c r="NQN36" s="14"/>
      <c r="NQO36" s="14"/>
      <c r="NQP36" s="14"/>
      <c r="NQQ36" s="14"/>
      <c r="NQR36" s="14"/>
      <c r="NQS36" s="14"/>
      <c r="NQT36" s="14"/>
      <c r="NQU36" s="14"/>
      <c r="NQV36" s="14"/>
      <c r="NQW36" s="14"/>
      <c r="NQX36" s="14"/>
      <c r="NQY36" s="14"/>
      <c r="NQZ36" s="14"/>
      <c r="NRA36" s="14"/>
      <c r="NRB36" s="14"/>
      <c r="NRC36" s="14"/>
      <c r="NRD36" s="14"/>
      <c r="NRE36" s="14"/>
      <c r="NRF36" s="14"/>
      <c r="NRG36" s="14"/>
      <c r="NRH36" s="14"/>
      <c r="NRI36" s="14"/>
      <c r="NRJ36" s="14"/>
      <c r="NRK36" s="14"/>
      <c r="NRL36" s="14"/>
      <c r="NRM36" s="14"/>
      <c r="NRN36" s="14"/>
      <c r="NRO36" s="14"/>
      <c r="NRP36" s="14"/>
      <c r="NRQ36" s="14"/>
      <c r="NRR36" s="14"/>
      <c r="NRS36" s="14"/>
      <c r="NRT36" s="14"/>
      <c r="NRU36" s="14"/>
      <c r="NRV36" s="14"/>
      <c r="NRW36" s="14"/>
      <c r="NRX36" s="14"/>
      <c r="NRY36" s="14"/>
      <c r="NRZ36" s="14"/>
      <c r="NSA36" s="14"/>
      <c r="NSB36" s="14"/>
      <c r="NSC36" s="14"/>
      <c r="NSD36" s="14"/>
      <c r="NSE36" s="14"/>
      <c r="NSF36" s="14"/>
      <c r="NSG36" s="14"/>
      <c r="NSH36" s="14"/>
      <c r="NSI36" s="14"/>
      <c r="NSJ36" s="14"/>
      <c r="NSK36" s="14"/>
      <c r="NSL36" s="14"/>
      <c r="NSM36" s="14"/>
      <c r="NSN36" s="14"/>
      <c r="NSO36" s="14"/>
      <c r="NSP36" s="14"/>
      <c r="NSQ36" s="14"/>
      <c r="NSR36" s="14"/>
      <c r="NSS36" s="14"/>
      <c r="NST36" s="14"/>
      <c r="NSU36" s="14"/>
      <c r="NSV36" s="14"/>
      <c r="NSW36" s="14"/>
      <c r="NSX36" s="14"/>
      <c r="NSY36" s="14"/>
      <c r="NSZ36" s="14"/>
      <c r="NTA36" s="14"/>
      <c r="NTB36" s="14"/>
      <c r="NTC36" s="14"/>
      <c r="NTD36" s="14"/>
      <c r="NTE36" s="14"/>
      <c r="NTF36" s="14"/>
      <c r="NTG36" s="14"/>
      <c r="NTH36" s="14"/>
      <c r="NTI36" s="14"/>
      <c r="NTJ36" s="14"/>
      <c r="NTK36" s="14"/>
      <c r="NTL36" s="14"/>
      <c r="NTM36" s="14"/>
      <c r="NTN36" s="14"/>
      <c r="NTO36" s="14"/>
      <c r="NTP36" s="14"/>
      <c r="NTQ36" s="14"/>
      <c r="NTR36" s="14"/>
      <c r="NTS36" s="14"/>
      <c r="NTT36" s="14"/>
      <c r="NTU36" s="14"/>
      <c r="NTV36" s="14"/>
      <c r="NTW36" s="14"/>
      <c r="NTX36" s="14"/>
      <c r="NTY36" s="14"/>
      <c r="NTZ36" s="14"/>
      <c r="NUA36" s="14"/>
      <c r="NUB36" s="14"/>
      <c r="NUC36" s="14"/>
      <c r="NUD36" s="14"/>
      <c r="NUE36" s="14"/>
      <c r="NUF36" s="14"/>
      <c r="NUG36" s="14"/>
      <c r="NUH36" s="14"/>
      <c r="NUI36" s="14"/>
      <c r="NUJ36" s="14"/>
      <c r="NUK36" s="14"/>
      <c r="NUL36" s="14"/>
      <c r="NUM36" s="14"/>
      <c r="NUN36" s="14"/>
      <c r="NUO36" s="14"/>
      <c r="NUP36" s="14"/>
      <c r="NUQ36" s="14"/>
      <c r="NUR36" s="14"/>
      <c r="NUS36" s="14"/>
      <c r="NUT36" s="14"/>
      <c r="NUU36" s="14"/>
      <c r="NUV36" s="14"/>
      <c r="NUW36" s="14"/>
      <c r="NUX36" s="14"/>
      <c r="NUY36" s="14"/>
      <c r="NUZ36" s="14"/>
      <c r="NVA36" s="14"/>
      <c r="NVB36" s="14"/>
      <c r="NVC36" s="14"/>
      <c r="NVD36" s="14"/>
      <c r="NVE36" s="14"/>
      <c r="NVF36" s="14"/>
      <c r="NVG36" s="14"/>
      <c r="NVH36" s="14"/>
      <c r="NVI36" s="14"/>
      <c r="NVJ36" s="14"/>
      <c r="NVK36" s="14"/>
      <c r="NVL36" s="14"/>
      <c r="NVM36" s="14"/>
      <c r="NVN36" s="14"/>
      <c r="NVO36" s="14"/>
      <c r="NVP36" s="14"/>
      <c r="NVQ36" s="14"/>
      <c r="NVR36" s="14"/>
      <c r="NVS36" s="14"/>
      <c r="NVT36" s="14"/>
      <c r="NVU36" s="14"/>
      <c r="NVV36" s="14"/>
      <c r="NVW36" s="14"/>
      <c r="NVX36" s="14"/>
      <c r="NVY36" s="14"/>
      <c r="NVZ36" s="14"/>
      <c r="NWA36" s="14"/>
      <c r="NWB36" s="14"/>
      <c r="NWC36" s="14"/>
      <c r="NWD36" s="14"/>
      <c r="NWE36" s="14"/>
      <c r="NWF36" s="14"/>
      <c r="NWG36" s="14"/>
      <c r="NWH36" s="14"/>
      <c r="NWI36" s="14"/>
      <c r="NWJ36" s="14"/>
      <c r="NWK36" s="14"/>
      <c r="NWL36" s="14"/>
      <c r="NWM36" s="14"/>
      <c r="NWN36" s="14"/>
      <c r="NWO36" s="14"/>
      <c r="NWP36" s="14"/>
      <c r="NWQ36" s="14"/>
      <c r="NWR36" s="14"/>
      <c r="NWS36" s="14"/>
      <c r="NWT36" s="14"/>
      <c r="NWU36" s="14"/>
      <c r="NWV36" s="14"/>
      <c r="NWW36" s="14"/>
      <c r="NWX36" s="14"/>
      <c r="NWY36" s="14"/>
      <c r="NWZ36" s="14"/>
      <c r="NXA36" s="14"/>
      <c r="NXB36" s="14"/>
      <c r="NXC36" s="14"/>
      <c r="NXD36" s="14"/>
      <c r="NXE36" s="14"/>
      <c r="NXF36" s="14"/>
      <c r="NXG36" s="14"/>
      <c r="NXH36" s="14"/>
      <c r="NXI36" s="14"/>
      <c r="NXJ36" s="14"/>
      <c r="NXK36" s="14"/>
      <c r="NXL36" s="14"/>
      <c r="NXM36" s="14"/>
      <c r="NXN36" s="14"/>
      <c r="NXO36" s="14"/>
      <c r="NXP36" s="14"/>
      <c r="NXQ36" s="14"/>
      <c r="NXR36" s="14"/>
      <c r="NXS36" s="14"/>
      <c r="NXT36" s="14"/>
      <c r="NXU36" s="14"/>
      <c r="NXV36" s="14"/>
      <c r="NXW36" s="14"/>
      <c r="NXX36" s="14"/>
      <c r="NXY36" s="14"/>
      <c r="NXZ36" s="14"/>
      <c r="NYA36" s="14"/>
      <c r="NYB36" s="14"/>
      <c r="NYC36" s="14"/>
      <c r="NYD36" s="14"/>
      <c r="NYE36" s="14"/>
      <c r="NYF36" s="14"/>
      <c r="NYG36" s="14"/>
      <c r="NYH36" s="14"/>
      <c r="NYI36" s="14"/>
      <c r="NYJ36" s="14"/>
      <c r="NYK36" s="14"/>
      <c r="NYL36" s="14"/>
      <c r="NYM36" s="14"/>
      <c r="NYN36" s="14"/>
      <c r="NYO36" s="14"/>
      <c r="NYP36" s="14"/>
      <c r="NYQ36" s="14"/>
      <c r="NYR36" s="14"/>
      <c r="NYS36" s="14"/>
      <c r="NYT36" s="14"/>
      <c r="NYU36" s="14"/>
      <c r="NYV36" s="14"/>
      <c r="NYW36" s="14"/>
      <c r="NYX36" s="14"/>
      <c r="NYY36" s="14"/>
      <c r="NYZ36" s="14"/>
      <c r="NZA36" s="14"/>
      <c r="NZB36" s="14"/>
      <c r="NZC36" s="14"/>
      <c r="NZD36" s="14"/>
      <c r="NZE36" s="14"/>
      <c r="NZF36" s="14"/>
      <c r="NZG36" s="14"/>
      <c r="NZH36" s="14"/>
      <c r="NZI36" s="14"/>
      <c r="NZJ36" s="14"/>
      <c r="NZK36" s="14"/>
      <c r="NZL36" s="14"/>
      <c r="NZM36" s="14"/>
      <c r="NZN36" s="14"/>
      <c r="NZO36" s="14"/>
      <c r="NZP36" s="14"/>
      <c r="NZQ36" s="14"/>
      <c r="NZR36" s="14"/>
      <c r="NZS36" s="14"/>
      <c r="NZT36" s="14"/>
      <c r="NZU36" s="14"/>
      <c r="NZV36" s="14"/>
      <c r="NZW36" s="14"/>
      <c r="NZX36" s="14"/>
      <c r="NZY36" s="14"/>
      <c r="NZZ36" s="14"/>
      <c r="OAA36" s="14"/>
      <c r="OAB36" s="14"/>
      <c r="OAC36" s="14"/>
      <c r="OAD36" s="14"/>
      <c r="OAE36" s="14"/>
      <c r="OAF36" s="14"/>
      <c r="OAG36" s="14"/>
      <c r="OAH36" s="14"/>
      <c r="OAI36" s="14"/>
      <c r="OAJ36" s="14"/>
      <c r="OAK36" s="14"/>
      <c r="OAL36" s="14"/>
      <c r="OAM36" s="14"/>
      <c r="OAN36" s="14"/>
      <c r="OAO36" s="14"/>
      <c r="OAP36" s="14"/>
      <c r="OAQ36" s="14"/>
      <c r="OAR36" s="14"/>
      <c r="OAS36" s="14"/>
      <c r="OAT36" s="14"/>
      <c r="OAU36" s="14"/>
      <c r="OAV36" s="14"/>
      <c r="OAW36" s="14"/>
      <c r="OAX36" s="14"/>
      <c r="OAY36" s="14"/>
      <c r="OAZ36" s="14"/>
      <c r="OBA36" s="14"/>
      <c r="OBB36" s="14"/>
      <c r="OBC36" s="14"/>
      <c r="OBD36" s="14"/>
      <c r="OBE36" s="14"/>
      <c r="OBF36" s="14"/>
      <c r="OBG36" s="14"/>
      <c r="OBH36" s="14"/>
      <c r="OBI36" s="14"/>
      <c r="OBJ36" s="14"/>
      <c r="OBK36" s="14"/>
      <c r="OBL36" s="14"/>
      <c r="OBM36" s="14"/>
      <c r="OBN36" s="14"/>
      <c r="OBO36" s="14"/>
      <c r="OBP36" s="14"/>
      <c r="OBQ36" s="14"/>
      <c r="OBR36" s="14"/>
      <c r="OBS36" s="14"/>
      <c r="OBT36" s="14"/>
      <c r="OBU36" s="14"/>
      <c r="OBV36" s="14"/>
      <c r="OBW36" s="14"/>
      <c r="OBX36" s="14"/>
      <c r="OBY36" s="14"/>
      <c r="OBZ36" s="14"/>
      <c r="OCA36" s="14"/>
      <c r="OCB36" s="14"/>
      <c r="OCC36" s="14"/>
      <c r="OCD36" s="14"/>
      <c r="OCE36" s="14"/>
      <c r="OCF36" s="14"/>
      <c r="OCG36" s="14"/>
      <c r="OCH36" s="14"/>
      <c r="OCI36" s="14"/>
      <c r="OCJ36" s="14"/>
      <c r="OCK36" s="14"/>
      <c r="OCL36" s="14"/>
      <c r="OCM36" s="14"/>
      <c r="OCN36" s="14"/>
      <c r="OCO36" s="14"/>
      <c r="OCP36" s="14"/>
      <c r="OCQ36" s="14"/>
      <c r="OCR36" s="14"/>
      <c r="OCS36" s="14"/>
      <c r="OCT36" s="14"/>
      <c r="OCU36" s="14"/>
      <c r="OCV36" s="14"/>
      <c r="OCW36" s="14"/>
      <c r="OCX36" s="14"/>
      <c r="OCY36" s="14"/>
      <c r="OCZ36" s="14"/>
      <c r="ODA36" s="14"/>
      <c r="ODB36" s="14"/>
      <c r="ODC36" s="14"/>
      <c r="ODD36" s="14"/>
      <c r="ODE36" s="14"/>
      <c r="ODF36" s="14"/>
      <c r="ODG36" s="14"/>
      <c r="ODH36" s="14"/>
      <c r="ODI36" s="14"/>
      <c r="ODJ36" s="14"/>
      <c r="ODK36" s="14"/>
      <c r="ODL36" s="14"/>
      <c r="ODM36" s="14"/>
      <c r="ODN36" s="14"/>
      <c r="ODO36" s="14"/>
      <c r="ODP36" s="14"/>
      <c r="ODQ36" s="14"/>
      <c r="ODR36" s="14"/>
      <c r="ODS36" s="14"/>
      <c r="ODT36" s="14"/>
      <c r="ODU36" s="14"/>
      <c r="ODV36" s="14"/>
      <c r="ODW36" s="14"/>
      <c r="ODX36" s="14"/>
      <c r="ODY36" s="14"/>
      <c r="ODZ36" s="14"/>
      <c r="OEA36" s="14"/>
      <c r="OEB36" s="14"/>
      <c r="OEC36" s="14"/>
      <c r="OED36" s="14"/>
      <c r="OEE36" s="14"/>
      <c r="OEF36" s="14"/>
      <c r="OEG36" s="14"/>
      <c r="OEH36" s="14"/>
      <c r="OEI36" s="14"/>
      <c r="OEJ36" s="14"/>
      <c r="OEK36" s="14"/>
      <c r="OEL36" s="14"/>
      <c r="OEM36" s="14"/>
      <c r="OEN36" s="14"/>
      <c r="OEO36" s="14"/>
      <c r="OEP36" s="14"/>
      <c r="OEQ36" s="14"/>
      <c r="OER36" s="14"/>
      <c r="OES36" s="14"/>
      <c r="OET36" s="14"/>
      <c r="OEU36" s="14"/>
      <c r="OEV36" s="14"/>
      <c r="OEW36" s="14"/>
      <c r="OEX36" s="14"/>
      <c r="OEY36" s="14"/>
      <c r="OEZ36" s="14"/>
      <c r="OFA36" s="14"/>
      <c r="OFB36" s="14"/>
      <c r="OFC36" s="14"/>
      <c r="OFD36" s="14"/>
      <c r="OFE36" s="14"/>
      <c r="OFF36" s="14"/>
      <c r="OFG36" s="14"/>
      <c r="OFH36" s="14"/>
      <c r="OFI36" s="14"/>
      <c r="OFJ36" s="14"/>
      <c r="OFK36" s="14"/>
      <c r="OFL36" s="14"/>
      <c r="OFM36" s="14"/>
      <c r="OFN36" s="14"/>
      <c r="OFO36" s="14"/>
      <c r="OFP36" s="14"/>
      <c r="OFQ36" s="14"/>
      <c r="OFR36" s="14"/>
      <c r="OFS36" s="14"/>
      <c r="OFT36" s="14"/>
      <c r="OFU36" s="14"/>
      <c r="OFV36" s="14"/>
      <c r="OFW36" s="14"/>
      <c r="OFX36" s="14"/>
      <c r="OFY36" s="14"/>
      <c r="OFZ36" s="14"/>
      <c r="OGA36" s="14"/>
      <c r="OGB36" s="14"/>
      <c r="OGC36" s="14"/>
      <c r="OGD36" s="14"/>
      <c r="OGE36" s="14"/>
      <c r="OGF36" s="14"/>
      <c r="OGG36" s="14"/>
      <c r="OGH36" s="14"/>
      <c r="OGI36" s="14"/>
      <c r="OGJ36" s="14"/>
      <c r="OGK36" s="14"/>
      <c r="OGL36" s="14"/>
      <c r="OGM36" s="14"/>
      <c r="OGN36" s="14"/>
      <c r="OGO36" s="14"/>
      <c r="OGP36" s="14"/>
      <c r="OGQ36" s="14"/>
      <c r="OGR36" s="14"/>
      <c r="OGS36" s="14"/>
      <c r="OGT36" s="14"/>
      <c r="OGU36" s="14"/>
      <c r="OGV36" s="14"/>
      <c r="OGW36" s="14"/>
      <c r="OGX36" s="14"/>
      <c r="OGY36" s="14"/>
      <c r="OGZ36" s="14"/>
      <c r="OHA36" s="14"/>
      <c r="OHB36" s="14"/>
      <c r="OHC36" s="14"/>
      <c r="OHD36" s="14"/>
      <c r="OHE36" s="14"/>
      <c r="OHF36" s="14"/>
      <c r="OHG36" s="14"/>
      <c r="OHH36" s="14"/>
      <c r="OHI36" s="14"/>
      <c r="OHJ36" s="14"/>
      <c r="OHK36" s="14"/>
      <c r="OHL36" s="14"/>
      <c r="OHM36" s="14"/>
      <c r="OHN36" s="14"/>
      <c r="OHO36" s="14"/>
      <c r="OHP36" s="14"/>
      <c r="OHQ36" s="14"/>
      <c r="OHR36" s="14"/>
      <c r="OHS36" s="14"/>
      <c r="OHT36" s="14"/>
      <c r="OHU36" s="14"/>
      <c r="OHV36" s="14"/>
      <c r="OHW36" s="14"/>
      <c r="OHX36" s="14"/>
      <c r="OHY36" s="14"/>
      <c r="OHZ36" s="14"/>
      <c r="OIA36" s="14"/>
      <c r="OIB36" s="14"/>
      <c r="OIC36" s="14"/>
      <c r="OID36" s="14"/>
      <c r="OIE36" s="14"/>
      <c r="OIF36" s="14"/>
      <c r="OIG36" s="14"/>
      <c r="OIH36" s="14"/>
      <c r="OII36" s="14"/>
      <c r="OIJ36" s="14"/>
      <c r="OIK36" s="14"/>
      <c r="OIL36" s="14"/>
      <c r="OIM36" s="14"/>
      <c r="OIN36" s="14"/>
      <c r="OIO36" s="14"/>
      <c r="OIP36" s="14"/>
      <c r="OIQ36" s="14"/>
      <c r="OIR36" s="14"/>
      <c r="OIS36" s="14"/>
      <c r="OIT36" s="14"/>
      <c r="OIU36" s="14"/>
      <c r="OIV36" s="14"/>
      <c r="OIW36" s="14"/>
      <c r="OIX36" s="14"/>
      <c r="OIY36" s="14"/>
      <c r="OIZ36" s="14"/>
      <c r="OJA36" s="14"/>
      <c r="OJB36" s="14"/>
      <c r="OJC36" s="14"/>
      <c r="OJD36" s="14"/>
      <c r="OJE36" s="14"/>
      <c r="OJF36" s="14"/>
      <c r="OJG36" s="14"/>
      <c r="OJH36" s="14"/>
      <c r="OJI36" s="14"/>
      <c r="OJJ36" s="14"/>
      <c r="OJK36" s="14"/>
      <c r="OJL36" s="14"/>
      <c r="OJM36" s="14"/>
      <c r="OJN36" s="14"/>
      <c r="OJO36" s="14"/>
      <c r="OJP36" s="14"/>
      <c r="OJQ36" s="14"/>
      <c r="OJR36" s="14"/>
      <c r="OJS36" s="14"/>
      <c r="OJT36" s="14"/>
      <c r="OJU36" s="14"/>
      <c r="OJV36" s="14"/>
      <c r="OJW36" s="14"/>
      <c r="OJX36" s="14"/>
      <c r="OJY36" s="14"/>
      <c r="OJZ36" s="14"/>
      <c r="OKA36" s="14"/>
      <c r="OKB36" s="14"/>
      <c r="OKC36" s="14"/>
      <c r="OKD36" s="14"/>
      <c r="OKE36" s="14"/>
      <c r="OKF36" s="14"/>
      <c r="OKG36" s="14"/>
      <c r="OKH36" s="14"/>
      <c r="OKI36" s="14"/>
      <c r="OKJ36" s="14"/>
      <c r="OKK36" s="14"/>
      <c r="OKL36" s="14"/>
      <c r="OKM36" s="14"/>
      <c r="OKN36" s="14"/>
      <c r="OKO36" s="14"/>
      <c r="OKP36" s="14"/>
      <c r="OKQ36" s="14"/>
      <c r="OKR36" s="14"/>
      <c r="OKS36" s="14"/>
      <c r="OKT36" s="14"/>
      <c r="OKU36" s="14"/>
      <c r="OKV36" s="14"/>
      <c r="OKW36" s="14"/>
      <c r="OKX36" s="14"/>
      <c r="OKY36" s="14"/>
      <c r="OKZ36" s="14"/>
      <c r="OLA36" s="14"/>
      <c r="OLB36" s="14"/>
      <c r="OLC36" s="14"/>
      <c r="OLD36" s="14"/>
      <c r="OLE36" s="14"/>
      <c r="OLF36" s="14"/>
      <c r="OLG36" s="14"/>
      <c r="OLH36" s="14"/>
      <c r="OLI36" s="14"/>
      <c r="OLJ36" s="14"/>
      <c r="OLK36" s="14"/>
      <c r="OLL36" s="14"/>
      <c r="OLM36" s="14"/>
      <c r="OLN36" s="14"/>
      <c r="OLO36" s="14"/>
      <c r="OLP36" s="14"/>
      <c r="OLQ36" s="14"/>
      <c r="OLR36" s="14"/>
      <c r="OLS36" s="14"/>
      <c r="OLT36" s="14"/>
      <c r="OLU36" s="14"/>
      <c r="OLV36" s="14"/>
      <c r="OLW36" s="14"/>
      <c r="OLX36" s="14"/>
      <c r="OLY36" s="14"/>
      <c r="OLZ36" s="14"/>
      <c r="OMA36" s="14"/>
      <c r="OMB36" s="14"/>
      <c r="OMC36" s="14"/>
      <c r="OMD36" s="14"/>
      <c r="OME36" s="14"/>
      <c r="OMF36" s="14"/>
      <c r="OMG36" s="14"/>
      <c r="OMH36" s="14"/>
      <c r="OMI36" s="14"/>
      <c r="OMJ36" s="14"/>
      <c r="OMK36" s="14"/>
      <c r="OML36" s="14"/>
      <c r="OMM36" s="14"/>
      <c r="OMN36" s="14"/>
      <c r="OMO36" s="14"/>
      <c r="OMP36" s="14"/>
      <c r="OMQ36" s="14"/>
      <c r="OMR36" s="14"/>
      <c r="OMS36" s="14"/>
      <c r="OMT36" s="14"/>
      <c r="OMU36" s="14"/>
      <c r="OMV36" s="14"/>
      <c r="OMW36" s="14"/>
      <c r="OMX36" s="14"/>
      <c r="OMY36" s="14"/>
      <c r="OMZ36" s="14"/>
      <c r="ONA36" s="14"/>
      <c r="ONB36" s="14"/>
      <c r="ONC36" s="14"/>
      <c r="OND36" s="14"/>
      <c r="ONE36" s="14"/>
      <c r="ONF36" s="14"/>
      <c r="ONG36" s="14"/>
      <c r="ONH36" s="14"/>
      <c r="ONI36" s="14"/>
      <c r="ONJ36" s="14"/>
      <c r="ONK36" s="14"/>
      <c r="ONL36" s="14"/>
      <c r="ONM36" s="14"/>
      <c r="ONN36" s="14"/>
      <c r="ONO36" s="14"/>
      <c r="ONP36" s="14"/>
      <c r="ONQ36" s="14"/>
      <c r="ONR36" s="14"/>
      <c r="ONS36" s="14"/>
      <c r="ONT36" s="14"/>
      <c r="ONU36" s="14"/>
      <c r="ONV36" s="14"/>
      <c r="ONW36" s="14"/>
      <c r="ONX36" s="14"/>
      <c r="ONY36" s="14"/>
      <c r="ONZ36" s="14"/>
      <c r="OOA36" s="14"/>
      <c r="OOB36" s="14"/>
      <c r="OOC36" s="14"/>
      <c r="OOD36" s="14"/>
      <c r="OOE36" s="14"/>
      <c r="OOF36" s="14"/>
      <c r="OOG36" s="14"/>
      <c r="OOH36" s="14"/>
      <c r="OOI36" s="14"/>
      <c r="OOJ36" s="14"/>
      <c r="OOK36" s="14"/>
      <c r="OOL36" s="14"/>
      <c r="OOM36" s="14"/>
      <c r="OON36" s="14"/>
      <c r="OOO36" s="14"/>
      <c r="OOP36" s="14"/>
      <c r="OOQ36" s="14"/>
      <c r="OOR36" s="14"/>
      <c r="OOS36" s="14"/>
      <c r="OOT36" s="14"/>
      <c r="OOU36" s="14"/>
      <c r="OOV36" s="14"/>
      <c r="OOW36" s="14"/>
      <c r="OOX36" s="14"/>
      <c r="OOY36" s="14"/>
      <c r="OOZ36" s="14"/>
      <c r="OPA36" s="14"/>
      <c r="OPB36" s="14"/>
      <c r="OPC36" s="14"/>
      <c r="OPD36" s="14"/>
      <c r="OPE36" s="14"/>
      <c r="OPF36" s="14"/>
      <c r="OPG36" s="14"/>
      <c r="OPH36" s="14"/>
      <c r="OPI36" s="14"/>
      <c r="OPJ36" s="14"/>
      <c r="OPK36" s="14"/>
      <c r="OPL36" s="14"/>
      <c r="OPM36" s="14"/>
      <c r="OPN36" s="14"/>
      <c r="OPO36" s="14"/>
      <c r="OPP36" s="14"/>
      <c r="OPQ36" s="14"/>
      <c r="OPR36" s="14"/>
      <c r="OPS36" s="14"/>
      <c r="OPT36" s="14"/>
      <c r="OPU36" s="14"/>
      <c r="OPV36" s="14"/>
      <c r="OPW36" s="14"/>
      <c r="OPX36" s="14"/>
      <c r="OPY36" s="14"/>
      <c r="OPZ36" s="14"/>
      <c r="OQA36" s="14"/>
      <c r="OQB36" s="14"/>
      <c r="OQC36" s="14"/>
      <c r="OQD36" s="14"/>
      <c r="OQE36" s="14"/>
      <c r="OQF36" s="14"/>
      <c r="OQG36" s="14"/>
      <c r="OQH36" s="14"/>
      <c r="OQI36" s="14"/>
      <c r="OQJ36" s="14"/>
      <c r="OQK36" s="14"/>
      <c r="OQL36" s="14"/>
      <c r="OQM36" s="14"/>
      <c r="OQN36" s="14"/>
      <c r="OQO36" s="14"/>
      <c r="OQP36" s="14"/>
      <c r="OQQ36" s="14"/>
      <c r="OQR36" s="14"/>
      <c r="OQS36" s="14"/>
      <c r="OQT36" s="14"/>
      <c r="OQU36" s="14"/>
      <c r="OQV36" s="14"/>
      <c r="OQW36" s="14"/>
      <c r="OQX36" s="14"/>
      <c r="OQY36" s="14"/>
      <c r="OQZ36" s="14"/>
      <c r="ORA36" s="14"/>
      <c r="ORB36" s="14"/>
      <c r="ORC36" s="14"/>
      <c r="ORD36" s="14"/>
      <c r="ORE36" s="14"/>
      <c r="ORF36" s="14"/>
      <c r="ORG36" s="14"/>
      <c r="ORH36" s="14"/>
      <c r="ORI36" s="14"/>
      <c r="ORJ36" s="14"/>
      <c r="ORK36" s="14"/>
      <c r="ORL36" s="14"/>
      <c r="ORM36" s="14"/>
      <c r="ORN36" s="14"/>
      <c r="ORO36" s="14"/>
      <c r="ORP36" s="14"/>
      <c r="ORQ36" s="14"/>
      <c r="ORR36" s="14"/>
      <c r="ORS36" s="14"/>
      <c r="ORT36" s="14"/>
      <c r="ORU36" s="14"/>
      <c r="ORV36" s="14"/>
      <c r="ORW36" s="14"/>
      <c r="ORX36" s="14"/>
      <c r="ORY36" s="14"/>
      <c r="ORZ36" s="14"/>
      <c r="OSA36" s="14"/>
      <c r="OSB36" s="14"/>
      <c r="OSC36" s="14"/>
      <c r="OSD36" s="14"/>
      <c r="OSE36" s="14"/>
      <c r="OSF36" s="14"/>
      <c r="OSG36" s="14"/>
      <c r="OSH36" s="14"/>
      <c r="OSI36" s="14"/>
      <c r="OSJ36" s="14"/>
      <c r="OSK36" s="14"/>
      <c r="OSL36" s="14"/>
      <c r="OSM36" s="14"/>
      <c r="OSN36" s="14"/>
      <c r="OSO36" s="14"/>
      <c r="OSP36" s="14"/>
      <c r="OSQ36" s="14"/>
      <c r="OSR36" s="14"/>
      <c r="OSS36" s="14"/>
      <c r="OST36" s="14"/>
      <c r="OSU36" s="14"/>
      <c r="OSV36" s="14"/>
      <c r="OSW36" s="14"/>
      <c r="OSX36" s="14"/>
      <c r="OSY36" s="14"/>
      <c r="OSZ36" s="14"/>
      <c r="OTA36" s="14"/>
      <c r="OTB36" s="14"/>
      <c r="OTC36" s="14"/>
      <c r="OTD36" s="14"/>
      <c r="OTE36" s="14"/>
      <c r="OTF36" s="14"/>
      <c r="OTG36" s="14"/>
      <c r="OTH36" s="14"/>
      <c r="OTI36" s="14"/>
      <c r="OTJ36" s="14"/>
      <c r="OTK36" s="14"/>
      <c r="OTL36" s="14"/>
      <c r="OTM36" s="14"/>
      <c r="OTN36" s="14"/>
      <c r="OTO36" s="14"/>
      <c r="OTP36" s="14"/>
      <c r="OTQ36" s="14"/>
      <c r="OTR36" s="14"/>
      <c r="OTS36" s="14"/>
      <c r="OTT36" s="14"/>
      <c r="OTU36" s="14"/>
      <c r="OTV36" s="14"/>
      <c r="OTW36" s="14"/>
      <c r="OTX36" s="14"/>
      <c r="OTY36" s="14"/>
      <c r="OTZ36" s="14"/>
      <c r="OUA36" s="14"/>
      <c r="OUB36" s="14"/>
      <c r="OUC36" s="14"/>
      <c r="OUD36" s="14"/>
      <c r="OUE36" s="14"/>
      <c r="OUF36" s="14"/>
      <c r="OUG36" s="14"/>
      <c r="OUH36" s="14"/>
      <c r="OUI36" s="14"/>
      <c r="OUJ36" s="14"/>
      <c r="OUK36" s="14"/>
      <c r="OUL36" s="14"/>
      <c r="OUM36" s="14"/>
      <c r="OUN36" s="14"/>
      <c r="OUO36" s="14"/>
      <c r="OUP36" s="14"/>
      <c r="OUQ36" s="14"/>
      <c r="OUR36" s="14"/>
      <c r="OUS36" s="14"/>
      <c r="OUT36" s="14"/>
      <c r="OUU36" s="14"/>
      <c r="OUV36" s="14"/>
      <c r="OUW36" s="14"/>
      <c r="OUX36" s="14"/>
      <c r="OUY36" s="14"/>
      <c r="OUZ36" s="14"/>
      <c r="OVA36" s="14"/>
      <c r="OVB36" s="14"/>
      <c r="OVC36" s="14"/>
      <c r="OVD36" s="14"/>
      <c r="OVE36" s="14"/>
      <c r="OVF36" s="14"/>
      <c r="OVG36" s="14"/>
      <c r="OVH36" s="14"/>
      <c r="OVI36" s="14"/>
      <c r="OVJ36" s="14"/>
      <c r="OVK36" s="14"/>
      <c r="OVL36" s="14"/>
      <c r="OVM36" s="14"/>
      <c r="OVN36" s="14"/>
      <c r="OVO36" s="14"/>
      <c r="OVP36" s="14"/>
      <c r="OVQ36" s="14"/>
      <c r="OVR36" s="14"/>
      <c r="OVS36" s="14"/>
      <c r="OVT36" s="14"/>
      <c r="OVU36" s="14"/>
      <c r="OVV36" s="14"/>
      <c r="OVW36" s="14"/>
      <c r="OVX36" s="14"/>
      <c r="OVY36" s="14"/>
      <c r="OVZ36" s="14"/>
      <c r="OWA36" s="14"/>
      <c r="OWB36" s="14"/>
      <c r="OWC36" s="14"/>
      <c r="OWD36" s="14"/>
      <c r="OWE36" s="14"/>
      <c r="OWF36" s="14"/>
      <c r="OWG36" s="14"/>
      <c r="OWH36" s="14"/>
      <c r="OWI36" s="14"/>
      <c r="OWJ36" s="14"/>
      <c r="OWK36" s="14"/>
      <c r="OWL36" s="14"/>
      <c r="OWM36" s="14"/>
      <c r="OWN36" s="14"/>
      <c r="OWO36" s="14"/>
      <c r="OWP36" s="14"/>
      <c r="OWQ36" s="14"/>
      <c r="OWR36" s="14"/>
      <c r="OWS36" s="14"/>
      <c r="OWT36" s="14"/>
      <c r="OWU36" s="14"/>
      <c r="OWV36" s="14"/>
      <c r="OWW36" s="14"/>
      <c r="OWX36" s="14"/>
      <c r="OWY36" s="14"/>
      <c r="OWZ36" s="14"/>
      <c r="OXA36" s="14"/>
      <c r="OXB36" s="14"/>
      <c r="OXC36" s="14"/>
      <c r="OXD36" s="14"/>
      <c r="OXE36" s="14"/>
      <c r="OXF36" s="14"/>
      <c r="OXG36" s="14"/>
      <c r="OXH36" s="14"/>
      <c r="OXI36" s="14"/>
      <c r="OXJ36" s="14"/>
      <c r="OXK36" s="14"/>
      <c r="OXL36" s="14"/>
      <c r="OXM36" s="14"/>
      <c r="OXN36" s="14"/>
      <c r="OXO36" s="14"/>
      <c r="OXP36" s="14"/>
      <c r="OXQ36" s="14"/>
      <c r="OXR36" s="14"/>
      <c r="OXS36" s="14"/>
      <c r="OXT36" s="14"/>
      <c r="OXU36" s="14"/>
      <c r="OXV36" s="14"/>
      <c r="OXW36" s="14"/>
      <c r="OXX36" s="14"/>
      <c r="OXY36" s="14"/>
      <c r="OXZ36" s="14"/>
      <c r="OYA36" s="14"/>
      <c r="OYB36" s="14"/>
      <c r="OYC36" s="14"/>
      <c r="OYD36" s="14"/>
      <c r="OYE36" s="14"/>
      <c r="OYF36" s="14"/>
      <c r="OYG36" s="14"/>
      <c r="OYH36" s="14"/>
      <c r="OYI36" s="14"/>
      <c r="OYJ36" s="14"/>
      <c r="OYK36" s="14"/>
      <c r="OYL36" s="14"/>
      <c r="OYM36" s="14"/>
      <c r="OYN36" s="14"/>
      <c r="OYO36" s="14"/>
      <c r="OYP36" s="14"/>
      <c r="OYQ36" s="14"/>
      <c r="OYR36" s="14"/>
      <c r="OYS36" s="14"/>
      <c r="OYT36" s="14"/>
      <c r="OYU36" s="14"/>
      <c r="OYV36" s="14"/>
      <c r="OYW36" s="14"/>
      <c r="OYX36" s="14"/>
      <c r="OYY36" s="14"/>
      <c r="OYZ36" s="14"/>
      <c r="OZA36" s="14"/>
      <c r="OZB36" s="14"/>
      <c r="OZC36" s="14"/>
      <c r="OZD36" s="14"/>
      <c r="OZE36" s="14"/>
      <c r="OZF36" s="14"/>
      <c r="OZG36" s="14"/>
      <c r="OZH36" s="14"/>
      <c r="OZI36" s="14"/>
      <c r="OZJ36" s="14"/>
      <c r="OZK36" s="14"/>
      <c r="OZL36" s="14"/>
      <c r="OZM36" s="14"/>
      <c r="OZN36" s="14"/>
      <c r="OZO36" s="14"/>
      <c r="OZP36" s="14"/>
      <c r="OZQ36" s="14"/>
      <c r="OZR36" s="14"/>
      <c r="OZS36" s="14"/>
      <c r="OZT36" s="14"/>
      <c r="OZU36" s="14"/>
      <c r="OZV36" s="14"/>
      <c r="OZW36" s="14"/>
      <c r="OZX36" s="14"/>
      <c r="OZY36" s="14"/>
      <c r="OZZ36" s="14"/>
      <c r="PAA36" s="14"/>
      <c r="PAB36" s="14"/>
      <c r="PAC36" s="14"/>
      <c r="PAD36" s="14"/>
      <c r="PAE36" s="14"/>
      <c r="PAF36" s="14"/>
      <c r="PAG36" s="14"/>
      <c r="PAH36" s="14"/>
      <c r="PAI36" s="14"/>
      <c r="PAJ36" s="14"/>
      <c r="PAK36" s="14"/>
      <c r="PAL36" s="14"/>
      <c r="PAM36" s="14"/>
      <c r="PAN36" s="14"/>
      <c r="PAO36" s="14"/>
      <c r="PAP36" s="14"/>
      <c r="PAQ36" s="14"/>
      <c r="PAR36" s="14"/>
      <c r="PAS36" s="14"/>
      <c r="PAT36" s="14"/>
      <c r="PAU36" s="14"/>
      <c r="PAV36" s="14"/>
      <c r="PAW36" s="14"/>
      <c r="PAX36" s="14"/>
      <c r="PAY36" s="14"/>
      <c r="PAZ36" s="14"/>
      <c r="PBA36" s="14"/>
      <c r="PBB36" s="14"/>
      <c r="PBC36" s="14"/>
      <c r="PBD36" s="14"/>
      <c r="PBE36" s="14"/>
      <c r="PBF36" s="14"/>
      <c r="PBG36" s="14"/>
      <c r="PBH36" s="14"/>
      <c r="PBI36" s="14"/>
      <c r="PBJ36" s="14"/>
      <c r="PBK36" s="14"/>
      <c r="PBL36" s="14"/>
      <c r="PBM36" s="14"/>
      <c r="PBN36" s="14"/>
      <c r="PBO36" s="14"/>
      <c r="PBP36" s="14"/>
      <c r="PBQ36" s="14"/>
      <c r="PBR36" s="14"/>
      <c r="PBS36" s="14"/>
      <c r="PBT36" s="14"/>
      <c r="PBU36" s="14"/>
      <c r="PBV36" s="14"/>
      <c r="PBW36" s="14"/>
      <c r="PBX36" s="14"/>
      <c r="PBY36" s="14"/>
      <c r="PBZ36" s="14"/>
      <c r="PCA36" s="14"/>
      <c r="PCB36" s="14"/>
      <c r="PCC36" s="14"/>
      <c r="PCD36" s="14"/>
      <c r="PCE36" s="14"/>
      <c r="PCF36" s="14"/>
      <c r="PCG36" s="14"/>
      <c r="PCH36" s="14"/>
      <c r="PCI36" s="14"/>
      <c r="PCJ36" s="14"/>
      <c r="PCK36" s="14"/>
      <c r="PCL36" s="14"/>
      <c r="PCM36" s="14"/>
      <c r="PCN36" s="14"/>
      <c r="PCO36" s="14"/>
      <c r="PCP36" s="14"/>
      <c r="PCQ36" s="14"/>
      <c r="PCR36" s="14"/>
      <c r="PCS36" s="14"/>
      <c r="PCT36" s="14"/>
      <c r="PCU36" s="14"/>
      <c r="PCV36" s="14"/>
      <c r="PCW36" s="14"/>
      <c r="PCX36" s="14"/>
      <c r="PCY36" s="14"/>
      <c r="PCZ36" s="14"/>
      <c r="PDA36" s="14"/>
      <c r="PDB36" s="14"/>
      <c r="PDC36" s="14"/>
      <c r="PDD36" s="14"/>
      <c r="PDE36" s="14"/>
      <c r="PDF36" s="14"/>
      <c r="PDG36" s="14"/>
      <c r="PDH36" s="14"/>
      <c r="PDI36" s="14"/>
      <c r="PDJ36" s="14"/>
      <c r="PDK36" s="14"/>
      <c r="PDL36" s="14"/>
      <c r="PDM36" s="14"/>
      <c r="PDN36" s="14"/>
      <c r="PDO36" s="14"/>
      <c r="PDP36" s="14"/>
      <c r="PDQ36" s="14"/>
      <c r="PDR36" s="14"/>
      <c r="PDS36" s="14"/>
      <c r="PDT36" s="14"/>
      <c r="PDU36" s="14"/>
      <c r="PDV36" s="14"/>
      <c r="PDW36" s="14"/>
      <c r="PDX36" s="14"/>
      <c r="PDY36" s="14"/>
      <c r="PDZ36" s="14"/>
      <c r="PEA36" s="14"/>
      <c r="PEB36" s="14"/>
      <c r="PEC36" s="14"/>
      <c r="PED36" s="14"/>
      <c r="PEE36" s="14"/>
      <c r="PEF36" s="14"/>
      <c r="PEG36" s="14"/>
      <c r="PEH36" s="14"/>
      <c r="PEI36" s="14"/>
      <c r="PEJ36" s="14"/>
      <c r="PEK36" s="14"/>
      <c r="PEL36" s="14"/>
      <c r="PEM36" s="14"/>
      <c r="PEN36" s="14"/>
      <c r="PEO36" s="14"/>
      <c r="PEP36" s="14"/>
      <c r="PEQ36" s="14"/>
      <c r="PER36" s="14"/>
      <c r="PES36" s="14"/>
      <c r="PET36" s="14"/>
      <c r="PEU36" s="14"/>
      <c r="PEV36" s="14"/>
      <c r="PEW36" s="14"/>
      <c r="PEX36" s="14"/>
      <c r="PEY36" s="14"/>
      <c r="PEZ36" s="14"/>
      <c r="PFA36" s="14"/>
      <c r="PFB36" s="14"/>
      <c r="PFC36" s="14"/>
      <c r="PFD36" s="14"/>
      <c r="PFE36" s="14"/>
      <c r="PFF36" s="14"/>
      <c r="PFG36" s="14"/>
      <c r="PFH36" s="14"/>
      <c r="PFI36" s="14"/>
      <c r="PFJ36" s="14"/>
      <c r="PFK36" s="14"/>
      <c r="PFL36" s="14"/>
      <c r="PFM36" s="14"/>
      <c r="PFN36" s="14"/>
      <c r="PFO36" s="14"/>
      <c r="PFP36" s="14"/>
      <c r="PFQ36" s="14"/>
      <c r="PFR36" s="14"/>
      <c r="PFS36" s="14"/>
      <c r="PFT36" s="14"/>
      <c r="PFU36" s="14"/>
      <c r="PFV36" s="14"/>
      <c r="PFW36" s="14"/>
      <c r="PFX36" s="14"/>
      <c r="PFY36" s="14"/>
      <c r="PFZ36" s="14"/>
      <c r="PGA36" s="14"/>
      <c r="PGB36" s="14"/>
      <c r="PGC36" s="14"/>
      <c r="PGD36" s="14"/>
      <c r="PGE36" s="14"/>
      <c r="PGF36" s="14"/>
      <c r="PGG36" s="14"/>
      <c r="PGH36" s="14"/>
      <c r="PGI36" s="14"/>
      <c r="PGJ36" s="14"/>
      <c r="PGK36" s="14"/>
      <c r="PGL36" s="14"/>
      <c r="PGM36" s="14"/>
      <c r="PGN36" s="14"/>
      <c r="PGO36" s="14"/>
      <c r="PGP36" s="14"/>
      <c r="PGQ36" s="14"/>
      <c r="PGR36" s="14"/>
      <c r="PGS36" s="14"/>
      <c r="PGT36" s="14"/>
      <c r="PGU36" s="14"/>
      <c r="PGV36" s="14"/>
      <c r="PGW36" s="14"/>
      <c r="PGX36" s="14"/>
      <c r="PGY36" s="14"/>
      <c r="PGZ36" s="14"/>
      <c r="PHA36" s="14"/>
      <c r="PHB36" s="14"/>
      <c r="PHC36" s="14"/>
      <c r="PHD36" s="14"/>
      <c r="PHE36" s="14"/>
      <c r="PHF36" s="14"/>
      <c r="PHG36" s="14"/>
      <c r="PHH36" s="14"/>
      <c r="PHI36" s="14"/>
      <c r="PHJ36" s="14"/>
      <c r="PHK36" s="14"/>
      <c r="PHL36" s="14"/>
      <c r="PHM36" s="14"/>
      <c r="PHN36" s="14"/>
      <c r="PHO36" s="14"/>
      <c r="PHP36" s="14"/>
      <c r="PHQ36" s="14"/>
      <c r="PHR36" s="14"/>
      <c r="PHS36" s="14"/>
      <c r="PHT36" s="14"/>
      <c r="PHU36" s="14"/>
      <c r="PHV36" s="14"/>
      <c r="PHW36" s="14"/>
      <c r="PHX36" s="14"/>
      <c r="PHY36" s="14"/>
      <c r="PHZ36" s="14"/>
      <c r="PIA36" s="14"/>
      <c r="PIB36" s="14"/>
      <c r="PIC36" s="14"/>
      <c r="PID36" s="14"/>
      <c r="PIE36" s="14"/>
      <c r="PIF36" s="14"/>
      <c r="PIG36" s="14"/>
      <c r="PIH36" s="14"/>
      <c r="PII36" s="14"/>
      <c r="PIJ36" s="14"/>
      <c r="PIK36" s="14"/>
      <c r="PIL36" s="14"/>
      <c r="PIM36" s="14"/>
      <c r="PIN36" s="14"/>
      <c r="PIO36" s="14"/>
      <c r="PIP36" s="14"/>
      <c r="PIQ36" s="14"/>
      <c r="PIR36" s="14"/>
      <c r="PIS36" s="14"/>
      <c r="PIT36" s="14"/>
      <c r="PIU36" s="14"/>
      <c r="PIV36" s="14"/>
      <c r="PIW36" s="14"/>
      <c r="PIX36" s="14"/>
      <c r="PIY36" s="14"/>
      <c r="PIZ36" s="14"/>
      <c r="PJA36" s="14"/>
      <c r="PJB36" s="14"/>
      <c r="PJC36" s="14"/>
      <c r="PJD36" s="14"/>
      <c r="PJE36" s="14"/>
      <c r="PJF36" s="14"/>
      <c r="PJG36" s="14"/>
      <c r="PJH36" s="14"/>
      <c r="PJI36" s="14"/>
      <c r="PJJ36" s="14"/>
      <c r="PJK36" s="14"/>
      <c r="PJL36" s="14"/>
      <c r="PJM36" s="14"/>
      <c r="PJN36" s="14"/>
      <c r="PJO36" s="14"/>
      <c r="PJP36" s="14"/>
      <c r="PJQ36" s="14"/>
      <c r="PJR36" s="14"/>
      <c r="PJS36" s="14"/>
      <c r="PJT36" s="14"/>
      <c r="PJU36" s="14"/>
      <c r="PJV36" s="14"/>
      <c r="PJW36" s="14"/>
      <c r="PJX36" s="14"/>
      <c r="PJY36" s="14"/>
      <c r="PJZ36" s="14"/>
      <c r="PKA36" s="14"/>
      <c r="PKB36" s="14"/>
      <c r="PKC36" s="14"/>
      <c r="PKD36" s="14"/>
      <c r="PKE36" s="14"/>
      <c r="PKF36" s="14"/>
      <c r="PKG36" s="14"/>
      <c r="PKH36" s="14"/>
      <c r="PKI36" s="14"/>
      <c r="PKJ36" s="14"/>
      <c r="PKK36" s="14"/>
      <c r="PKL36" s="14"/>
      <c r="PKM36" s="14"/>
      <c r="PKN36" s="14"/>
      <c r="PKO36" s="14"/>
      <c r="PKP36" s="14"/>
      <c r="PKQ36" s="14"/>
      <c r="PKR36" s="14"/>
      <c r="PKS36" s="14"/>
      <c r="PKT36" s="14"/>
      <c r="PKU36" s="14"/>
      <c r="PKV36" s="14"/>
      <c r="PKW36" s="14"/>
      <c r="PKX36" s="14"/>
      <c r="PKY36" s="14"/>
      <c r="PKZ36" s="14"/>
      <c r="PLA36" s="14"/>
      <c r="PLB36" s="14"/>
      <c r="PLC36" s="14"/>
      <c r="PLD36" s="14"/>
      <c r="PLE36" s="14"/>
      <c r="PLF36" s="14"/>
      <c r="PLG36" s="14"/>
      <c r="PLH36" s="14"/>
      <c r="PLI36" s="14"/>
      <c r="PLJ36" s="14"/>
      <c r="PLK36" s="14"/>
      <c r="PLL36" s="14"/>
      <c r="PLM36" s="14"/>
      <c r="PLN36" s="14"/>
      <c r="PLO36" s="14"/>
      <c r="PLP36" s="14"/>
      <c r="PLQ36" s="14"/>
      <c r="PLR36" s="14"/>
      <c r="PLS36" s="14"/>
      <c r="PLT36" s="14"/>
      <c r="PLU36" s="14"/>
      <c r="PLV36" s="14"/>
      <c r="PLW36" s="14"/>
      <c r="PLX36" s="14"/>
      <c r="PLY36" s="14"/>
      <c r="PLZ36" s="14"/>
      <c r="PMA36" s="14"/>
      <c r="PMB36" s="14"/>
      <c r="PMC36" s="14"/>
      <c r="PMD36" s="14"/>
      <c r="PME36" s="14"/>
      <c r="PMF36" s="14"/>
      <c r="PMG36" s="14"/>
      <c r="PMH36" s="14"/>
      <c r="PMI36" s="14"/>
      <c r="PMJ36" s="14"/>
      <c r="PMK36" s="14"/>
      <c r="PML36" s="14"/>
      <c r="PMM36" s="14"/>
      <c r="PMN36" s="14"/>
      <c r="PMO36" s="14"/>
      <c r="PMP36" s="14"/>
      <c r="PMQ36" s="14"/>
      <c r="PMR36" s="14"/>
      <c r="PMS36" s="14"/>
      <c r="PMT36" s="14"/>
      <c r="PMU36" s="14"/>
      <c r="PMV36" s="14"/>
      <c r="PMW36" s="14"/>
      <c r="PMX36" s="14"/>
      <c r="PMY36" s="14"/>
      <c r="PMZ36" s="14"/>
      <c r="PNA36" s="14"/>
      <c r="PNB36" s="14"/>
      <c r="PNC36" s="14"/>
      <c r="PND36" s="14"/>
      <c r="PNE36" s="14"/>
      <c r="PNF36" s="14"/>
      <c r="PNG36" s="14"/>
      <c r="PNH36" s="14"/>
      <c r="PNI36" s="14"/>
      <c r="PNJ36" s="14"/>
      <c r="PNK36" s="14"/>
      <c r="PNL36" s="14"/>
      <c r="PNM36" s="14"/>
      <c r="PNN36" s="14"/>
      <c r="PNO36" s="14"/>
      <c r="PNP36" s="14"/>
      <c r="PNQ36" s="14"/>
      <c r="PNR36" s="14"/>
      <c r="PNS36" s="14"/>
      <c r="PNT36" s="14"/>
      <c r="PNU36" s="14"/>
      <c r="PNV36" s="14"/>
      <c r="PNW36" s="14"/>
      <c r="PNX36" s="14"/>
      <c r="PNY36" s="14"/>
      <c r="PNZ36" s="14"/>
      <c r="POA36" s="14"/>
      <c r="POB36" s="14"/>
      <c r="POC36" s="14"/>
      <c r="POD36" s="14"/>
      <c r="POE36" s="14"/>
      <c r="POF36" s="14"/>
      <c r="POG36" s="14"/>
      <c r="POH36" s="14"/>
      <c r="POI36" s="14"/>
      <c r="POJ36" s="14"/>
      <c r="POK36" s="14"/>
      <c r="POL36" s="14"/>
      <c r="POM36" s="14"/>
      <c r="PON36" s="14"/>
      <c r="POO36" s="14"/>
      <c r="POP36" s="14"/>
      <c r="POQ36" s="14"/>
      <c r="POR36" s="14"/>
      <c r="POS36" s="14"/>
      <c r="POT36" s="14"/>
      <c r="POU36" s="14"/>
      <c r="POV36" s="14"/>
      <c r="POW36" s="14"/>
      <c r="POX36" s="14"/>
      <c r="POY36" s="14"/>
      <c r="POZ36" s="14"/>
      <c r="PPA36" s="14"/>
      <c r="PPB36" s="14"/>
      <c r="PPC36" s="14"/>
      <c r="PPD36" s="14"/>
      <c r="PPE36" s="14"/>
      <c r="PPF36" s="14"/>
      <c r="PPG36" s="14"/>
      <c r="PPH36" s="14"/>
      <c r="PPI36" s="14"/>
      <c r="PPJ36" s="14"/>
      <c r="PPK36" s="14"/>
      <c r="PPL36" s="14"/>
      <c r="PPM36" s="14"/>
      <c r="PPN36" s="14"/>
      <c r="PPO36" s="14"/>
      <c r="PPP36" s="14"/>
      <c r="PPQ36" s="14"/>
      <c r="PPR36" s="14"/>
      <c r="PPS36" s="14"/>
      <c r="PPT36" s="14"/>
      <c r="PPU36" s="14"/>
      <c r="PPV36" s="14"/>
      <c r="PPW36" s="14"/>
      <c r="PPX36" s="14"/>
      <c r="PPY36" s="14"/>
      <c r="PPZ36" s="14"/>
      <c r="PQA36" s="14"/>
      <c r="PQB36" s="14"/>
      <c r="PQC36" s="14"/>
      <c r="PQD36" s="14"/>
      <c r="PQE36" s="14"/>
      <c r="PQF36" s="14"/>
      <c r="PQG36" s="14"/>
      <c r="PQH36" s="14"/>
      <c r="PQI36" s="14"/>
      <c r="PQJ36" s="14"/>
      <c r="PQK36" s="14"/>
      <c r="PQL36" s="14"/>
      <c r="PQM36" s="14"/>
      <c r="PQN36" s="14"/>
      <c r="PQO36" s="14"/>
      <c r="PQP36" s="14"/>
      <c r="PQQ36" s="14"/>
      <c r="PQR36" s="14"/>
      <c r="PQS36" s="14"/>
      <c r="PQT36" s="14"/>
      <c r="PQU36" s="14"/>
      <c r="PQV36" s="14"/>
      <c r="PQW36" s="14"/>
      <c r="PQX36" s="14"/>
      <c r="PQY36" s="14"/>
      <c r="PQZ36" s="14"/>
      <c r="PRA36" s="14"/>
      <c r="PRB36" s="14"/>
      <c r="PRC36" s="14"/>
      <c r="PRD36" s="14"/>
      <c r="PRE36" s="14"/>
      <c r="PRF36" s="14"/>
      <c r="PRG36" s="14"/>
      <c r="PRH36" s="14"/>
      <c r="PRI36" s="14"/>
      <c r="PRJ36" s="14"/>
      <c r="PRK36" s="14"/>
      <c r="PRL36" s="14"/>
      <c r="PRM36" s="14"/>
      <c r="PRN36" s="14"/>
      <c r="PRO36" s="14"/>
      <c r="PRP36" s="14"/>
      <c r="PRQ36" s="14"/>
      <c r="PRR36" s="14"/>
      <c r="PRS36" s="14"/>
      <c r="PRT36" s="14"/>
      <c r="PRU36" s="14"/>
      <c r="PRV36" s="14"/>
      <c r="PRW36" s="14"/>
      <c r="PRX36" s="14"/>
      <c r="PRY36" s="14"/>
      <c r="PRZ36" s="14"/>
      <c r="PSA36" s="14"/>
      <c r="PSB36" s="14"/>
      <c r="PSC36" s="14"/>
      <c r="PSD36" s="14"/>
      <c r="PSE36" s="14"/>
      <c r="PSF36" s="14"/>
      <c r="PSG36" s="14"/>
      <c r="PSH36" s="14"/>
      <c r="PSI36" s="14"/>
      <c r="PSJ36" s="14"/>
      <c r="PSK36" s="14"/>
      <c r="PSL36" s="14"/>
      <c r="PSM36" s="14"/>
      <c r="PSN36" s="14"/>
      <c r="PSO36" s="14"/>
      <c r="PSP36" s="14"/>
      <c r="PSQ36" s="14"/>
      <c r="PSR36" s="14"/>
      <c r="PSS36" s="14"/>
      <c r="PST36" s="14"/>
      <c r="PSU36" s="14"/>
      <c r="PSV36" s="14"/>
      <c r="PSW36" s="14"/>
      <c r="PSX36" s="14"/>
      <c r="PSY36" s="14"/>
      <c r="PSZ36" s="14"/>
      <c r="PTA36" s="14"/>
      <c r="PTB36" s="14"/>
      <c r="PTC36" s="14"/>
      <c r="PTD36" s="14"/>
      <c r="PTE36" s="14"/>
      <c r="PTF36" s="14"/>
      <c r="PTG36" s="14"/>
      <c r="PTH36" s="14"/>
      <c r="PTI36" s="14"/>
      <c r="PTJ36" s="14"/>
      <c r="PTK36" s="14"/>
      <c r="PTL36" s="14"/>
      <c r="PTM36" s="14"/>
      <c r="PTN36" s="14"/>
      <c r="PTO36" s="14"/>
      <c r="PTP36" s="14"/>
      <c r="PTQ36" s="14"/>
      <c r="PTR36" s="14"/>
      <c r="PTS36" s="14"/>
      <c r="PTT36" s="14"/>
      <c r="PTU36" s="14"/>
      <c r="PTV36" s="14"/>
      <c r="PTW36" s="14"/>
      <c r="PTX36" s="14"/>
      <c r="PTY36" s="14"/>
      <c r="PTZ36" s="14"/>
      <c r="PUA36" s="14"/>
      <c r="PUB36" s="14"/>
      <c r="PUC36" s="14"/>
      <c r="PUD36" s="14"/>
      <c r="PUE36" s="14"/>
      <c r="PUF36" s="14"/>
      <c r="PUG36" s="14"/>
      <c r="PUH36" s="14"/>
      <c r="PUI36" s="14"/>
      <c r="PUJ36" s="14"/>
      <c r="PUK36" s="14"/>
      <c r="PUL36" s="14"/>
      <c r="PUM36" s="14"/>
      <c r="PUN36" s="14"/>
      <c r="PUO36" s="14"/>
      <c r="PUP36" s="14"/>
      <c r="PUQ36" s="14"/>
      <c r="PUR36" s="14"/>
      <c r="PUS36" s="14"/>
      <c r="PUT36" s="14"/>
      <c r="PUU36" s="14"/>
      <c r="PUV36" s="14"/>
      <c r="PUW36" s="14"/>
      <c r="PUX36" s="14"/>
      <c r="PUY36" s="14"/>
      <c r="PUZ36" s="14"/>
      <c r="PVA36" s="14"/>
      <c r="PVB36" s="14"/>
      <c r="PVC36" s="14"/>
      <c r="PVD36" s="14"/>
      <c r="PVE36" s="14"/>
      <c r="PVF36" s="14"/>
      <c r="PVG36" s="14"/>
      <c r="PVH36" s="14"/>
      <c r="PVI36" s="14"/>
      <c r="PVJ36" s="14"/>
      <c r="PVK36" s="14"/>
      <c r="PVL36" s="14"/>
      <c r="PVM36" s="14"/>
      <c r="PVN36" s="14"/>
      <c r="PVO36" s="14"/>
      <c r="PVP36" s="14"/>
      <c r="PVQ36" s="14"/>
      <c r="PVR36" s="14"/>
      <c r="PVS36" s="14"/>
      <c r="PVT36" s="14"/>
      <c r="PVU36" s="14"/>
      <c r="PVV36" s="14"/>
      <c r="PVW36" s="14"/>
      <c r="PVX36" s="14"/>
      <c r="PVY36" s="14"/>
      <c r="PVZ36" s="14"/>
      <c r="PWA36" s="14"/>
      <c r="PWB36" s="14"/>
      <c r="PWC36" s="14"/>
      <c r="PWD36" s="14"/>
      <c r="PWE36" s="14"/>
      <c r="PWF36" s="14"/>
      <c r="PWG36" s="14"/>
      <c r="PWH36" s="14"/>
      <c r="PWI36" s="14"/>
      <c r="PWJ36" s="14"/>
      <c r="PWK36" s="14"/>
      <c r="PWL36" s="14"/>
      <c r="PWM36" s="14"/>
      <c r="PWN36" s="14"/>
      <c r="PWO36" s="14"/>
      <c r="PWP36" s="14"/>
      <c r="PWQ36" s="14"/>
      <c r="PWR36" s="14"/>
      <c r="PWS36" s="14"/>
      <c r="PWT36" s="14"/>
      <c r="PWU36" s="14"/>
      <c r="PWV36" s="14"/>
      <c r="PWW36" s="14"/>
      <c r="PWX36" s="14"/>
      <c r="PWY36" s="14"/>
      <c r="PWZ36" s="14"/>
      <c r="PXA36" s="14"/>
      <c r="PXB36" s="14"/>
      <c r="PXC36" s="14"/>
      <c r="PXD36" s="14"/>
      <c r="PXE36" s="14"/>
      <c r="PXF36" s="14"/>
      <c r="PXG36" s="14"/>
      <c r="PXH36" s="14"/>
      <c r="PXI36" s="14"/>
      <c r="PXJ36" s="14"/>
      <c r="PXK36" s="14"/>
      <c r="PXL36" s="14"/>
      <c r="PXM36" s="14"/>
      <c r="PXN36" s="14"/>
      <c r="PXO36" s="14"/>
      <c r="PXP36" s="14"/>
      <c r="PXQ36" s="14"/>
      <c r="PXR36" s="14"/>
      <c r="PXS36" s="14"/>
      <c r="PXT36" s="14"/>
      <c r="PXU36" s="14"/>
      <c r="PXV36" s="14"/>
      <c r="PXW36" s="14"/>
      <c r="PXX36" s="14"/>
      <c r="PXY36" s="14"/>
      <c r="PXZ36" s="14"/>
      <c r="PYA36" s="14"/>
      <c r="PYB36" s="14"/>
      <c r="PYC36" s="14"/>
      <c r="PYD36" s="14"/>
      <c r="PYE36" s="14"/>
      <c r="PYF36" s="14"/>
      <c r="PYG36" s="14"/>
      <c r="PYH36" s="14"/>
      <c r="PYI36" s="14"/>
      <c r="PYJ36" s="14"/>
      <c r="PYK36" s="14"/>
      <c r="PYL36" s="14"/>
      <c r="PYM36" s="14"/>
      <c r="PYN36" s="14"/>
      <c r="PYO36" s="14"/>
      <c r="PYP36" s="14"/>
      <c r="PYQ36" s="14"/>
      <c r="PYR36" s="14"/>
      <c r="PYS36" s="14"/>
      <c r="PYT36" s="14"/>
      <c r="PYU36" s="14"/>
      <c r="PYV36" s="14"/>
      <c r="PYW36" s="14"/>
      <c r="PYX36" s="14"/>
      <c r="PYY36" s="14"/>
      <c r="PYZ36" s="14"/>
      <c r="PZA36" s="14"/>
      <c r="PZB36" s="14"/>
      <c r="PZC36" s="14"/>
      <c r="PZD36" s="14"/>
      <c r="PZE36" s="14"/>
      <c r="PZF36" s="14"/>
      <c r="PZG36" s="14"/>
      <c r="PZH36" s="14"/>
      <c r="PZI36" s="14"/>
      <c r="PZJ36" s="14"/>
      <c r="PZK36" s="14"/>
      <c r="PZL36" s="14"/>
      <c r="PZM36" s="14"/>
      <c r="PZN36" s="14"/>
      <c r="PZO36" s="14"/>
      <c r="PZP36" s="14"/>
      <c r="PZQ36" s="14"/>
      <c r="PZR36" s="14"/>
      <c r="PZS36" s="14"/>
      <c r="PZT36" s="14"/>
      <c r="PZU36" s="14"/>
      <c r="PZV36" s="14"/>
      <c r="PZW36" s="14"/>
      <c r="PZX36" s="14"/>
      <c r="PZY36" s="14"/>
      <c r="PZZ36" s="14"/>
      <c r="QAA36" s="14"/>
      <c r="QAB36" s="14"/>
      <c r="QAC36" s="14"/>
      <c r="QAD36" s="14"/>
      <c r="QAE36" s="14"/>
      <c r="QAF36" s="14"/>
      <c r="QAG36" s="14"/>
      <c r="QAH36" s="14"/>
      <c r="QAI36" s="14"/>
      <c r="QAJ36" s="14"/>
      <c r="QAK36" s="14"/>
      <c r="QAL36" s="14"/>
      <c r="QAM36" s="14"/>
      <c r="QAN36" s="14"/>
      <c r="QAO36" s="14"/>
      <c r="QAP36" s="14"/>
      <c r="QAQ36" s="14"/>
      <c r="QAR36" s="14"/>
      <c r="QAS36" s="14"/>
      <c r="QAT36" s="14"/>
      <c r="QAU36" s="14"/>
      <c r="QAV36" s="14"/>
      <c r="QAW36" s="14"/>
      <c r="QAX36" s="14"/>
      <c r="QAY36" s="14"/>
      <c r="QAZ36" s="14"/>
      <c r="QBA36" s="14"/>
      <c r="QBB36" s="14"/>
      <c r="QBC36" s="14"/>
      <c r="QBD36" s="14"/>
      <c r="QBE36" s="14"/>
      <c r="QBF36" s="14"/>
      <c r="QBG36" s="14"/>
      <c r="QBH36" s="14"/>
      <c r="QBI36" s="14"/>
      <c r="QBJ36" s="14"/>
      <c r="QBK36" s="14"/>
      <c r="QBL36" s="14"/>
      <c r="QBM36" s="14"/>
      <c r="QBN36" s="14"/>
      <c r="QBO36" s="14"/>
      <c r="QBP36" s="14"/>
      <c r="QBQ36" s="14"/>
      <c r="QBR36" s="14"/>
      <c r="QBS36" s="14"/>
      <c r="QBT36" s="14"/>
      <c r="QBU36" s="14"/>
      <c r="QBV36" s="14"/>
      <c r="QBW36" s="14"/>
      <c r="QBX36" s="14"/>
      <c r="QBY36" s="14"/>
      <c r="QBZ36" s="14"/>
      <c r="QCA36" s="14"/>
      <c r="QCB36" s="14"/>
      <c r="QCC36" s="14"/>
      <c r="QCD36" s="14"/>
      <c r="QCE36" s="14"/>
      <c r="QCF36" s="14"/>
      <c r="QCG36" s="14"/>
      <c r="QCH36" s="14"/>
      <c r="QCI36" s="14"/>
      <c r="QCJ36" s="14"/>
      <c r="QCK36" s="14"/>
      <c r="QCL36" s="14"/>
      <c r="QCM36" s="14"/>
      <c r="QCN36" s="14"/>
      <c r="QCO36" s="14"/>
      <c r="QCP36" s="14"/>
      <c r="QCQ36" s="14"/>
      <c r="QCR36" s="14"/>
      <c r="QCS36" s="14"/>
      <c r="QCT36" s="14"/>
      <c r="QCU36" s="14"/>
      <c r="QCV36" s="14"/>
      <c r="QCW36" s="14"/>
      <c r="QCX36" s="14"/>
      <c r="QCY36" s="14"/>
      <c r="QCZ36" s="14"/>
      <c r="QDA36" s="14"/>
      <c r="QDB36" s="14"/>
      <c r="QDC36" s="14"/>
      <c r="QDD36" s="14"/>
      <c r="QDE36" s="14"/>
      <c r="QDF36" s="14"/>
      <c r="QDG36" s="14"/>
      <c r="QDH36" s="14"/>
      <c r="QDI36" s="14"/>
      <c r="QDJ36" s="14"/>
      <c r="QDK36" s="14"/>
      <c r="QDL36" s="14"/>
      <c r="QDM36" s="14"/>
      <c r="QDN36" s="14"/>
      <c r="QDO36" s="14"/>
      <c r="QDP36" s="14"/>
      <c r="QDQ36" s="14"/>
      <c r="QDR36" s="14"/>
      <c r="QDS36" s="14"/>
      <c r="QDT36" s="14"/>
      <c r="QDU36" s="14"/>
      <c r="QDV36" s="14"/>
      <c r="QDW36" s="14"/>
      <c r="QDX36" s="14"/>
      <c r="QDY36" s="14"/>
      <c r="QDZ36" s="14"/>
      <c r="QEA36" s="14"/>
      <c r="QEB36" s="14"/>
      <c r="QEC36" s="14"/>
      <c r="QED36" s="14"/>
      <c r="QEE36" s="14"/>
      <c r="QEF36" s="14"/>
      <c r="QEG36" s="14"/>
      <c r="QEH36" s="14"/>
      <c r="QEI36" s="14"/>
      <c r="QEJ36" s="14"/>
      <c r="QEK36" s="14"/>
      <c r="QEL36" s="14"/>
      <c r="QEM36" s="14"/>
      <c r="QEN36" s="14"/>
      <c r="QEO36" s="14"/>
      <c r="QEP36" s="14"/>
      <c r="QEQ36" s="14"/>
      <c r="QER36" s="14"/>
      <c r="QES36" s="14"/>
      <c r="QET36" s="14"/>
      <c r="QEU36" s="14"/>
      <c r="QEV36" s="14"/>
      <c r="QEW36" s="14"/>
      <c r="QEX36" s="14"/>
      <c r="QEY36" s="14"/>
      <c r="QEZ36" s="14"/>
      <c r="QFA36" s="14"/>
      <c r="QFB36" s="14"/>
      <c r="QFC36" s="14"/>
      <c r="QFD36" s="14"/>
      <c r="QFE36" s="14"/>
      <c r="QFF36" s="14"/>
      <c r="QFG36" s="14"/>
      <c r="QFH36" s="14"/>
      <c r="QFI36" s="14"/>
      <c r="QFJ36" s="14"/>
      <c r="QFK36" s="14"/>
      <c r="QFL36" s="14"/>
      <c r="QFM36" s="14"/>
      <c r="QFN36" s="14"/>
      <c r="QFO36" s="14"/>
      <c r="QFP36" s="14"/>
      <c r="QFQ36" s="14"/>
      <c r="QFR36" s="14"/>
      <c r="QFS36" s="14"/>
      <c r="QFT36" s="14"/>
      <c r="QFU36" s="14"/>
      <c r="QFV36" s="14"/>
      <c r="QFW36" s="14"/>
      <c r="QFX36" s="14"/>
      <c r="QFY36" s="14"/>
      <c r="QFZ36" s="14"/>
      <c r="QGA36" s="14"/>
      <c r="QGB36" s="14"/>
      <c r="QGC36" s="14"/>
      <c r="QGD36" s="14"/>
      <c r="QGE36" s="14"/>
      <c r="QGF36" s="14"/>
      <c r="QGG36" s="14"/>
      <c r="QGH36" s="14"/>
      <c r="QGI36" s="14"/>
      <c r="QGJ36" s="14"/>
      <c r="QGK36" s="14"/>
      <c r="QGL36" s="14"/>
      <c r="QGM36" s="14"/>
      <c r="QGN36" s="14"/>
      <c r="QGO36" s="14"/>
      <c r="QGP36" s="14"/>
      <c r="QGQ36" s="14"/>
      <c r="QGR36" s="14"/>
      <c r="QGS36" s="14"/>
      <c r="QGT36" s="14"/>
      <c r="QGU36" s="14"/>
      <c r="QGV36" s="14"/>
      <c r="QGW36" s="14"/>
      <c r="QGX36" s="14"/>
      <c r="QGY36" s="14"/>
      <c r="QGZ36" s="14"/>
      <c r="QHA36" s="14"/>
      <c r="QHB36" s="14"/>
      <c r="QHC36" s="14"/>
      <c r="QHD36" s="14"/>
      <c r="QHE36" s="14"/>
      <c r="QHF36" s="14"/>
      <c r="QHG36" s="14"/>
      <c r="QHH36" s="14"/>
      <c r="QHI36" s="14"/>
      <c r="QHJ36" s="14"/>
      <c r="QHK36" s="14"/>
      <c r="QHL36" s="14"/>
      <c r="QHM36" s="14"/>
      <c r="QHN36" s="14"/>
      <c r="QHO36" s="14"/>
      <c r="QHP36" s="14"/>
      <c r="QHQ36" s="14"/>
      <c r="QHR36" s="14"/>
      <c r="QHS36" s="14"/>
      <c r="QHT36" s="14"/>
      <c r="QHU36" s="14"/>
      <c r="QHV36" s="14"/>
      <c r="QHW36" s="14"/>
      <c r="QHX36" s="14"/>
      <c r="QHY36" s="14"/>
      <c r="QHZ36" s="14"/>
      <c r="QIA36" s="14"/>
      <c r="QIB36" s="14"/>
      <c r="QIC36" s="14"/>
      <c r="QID36" s="14"/>
      <c r="QIE36" s="14"/>
      <c r="QIF36" s="14"/>
      <c r="QIG36" s="14"/>
      <c r="QIH36" s="14"/>
      <c r="QII36" s="14"/>
      <c r="QIJ36" s="14"/>
      <c r="QIK36" s="14"/>
      <c r="QIL36" s="14"/>
      <c r="QIM36" s="14"/>
      <c r="QIN36" s="14"/>
      <c r="QIO36" s="14"/>
      <c r="QIP36" s="14"/>
      <c r="QIQ36" s="14"/>
      <c r="QIR36" s="14"/>
      <c r="QIS36" s="14"/>
      <c r="QIT36" s="14"/>
      <c r="QIU36" s="14"/>
      <c r="QIV36" s="14"/>
      <c r="QIW36" s="14"/>
      <c r="QIX36" s="14"/>
      <c r="QIY36" s="14"/>
      <c r="QIZ36" s="14"/>
      <c r="QJA36" s="14"/>
      <c r="QJB36" s="14"/>
      <c r="QJC36" s="14"/>
      <c r="QJD36" s="14"/>
      <c r="QJE36" s="14"/>
      <c r="QJF36" s="14"/>
      <c r="QJG36" s="14"/>
      <c r="QJH36" s="14"/>
      <c r="QJI36" s="14"/>
      <c r="QJJ36" s="14"/>
      <c r="QJK36" s="14"/>
      <c r="QJL36" s="14"/>
      <c r="QJM36" s="14"/>
      <c r="QJN36" s="14"/>
      <c r="QJO36" s="14"/>
      <c r="QJP36" s="14"/>
      <c r="QJQ36" s="14"/>
      <c r="QJR36" s="14"/>
      <c r="QJS36" s="14"/>
      <c r="QJT36" s="14"/>
      <c r="QJU36" s="14"/>
      <c r="QJV36" s="14"/>
      <c r="QJW36" s="14"/>
      <c r="QJX36" s="14"/>
      <c r="QJY36" s="14"/>
      <c r="QJZ36" s="14"/>
      <c r="QKA36" s="14"/>
      <c r="QKB36" s="14"/>
      <c r="QKC36" s="14"/>
      <c r="QKD36" s="14"/>
      <c r="QKE36" s="14"/>
      <c r="QKF36" s="14"/>
      <c r="QKG36" s="14"/>
      <c r="QKH36" s="14"/>
      <c r="QKI36" s="14"/>
      <c r="QKJ36" s="14"/>
      <c r="QKK36" s="14"/>
      <c r="QKL36" s="14"/>
      <c r="QKM36" s="14"/>
      <c r="QKN36" s="14"/>
      <c r="QKO36" s="14"/>
      <c r="QKP36" s="14"/>
      <c r="QKQ36" s="14"/>
      <c r="QKR36" s="14"/>
      <c r="QKS36" s="14"/>
      <c r="QKT36" s="14"/>
      <c r="QKU36" s="14"/>
      <c r="QKV36" s="14"/>
      <c r="QKW36" s="14"/>
      <c r="QKX36" s="14"/>
      <c r="QKY36" s="14"/>
      <c r="QKZ36" s="14"/>
      <c r="QLA36" s="14"/>
      <c r="QLB36" s="14"/>
      <c r="QLC36" s="14"/>
      <c r="QLD36" s="14"/>
      <c r="QLE36" s="14"/>
      <c r="QLF36" s="14"/>
      <c r="QLG36" s="14"/>
      <c r="QLH36" s="14"/>
      <c r="QLI36" s="14"/>
      <c r="QLJ36" s="14"/>
      <c r="QLK36" s="14"/>
      <c r="QLL36" s="14"/>
      <c r="QLM36" s="14"/>
      <c r="QLN36" s="14"/>
      <c r="QLO36" s="14"/>
      <c r="QLP36" s="14"/>
      <c r="QLQ36" s="14"/>
      <c r="QLR36" s="14"/>
      <c r="QLS36" s="14"/>
      <c r="QLT36" s="14"/>
      <c r="QLU36" s="14"/>
      <c r="QLV36" s="14"/>
      <c r="QLW36" s="14"/>
      <c r="QLX36" s="14"/>
      <c r="QLY36" s="14"/>
      <c r="QLZ36" s="14"/>
      <c r="QMA36" s="14"/>
      <c r="QMB36" s="14"/>
      <c r="QMC36" s="14"/>
      <c r="QMD36" s="14"/>
      <c r="QME36" s="14"/>
      <c r="QMF36" s="14"/>
      <c r="QMG36" s="14"/>
      <c r="QMH36" s="14"/>
      <c r="QMI36" s="14"/>
      <c r="QMJ36" s="14"/>
      <c r="QMK36" s="14"/>
      <c r="QML36" s="14"/>
      <c r="QMM36" s="14"/>
      <c r="QMN36" s="14"/>
      <c r="QMO36" s="14"/>
      <c r="QMP36" s="14"/>
      <c r="QMQ36" s="14"/>
      <c r="QMR36" s="14"/>
      <c r="QMS36" s="14"/>
      <c r="QMT36" s="14"/>
      <c r="QMU36" s="14"/>
      <c r="QMV36" s="14"/>
      <c r="QMW36" s="14"/>
      <c r="QMX36" s="14"/>
      <c r="QMY36" s="14"/>
      <c r="QMZ36" s="14"/>
      <c r="QNA36" s="14"/>
      <c r="QNB36" s="14"/>
      <c r="QNC36" s="14"/>
      <c r="QND36" s="14"/>
      <c r="QNE36" s="14"/>
      <c r="QNF36" s="14"/>
      <c r="QNG36" s="14"/>
      <c r="QNH36" s="14"/>
      <c r="QNI36" s="14"/>
      <c r="QNJ36" s="14"/>
      <c r="QNK36" s="14"/>
      <c r="QNL36" s="14"/>
      <c r="QNM36" s="14"/>
      <c r="QNN36" s="14"/>
      <c r="QNO36" s="14"/>
      <c r="QNP36" s="14"/>
      <c r="QNQ36" s="14"/>
      <c r="QNR36" s="14"/>
      <c r="QNS36" s="14"/>
      <c r="QNT36" s="14"/>
      <c r="QNU36" s="14"/>
      <c r="QNV36" s="14"/>
      <c r="QNW36" s="14"/>
      <c r="QNX36" s="14"/>
      <c r="QNY36" s="14"/>
      <c r="QNZ36" s="14"/>
      <c r="QOA36" s="14"/>
      <c r="QOB36" s="14"/>
      <c r="QOC36" s="14"/>
      <c r="QOD36" s="14"/>
      <c r="QOE36" s="14"/>
      <c r="QOF36" s="14"/>
      <c r="QOG36" s="14"/>
      <c r="QOH36" s="14"/>
      <c r="QOI36" s="14"/>
      <c r="QOJ36" s="14"/>
      <c r="QOK36" s="14"/>
      <c r="QOL36" s="14"/>
      <c r="QOM36" s="14"/>
      <c r="QON36" s="14"/>
      <c r="QOO36" s="14"/>
      <c r="QOP36" s="14"/>
      <c r="QOQ36" s="14"/>
      <c r="QOR36" s="14"/>
      <c r="QOS36" s="14"/>
      <c r="QOT36" s="14"/>
      <c r="QOU36" s="14"/>
      <c r="QOV36" s="14"/>
      <c r="QOW36" s="14"/>
      <c r="QOX36" s="14"/>
      <c r="QOY36" s="14"/>
      <c r="QOZ36" s="14"/>
      <c r="QPA36" s="14"/>
      <c r="QPB36" s="14"/>
      <c r="QPC36" s="14"/>
      <c r="QPD36" s="14"/>
      <c r="QPE36" s="14"/>
      <c r="QPF36" s="14"/>
      <c r="QPG36" s="14"/>
      <c r="QPH36" s="14"/>
      <c r="QPI36" s="14"/>
      <c r="QPJ36" s="14"/>
      <c r="QPK36" s="14"/>
      <c r="QPL36" s="14"/>
      <c r="QPM36" s="14"/>
      <c r="QPN36" s="14"/>
      <c r="QPO36" s="14"/>
      <c r="QPP36" s="14"/>
      <c r="QPQ36" s="14"/>
      <c r="QPR36" s="14"/>
      <c r="QPS36" s="14"/>
      <c r="QPT36" s="14"/>
      <c r="QPU36" s="14"/>
      <c r="QPV36" s="14"/>
      <c r="QPW36" s="14"/>
      <c r="QPX36" s="14"/>
      <c r="QPY36" s="14"/>
      <c r="QPZ36" s="14"/>
      <c r="QQA36" s="14"/>
      <c r="QQB36" s="14"/>
      <c r="QQC36" s="14"/>
      <c r="QQD36" s="14"/>
      <c r="QQE36" s="14"/>
      <c r="QQF36" s="14"/>
      <c r="QQG36" s="14"/>
      <c r="QQH36" s="14"/>
      <c r="QQI36" s="14"/>
      <c r="QQJ36" s="14"/>
      <c r="QQK36" s="14"/>
      <c r="QQL36" s="14"/>
      <c r="QQM36" s="14"/>
      <c r="QQN36" s="14"/>
      <c r="QQO36" s="14"/>
      <c r="QQP36" s="14"/>
      <c r="QQQ36" s="14"/>
      <c r="QQR36" s="14"/>
      <c r="QQS36" s="14"/>
      <c r="QQT36" s="14"/>
      <c r="QQU36" s="14"/>
      <c r="QQV36" s="14"/>
      <c r="QQW36" s="14"/>
      <c r="QQX36" s="14"/>
      <c r="QQY36" s="14"/>
      <c r="QQZ36" s="14"/>
      <c r="QRA36" s="14"/>
      <c r="QRB36" s="14"/>
      <c r="QRC36" s="14"/>
      <c r="QRD36" s="14"/>
      <c r="QRE36" s="14"/>
      <c r="QRF36" s="14"/>
      <c r="QRG36" s="14"/>
      <c r="QRH36" s="14"/>
      <c r="QRI36" s="14"/>
      <c r="QRJ36" s="14"/>
      <c r="QRK36" s="14"/>
      <c r="QRL36" s="14"/>
      <c r="QRM36" s="14"/>
      <c r="QRN36" s="14"/>
      <c r="QRO36" s="14"/>
      <c r="QRP36" s="14"/>
      <c r="QRQ36" s="14"/>
      <c r="QRR36" s="14"/>
      <c r="QRS36" s="14"/>
      <c r="QRT36" s="14"/>
      <c r="QRU36" s="14"/>
      <c r="QRV36" s="14"/>
      <c r="QRW36" s="14"/>
      <c r="QRX36" s="14"/>
      <c r="QRY36" s="14"/>
      <c r="QRZ36" s="14"/>
      <c r="QSA36" s="14"/>
      <c r="QSB36" s="14"/>
      <c r="QSC36" s="14"/>
      <c r="QSD36" s="14"/>
      <c r="QSE36" s="14"/>
      <c r="QSF36" s="14"/>
      <c r="QSG36" s="14"/>
      <c r="QSH36" s="14"/>
      <c r="QSI36" s="14"/>
      <c r="QSJ36" s="14"/>
      <c r="QSK36" s="14"/>
      <c r="QSL36" s="14"/>
      <c r="QSM36" s="14"/>
      <c r="QSN36" s="14"/>
      <c r="QSO36" s="14"/>
      <c r="QSP36" s="14"/>
      <c r="QSQ36" s="14"/>
      <c r="QSR36" s="14"/>
      <c r="QSS36" s="14"/>
      <c r="QST36" s="14"/>
      <c r="QSU36" s="14"/>
      <c r="QSV36" s="14"/>
      <c r="QSW36" s="14"/>
      <c r="QSX36" s="14"/>
      <c r="QSY36" s="14"/>
      <c r="QSZ36" s="14"/>
      <c r="QTA36" s="14"/>
      <c r="QTB36" s="14"/>
      <c r="QTC36" s="14"/>
      <c r="QTD36" s="14"/>
      <c r="QTE36" s="14"/>
      <c r="QTF36" s="14"/>
      <c r="QTG36" s="14"/>
      <c r="QTH36" s="14"/>
      <c r="QTI36" s="14"/>
      <c r="QTJ36" s="14"/>
      <c r="QTK36" s="14"/>
      <c r="QTL36" s="14"/>
      <c r="QTM36" s="14"/>
      <c r="QTN36" s="14"/>
      <c r="QTO36" s="14"/>
      <c r="QTP36" s="14"/>
      <c r="QTQ36" s="14"/>
      <c r="QTR36" s="14"/>
      <c r="QTS36" s="14"/>
      <c r="QTT36" s="14"/>
      <c r="QTU36" s="14"/>
      <c r="QTV36" s="14"/>
      <c r="QTW36" s="14"/>
      <c r="QTX36" s="14"/>
      <c r="QTY36" s="14"/>
      <c r="QTZ36" s="14"/>
      <c r="QUA36" s="14"/>
      <c r="QUB36" s="14"/>
      <c r="QUC36" s="14"/>
      <c r="QUD36" s="14"/>
      <c r="QUE36" s="14"/>
      <c r="QUF36" s="14"/>
      <c r="QUG36" s="14"/>
      <c r="QUH36" s="14"/>
      <c r="QUI36" s="14"/>
      <c r="QUJ36" s="14"/>
      <c r="QUK36" s="14"/>
      <c r="QUL36" s="14"/>
      <c r="QUM36" s="14"/>
      <c r="QUN36" s="14"/>
      <c r="QUO36" s="14"/>
      <c r="QUP36" s="14"/>
      <c r="QUQ36" s="14"/>
      <c r="QUR36" s="14"/>
      <c r="QUS36" s="14"/>
      <c r="QUT36" s="14"/>
      <c r="QUU36" s="14"/>
      <c r="QUV36" s="14"/>
      <c r="QUW36" s="14"/>
      <c r="QUX36" s="14"/>
      <c r="QUY36" s="14"/>
      <c r="QUZ36" s="14"/>
      <c r="QVA36" s="14"/>
      <c r="QVB36" s="14"/>
      <c r="QVC36" s="14"/>
      <c r="QVD36" s="14"/>
      <c r="QVE36" s="14"/>
      <c r="QVF36" s="14"/>
      <c r="QVG36" s="14"/>
      <c r="QVH36" s="14"/>
      <c r="QVI36" s="14"/>
      <c r="QVJ36" s="14"/>
      <c r="QVK36" s="14"/>
      <c r="QVL36" s="14"/>
      <c r="QVM36" s="14"/>
      <c r="QVN36" s="14"/>
      <c r="QVO36" s="14"/>
      <c r="QVP36" s="14"/>
      <c r="QVQ36" s="14"/>
      <c r="QVR36" s="14"/>
      <c r="QVS36" s="14"/>
      <c r="QVT36" s="14"/>
      <c r="QVU36" s="14"/>
      <c r="QVV36" s="14"/>
      <c r="QVW36" s="14"/>
      <c r="QVX36" s="14"/>
      <c r="QVY36" s="14"/>
      <c r="QVZ36" s="14"/>
      <c r="QWA36" s="14"/>
      <c r="QWB36" s="14"/>
      <c r="QWC36" s="14"/>
      <c r="QWD36" s="14"/>
      <c r="QWE36" s="14"/>
      <c r="QWF36" s="14"/>
      <c r="QWG36" s="14"/>
      <c r="QWH36" s="14"/>
      <c r="QWI36" s="14"/>
      <c r="QWJ36" s="14"/>
      <c r="QWK36" s="14"/>
      <c r="QWL36" s="14"/>
      <c r="QWM36" s="14"/>
      <c r="QWN36" s="14"/>
      <c r="QWO36" s="14"/>
      <c r="QWP36" s="14"/>
      <c r="QWQ36" s="14"/>
      <c r="QWR36" s="14"/>
      <c r="QWS36" s="14"/>
      <c r="QWT36" s="14"/>
      <c r="QWU36" s="14"/>
      <c r="QWV36" s="14"/>
      <c r="QWW36" s="14"/>
      <c r="QWX36" s="14"/>
      <c r="QWY36" s="14"/>
      <c r="QWZ36" s="14"/>
      <c r="QXA36" s="14"/>
      <c r="QXB36" s="14"/>
      <c r="QXC36" s="14"/>
      <c r="QXD36" s="14"/>
      <c r="QXE36" s="14"/>
      <c r="QXF36" s="14"/>
      <c r="QXG36" s="14"/>
      <c r="QXH36" s="14"/>
      <c r="QXI36" s="14"/>
      <c r="QXJ36" s="14"/>
      <c r="QXK36" s="14"/>
      <c r="QXL36" s="14"/>
      <c r="QXM36" s="14"/>
      <c r="QXN36" s="14"/>
      <c r="QXO36" s="14"/>
      <c r="QXP36" s="14"/>
      <c r="QXQ36" s="14"/>
      <c r="QXR36" s="14"/>
      <c r="QXS36" s="14"/>
      <c r="QXT36" s="14"/>
      <c r="QXU36" s="14"/>
      <c r="QXV36" s="14"/>
      <c r="QXW36" s="14"/>
      <c r="QXX36" s="14"/>
      <c r="QXY36" s="14"/>
      <c r="QXZ36" s="14"/>
      <c r="QYA36" s="14"/>
      <c r="QYB36" s="14"/>
      <c r="QYC36" s="14"/>
      <c r="QYD36" s="14"/>
      <c r="QYE36" s="14"/>
      <c r="QYF36" s="14"/>
      <c r="QYG36" s="14"/>
      <c r="QYH36" s="14"/>
      <c r="QYI36" s="14"/>
      <c r="QYJ36" s="14"/>
      <c r="QYK36" s="14"/>
      <c r="QYL36" s="14"/>
      <c r="QYM36" s="14"/>
      <c r="QYN36" s="14"/>
      <c r="QYO36" s="14"/>
      <c r="QYP36" s="14"/>
      <c r="QYQ36" s="14"/>
      <c r="QYR36" s="14"/>
      <c r="QYS36" s="14"/>
      <c r="QYT36" s="14"/>
      <c r="QYU36" s="14"/>
      <c r="QYV36" s="14"/>
      <c r="QYW36" s="14"/>
      <c r="QYX36" s="14"/>
      <c r="QYY36" s="14"/>
      <c r="QYZ36" s="14"/>
      <c r="QZA36" s="14"/>
      <c r="QZB36" s="14"/>
      <c r="QZC36" s="14"/>
      <c r="QZD36" s="14"/>
      <c r="QZE36" s="14"/>
      <c r="QZF36" s="14"/>
      <c r="QZG36" s="14"/>
      <c r="QZH36" s="14"/>
      <c r="QZI36" s="14"/>
      <c r="QZJ36" s="14"/>
      <c r="QZK36" s="14"/>
      <c r="QZL36" s="14"/>
      <c r="QZM36" s="14"/>
      <c r="QZN36" s="14"/>
      <c r="QZO36" s="14"/>
      <c r="QZP36" s="14"/>
      <c r="QZQ36" s="14"/>
      <c r="QZR36" s="14"/>
      <c r="QZS36" s="14"/>
      <c r="QZT36" s="14"/>
      <c r="QZU36" s="14"/>
      <c r="QZV36" s="14"/>
      <c r="QZW36" s="14"/>
      <c r="QZX36" s="14"/>
      <c r="QZY36" s="14"/>
      <c r="QZZ36" s="14"/>
      <c r="RAA36" s="14"/>
      <c r="RAB36" s="14"/>
      <c r="RAC36" s="14"/>
      <c r="RAD36" s="14"/>
      <c r="RAE36" s="14"/>
      <c r="RAF36" s="14"/>
      <c r="RAG36" s="14"/>
      <c r="RAH36" s="14"/>
      <c r="RAI36" s="14"/>
      <c r="RAJ36" s="14"/>
      <c r="RAK36" s="14"/>
      <c r="RAL36" s="14"/>
      <c r="RAM36" s="14"/>
      <c r="RAN36" s="14"/>
      <c r="RAO36" s="14"/>
      <c r="RAP36" s="14"/>
      <c r="RAQ36" s="14"/>
      <c r="RAR36" s="14"/>
      <c r="RAS36" s="14"/>
      <c r="RAT36" s="14"/>
      <c r="RAU36" s="14"/>
      <c r="RAV36" s="14"/>
      <c r="RAW36" s="14"/>
      <c r="RAX36" s="14"/>
      <c r="RAY36" s="14"/>
      <c r="RAZ36" s="14"/>
      <c r="RBA36" s="14"/>
      <c r="RBB36" s="14"/>
      <c r="RBC36" s="14"/>
      <c r="RBD36" s="14"/>
      <c r="RBE36" s="14"/>
      <c r="RBF36" s="14"/>
      <c r="RBG36" s="14"/>
      <c r="RBH36" s="14"/>
      <c r="RBI36" s="14"/>
      <c r="RBJ36" s="14"/>
      <c r="RBK36" s="14"/>
      <c r="RBL36" s="14"/>
      <c r="RBM36" s="14"/>
      <c r="RBN36" s="14"/>
      <c r="RBO36" s="14"/>
      <c r="RBP36" s="14"/>
      <c r="RBQ36" s="14"/>
      <c r="RBR36" s="14"/>
      <c r="RBS36" s="14"/>
      <c r="RBT36" s="14"/>
      <c r="RBU36" s="14"/>
      <c r="RBV36" s="14"/>
      <c r="RBW36" s="14"/>
      <c r="RBX36" s="14"/>
      <c r="RBY36" s="14"/>
      <c r="RBZ36" s="14"/>
      <c r="RCA36" s="14"/>
      <c r="RCB36" s="14"/>
      <c r="RCC36" s="14"/>
      <c r="RCD36" s="14"/>
      <c r="RCE36" s="14"/>
      <c r="RCF36" s="14"/>
      <c r="RCG36" s="14"/>
      <c r="RCH36" s="14"/>
      <c r="RCI36" s="14"/>
      <c r="RCJ36" s="14"/>
      <c r="RCK36" s="14"/>
      <c r="RCL36" s="14"/>
      <c r="RCM36" s="14"/>
      <c r="RCN36" s="14"/>
      <c r="RCO36" s="14"/>
      <c r="RCP36" s="14"/>
      <c r="RCQ36" s="14"/>
      <c r="RCR36" s="14"/>
      <c r="RCS36" s="14"/>
      <c r="RCT36" s="14"/>
      <c r="RCU36" s="14"/>
      <c r="RCV36" s="14"/>
      <c r="RCW36" s="14"/>
      <c r="RCX36" s="14"/>
      <c r="RCY36" s="14"/>
      <c r="RCZ36" s="14"/>
      <c r="RDA36" s="14"/>
      <c r="RDB36" s="14"/>
      <c r="RDC36" s="14"/>
      <c r="RDD36" s="14"/>
      <c r="RDE36" s="14"/>
      <c r="RDF36" s="14"/>
      <c r="RDG36" s="14"/>
      <c r="RDH36" s="14"/>
      <c r="RDI36" s="14"/>
      <c r="RDJ36" s="14"/>
      <c r="RDK36" s="14"/>
      <c r="RDL36" s="14"/>
      <c r="RDM36" s="14"/>
      <c r="RDN36" s="14"/>
      <c r="RDO36" s="14"/>
      <c r="RDP36" s="14"/>
      <c r="RDQ36" s="14"/>
      <c r="RDR36" s="14"/>
      <c r="RDS36" s="14"/>
      <c r="RDT36" s="14"/>
      <c r="RDU36" s="14"/>
      <c r="RDV36" s="14"/>
      <c r="RDW36" s="14"/>
      <c r="RDX36" s="14"/>
      <c r="RDY36" s="14"/>
      <c r="RDZ36" s="14"/>
      <c r="REA36" s="14"/>
      <c r="REB36" s="14"/>
      <c r="REC36" s="14"/>
      <c r="RED36" s="14"/>
      <c r="REE36" s="14"/>
      <c r="REF36" s="14"/>
      <c r="REG36" s="14"/>
      <c r="REH36" s="14"/>
      <c r="REI36" s="14"/>
      <c r="REJ36" s="14"/>
      <c r="REK36" s="14"/>
      <c r="REL36" s="14"/>
      <c r="REM36" s="14"/>
      <c r="REN36" s="14"/>
      <c r="REO36" s="14"/>
      <c r="REP36" s="14"/>
      <c r="REQ36" s="14"/>
      <c r="RER36" s="14"/>
      <c r="RES36" s="14"/>
      <c r="RET36" s="14"/>
      <c r="REU36" s="14"/>
      <c r="REV36" s="14"/>
      <c r="REW36" s="14"/>
      <c r="REX36" s="14"/>
      <c r="REY36" s="14"/>
      <c r="REZ36" s="14"/>
      <c r="RFA36" s="14"/>
      <c r="RFB36" s="14"/>
      <c r="RFC36" s="14"/>
      <c r="RFD36" s="14"/>
      <c r="RFE36" s="14"/>
      <c r="RFF36" s="14"/>
      <c r="RFG36" s="14"/>
      <c r="RFH36" s="14"/>
      <c r="RFI36" s="14"/>
      <c r="RFJ36" s="14"/>
      <c r="RFK36" s="14"/>
      <c r="RFL36" s="14"/>
      <c r="RFM36" s="14"/>
      <c r="RFN36" s="14"/>
      <c r="RFO36" s="14"/>
      <c r="RFP36" s="14"/>
      <c r="RFQ36" s="14"/>
      <c r="RFR36" s="14"/>
      <c r="RFS36" s="14"/>
      <c r="RFT36" s="14"/>
      <c r="RFU36" s="14"/>
      <c r="RFV36" s="14"/>
      <c r="RFW36" s="14"/>
      <c r="RFX36" s="14"/>
      <c r="RFY36" s="14"/>
      <c r="RFZ36" s="14"/>
      <c r="RGA36" s="14"/>
      <c r="RGB36" s="14"/>
      <c r="RGC36" s="14"/>
      <c r="RGD36" s="14"/>
      <c r="RGE36" s="14"/>
      <c r="RGF36" s="14"/>
      <c r="RGG36" s="14"/>
      <c r="RGH36" s="14"/>
      <c r="RGI36" s="14"/>
      <c r="RGJ36" s="14"/>
      <c r="RGK36" s="14"/>
      <c r="RGL36" s="14"/>
      <c r="RGM36" s="14"/>
      <c r="RGN36" s="14"/>
      <c r="RGO36" s="14"/>
      <c r="RGP36" s="14"/>
      <c r="RGQ36" s="14"/>
      <c r="RGR36" s="14"/>
      <c r="RGS36" s="14"/>
      <c r="RGT36" s="14"/>
      <c r="RGU36" s="14"/>
      <c r="RGV36" s="14"/>
      <c r="RGW36" s="14"/>
      <c r="RGX36" s="14"/>
      <c r="RGY36" s="14"/>
      <c r="RGZ36" s="14"/>
      <c r="RHA36" s="14"/>
      <c r="RHB36" s="14"/>
      <c r="RHC36" s="14"/>
      <c r="RHD36" s="14"/>
      <c r="RHE36" s="14"/>
      <c r="RHF36" s="14"/>
      <c r="RHG36" s="14"/>
      <c r="RHH36" s="14"/>
      <c r="RHI36" s="14"/>
      <c r="RHJ36" s="14"/>
      <c r="RHK36" s="14"/>
      <c r="RHL36" s="14"/>
      <c r="RHM36" s="14"/>
      <c r="RHN36" s="14"/>
      <c r="RHO36" s="14"/>
      <c r="RHP36" s="14"/>
      <c r="RHQ36" s="14"/>
      <c r="RHR36" s="14"/>
      <c r="RHS36" s="14"/>
      <c r="RHT36" s="14"/>
      <c r="RHU36" s="14"/>
      <c r="RHV36" s="14"/>
      <c r="RHW36" s="14"/>
      <c r="RHX36" s="14"/>
      <c r="RHY36" s="14"/>
      <c r="RHZ36" s="14"/>
      <c r="RIA36" s="14"/>
      <c r="RIB36" s="14"/>
      <c r="RIC36" s="14"/>
      <c r="RID36" s="14"/>
      <c r="RIE36" s="14"/>
      <c r="RIF36" s="14"/>
      <c r="RIG36" s="14"/>
      <c r="RIH36" s="14"/>
      <c r="RII36" s="14"/>
      <c r="RIJ36" s="14"/>
      <c r="RIK36" s="14"/>
      <c r="RIL36" s="14"/>
      <c r="RIM36" s="14"/>
      <c r="RIN36" s="14"/>
      <c r="RIO36" s="14"/>
      <c r="RIP36" s="14"/>
      <c r="RIQ36" s="14"/>
      <c r="RIR36" s="14"/>
      <c r="RIS36" s="14"/>
      <c r="RIT36" s="14"/>
      <c r="RIU36" s="14"/>
      <c r="RIV36" s="14"/>
      <c r="RIW36" s="14"/>
      <c r="RIX36" s="14"/>
      <c r="RIY36" s="14"/>
      <c r="RIZ36" s="14"/>
      <c r="RJA36" s="14"/>
      <c r="RJB36" s="14"/>
      <c r="RJC36" s="14"/>
      <c r="RJD36" s="14"/>
      <c r="RJE36" s="14"/>
      <c r="RJF36" s="14"/>
      <c r="RJG36" s="14"/>
      <c r="RJH36" s="14"/>
      <c r="RJI36" s="14"/>
      <c r="RJJ36" s="14"/>
      <c r="RJK36" s="14"/>
      <c r="RJL36" s="14"/>
      <c r="RJM36" s="14"/>
      <c r="RJN36" s="14"/>
      <c r="RJO36" s="14"/>
      <c r="RJP36" s="14"/>
      <c r="RJQ36" s="14"/>
      <c r="RJR36" s="14"/>
      <c r="RJS36" s="14"/>
      <c r="RJT36" s="14"/>
      <c r="RJU36" s="14"/>
      <c r="RJV36" s="14"/>
      <c r="RJW36" s="14"/>
      <c r="RJX36" s="14"/>
      <c r="RJY36" s="14"/>
      <c r="RJZ36" s="14"/>
      <c r="RKA36" s="14"/>
      <c r="RKB36" s="14"/>
      <c r="RKC36" s="14"/>
      <c r="RKD36" s="14"/>
      <c r="RKE36" s="14"/>
      <c r="RKF36" s="14"/>
      <c r="RKG36" s="14"/>
      <c r="RKH36" s="14"/>
      <c r="RKI36" s="14"/>
      <c r="RKJ36" s="14"/>
      <c r="RKK36" s="14"/>
      <c r="RKL36" s="14"/>
      <c r="RKM36" s="14"/>
      <c r="RKN36" s="14"/>
      <c r="RKO36" s="14"/>
      <c r="RKP36" s="14"/>
      <c r="RKQ36" s="14"/>
      <c r="RKR36" s="14"/>
      <c r="RKS36" s="14"/>
      <c r="RKT36" s="14"/>
      <c r="RKU36" s="14"/>
      <c r="RKV36" s="14"/>
      <c r="RKW36" s="14"/>
      <c r="RKX36" s="14"/>
      <c r="RKY36" s="14"/>
      <c r="RKZ36" s="14"/>
      <c r="RLA36" s="14"/>
      <c r="RLB36" s="14"/>
      <c r="RLC36" s="14"/>
      <c r="RLD36" s="14"/>
      <c r="RLE36" s="14"/>
      <c r="RLF36" s="14"/>
      <c r="RLG36" s="14"/>
      <c r="RLH36" s="14"/>
      <c r="RLI36" s="14"/>
      <c r="RLJ36" s="14"/>
      <c r="RLK36" s="14"/>
      <c r="RLL36" s="14"/>
      <c r="RLM36" s="14"/>
      <c r="RLN36" s="14"/>
      <c r="RLO36" s="14"/>
      <c r="RLP36" s="14"/>
      <c r="RLQ36" s="14"/>
      <c r="RLR36" s="14"/>
      <c r="RLS36" s="14"/>
      <c r="RLT36" s="14"/>
      <c r="RLU36" s="14"/>
      <c r="RLV36" s="14"/>
      <c r="RLW36" s="14"/>
      <c r="RLX36" s="14"/>
      <c r="RLY36" s="14"/>
      <c r="RLZ36" s="14"/>
      <c r="RMA36" s="14"/>
      <c r="RMB36" s="14"/>
      <c r="RMC36" s="14"/>
      <c r="RMD36" s="14"/>
      <c r="RME36" s="14"/>
      <c r="RMF36" s="14"/>
      <c r="RMG36" s="14"/>
      <c r="RMH36" s="14"/>
      <c r="RMI36" s="14"/>
      <c r="RMJ36" s="14"/>
      <c r="RMK36" s="14"/>
      <c r="RML36" s="14"/>
      <c r="RMM36" s="14"/>
      <c r="RMN36" s="14"/>
      <c r="RMO36" s="14"/>
      <c r="RMP36" s="14"/>
      <c r="RMQ36" s="14"/>
      <c r="RMR36" s="14"/>
      <c r="RMS36" s="14"/>
      <c r="RMT36" s="14"/>
      <c r="RMU36" s="14"/>
      <c r="RMV36" s="14"/>
      <c r="RMW36" s="14"/>
      <c r="RMX36" s="14"/>
      <c r="RMY36" s="14"/>
      <c r="RMZ36" s="14"/>
      <c r="RNA36" s="14"/>
      <c r="RNB36" s="14"/>
      <c r="RNC36" s="14"/>
      <c r="RND36" s="14"/>
      <c r="RNE36" s="14"/>
      <c r="RNF36" s="14"/>
      <c r="RNG36" s="14"/>
      <c r="RNH36" s="14"/>
      <c r="RNI36" s="14"/>
      <c r="RNJ36" s="14"/>
      <c r="RNK36" s="14"/>
      <c r="RNL36" s="14"/>
      <c r="RNM36" s="14"/>
      <c r="RNN36" s="14"/>
      <c r="RNO36" s="14"/>
      <c r="RNP36" s="14"/>
      <c r="RNQ36" s="14"/>
      <c r="RNR36" s="14"/>
      <c r="RNS36" s="14"/>
      <c r="RNT36" s="14"/>
      <c r="RNU36" s="14"/>
      <c r="RNV36" s="14"/>
      <c r="RNW36" s="14"/>
      <c r="RNX36" s="14"/>
      <c r="RNY36" s="14"/>
      <c r="RNZ36" s="14"/>
      <c r="ROA36" s="14"/>
      <c r="ROB36" s="14"/>
      <c r="ROC36" s="14"/>
      <c r="ROD36" s="14"/>
      <c r="ROE36" s="14"/>
      <c r="ROF36" s="14"/>
      <c r="ROG36" s="14"/>
      <c r="ROH36" s="14"/>
      <c r="ROI36" s="14"/>
      <c r="ROJ36" s="14"/>
      <c r="ROK36" s="14"/>
      <c r="ROL36" s="14"/>
      <c r="ROM36" s="14"/>
      <c r="RON36" s="14"/>
      <c r="ROO36" s="14"/>
      <c r="ROP36" s="14"/>
      <c r="ROQ36" s="14"/>
      <c r="ROR36" s="14"/>
      <c r="ROS36" s="14"/>
      <c r="ROT36" s="14"/>
      <c r="ROU36" s="14"/>
      <c r="ROV36" s="14"/>
      <c r="ROW36" s="14"/>
      <c r="ROX36" s="14"/>
      <c r="ROY36" s="14"/>
      <c r="ROZ36" s="14"/>
      <c r="RPA36" s="14"/>
      <c r="RPB36" s="14"/>
      <c r="RPC36" s="14"/>
      <c r="RPD36" s="14"/>
      <c r="RPE36" s="14"/>
      <c r="RPF36" s="14"/>
      <c r="RPG36" s="14"/>
      <c r="RPH36" s="14"/>
      <c r="RPI36" s="14"/>
      <c r="RPJ36" s="14"/>
      <c r="RPK36" s="14"/>
      <c r="RPL36" s="14"/>
      <c r="RPM36" s="14"/>
      <c r="RPN36" s="14"/>
      <c r="RPO36" s="14"/>
      <c r="RPP36" s="14"/>
      <c r="RPQ36" s="14"/>
      <c r="RPR36" s="14"/>
      <c r="RPS36" s="14"/>
      <c r="RPT36" s="14"/>
      <c r="RPU36" s="14"/>
      <c r="RPV36" s="14"/>
      <c r="RPW36" s="14"/>
      <c r="RPX36" s="14"/>
      <c r="RPY36" s="14"/>
      <c r="RPZ36" s="14"/>
      <c r="RQA36" s="14"/>
      <c r="RQB36" s="14"/>
      <c r="RQC36" s="14"/>
      <c r="RQD36" s="14"/>
      <c r="RQE36" s="14"/>
      <c r="RQF36" s="14"/>
      <c r="RQG36" s="14"/>
      <c r="RQH36" s="14"/>
      <c r="RQI36" s="14"/>
      <c r="RQJ36" s="14"/>
      <c r="RQK36" s="14"/>
      <c r="RQL36" s="14"/>
      <c r="RQM36" s="14"/>
      <c r="RQN36" s="14"/>
      <c r="RQO36" s="14"/>
      <c r="RQP36" s="14"/>
      <c r="RQQ36" s="14"/>
      <c r="RQR36" s="14"/>
      <c r="RQS36" s="14"/>
      <c r="RQT36" s="14"/>
      <c r="RQU36" s="14"/>
      <c r="RQV36" s="14"/>
      <c r="RQW36" s="14"/>
      <c r="RQX36" s="14"/>
      <c r="RQY36" s="14"/>
      <c r="RQZ36" s="14"/>
      <c r="RRA36" s="14"/>
      <c r="RRB36" s="14"/>
      <c r="RRC36" s="14"/>
      <c r="RRD36" s="14"/>
      <c r="RRE36" s="14"/>
      <c r="RRF36" s="14"/>
      <c r="RRG36" s="14"/>
      <c r="RRH36" s="14"/>
      <c r="RRI36" s="14"/>
      <c r="RRJ36" s="14"/>
      <c r="RRK36" s="14"/>
      <c r="RRL36" s="14"/>
      <c r="RRM36" s="14"/>
      <c r="RRN36" s="14"/>
      <c r="RRO36" s="14"/>
      <c r="RRP36" s="14"/>
      <c r="RRQ36" s="14"/>
      <c r="RRR36" s="14"/>
      <c r="RRS36" s="14"/>
      <c r="RRT36" s="14"/>
      <c r="RRU36" s="14"/>
      <c r="RRV36" s="14"/>
      <c r="RRW36" s="14"/>
      <c r="RRX36" s="14"/>
      <c r="RRY36" s="14"/>
      <c r="RRZ36" s="14"/>
      <c r="RSA36" s="14"/>
      <c r="RSB36" s="14"/>
      <c r="RSC36" s="14"/>
      <c r="RSD36" s="14"/>
      <c r="RSE36" s="14"/>
      <c r="RSF36" s="14"/>
      <c r="RSG36" s="14"/>
      <c r="RSH36" s="14"/>
      <c r="RSI36" s="14"/>
      <c r="RSJ36" s="14"/>
      <c r="RSK36" s="14"/>
      <c r="RSL36" s="14"/>
      <c r="RSM36" s="14"/>
      <c r="RSN36" s="14"/>
      <c r="RSO36" s="14"/>
      <c r="RSP36" s="14"/>
      <c r="RSQ36" s="14"/>
      <c r="RSR36" s="14"/>
      <c r="RSS36" s="14"/>
      <c r="RST36" s="14"/>
      <c r="RSU36" s="14"/>
      <c r="RSV36" s="14"/>
      <c r="RSW36" s="14"/>
      <c r="RSX36" s="14"/>
      <c r="RSY36" s="14"/>
      <c r="RSZ36" s="14"/>
      <c r="RTA36" s="14"/>
      <c r="RTB36" s="14"/>
      <c r="RTC36" s="14"/>
      <c r="RTD36" s="14"/>
      <c r="RTE36" s="14"/>
      <c r="RTF36" s="14"/>
      <c r="RTG36" s="14"/>
      <c r="RTH36" s="14"/>
      <c r="RTI36" s="14"/>
      <c r="RTJ36" s="14"/>
      <c r="RTK36" s="14"/>
      <c r="RTL36" s="14"/>
      <c r="RTM36" s="14"/>
      <c r="RTN36" s="14"/>
      <c r="RTO36" s="14"/>
      <c r="RTP36" s="14"/>
      <c r="RTQ36" s="14"/>
      <c r="RTR36" s="14"/>
      <c r="RTS36" s="14"/>
      <c r="RTT36" s="14"/>
      <c r="RTU36" s="14"/>
      <c r="RTV36" s="14"/>
      <c r="RTW36" s="14"/>
      <c r="RTX36" s="14"/>
      <c r="RTY36" s="14"/>
      <c r="RTZ36" s="14"/>
      <c r="RUA36" s="14"/>
      <c r="RUB36" s="14"/>
      <c r="RUC36" s="14"/>
      <c r="RUD36" s="14"/>
      <c r="RUE36" s="14"/>
      <c r="RUF36" s="14"/>
      <c r="RUG36" s="14"/>
      <c r="RUH36" s="14"/>
      <c r="RUI36" s="14"/>
      <c r="RUJ36" s="14"/>
      <c r="RUK36" s="14"/>
      <c r="RUL36" s="14"/>
      <c r="RUM36" s="14"/>
      <c r="RUN36" s="14"/>
      <c r="RUO36" s="14"/>
      <c r="RUP36" s="14"/>
      <c r="RUQ36" s="14"/>
      <c r="RUR36" s="14"/>
      <c r="RUS36" s="14"/>
      <c r="RUT36" s="14"/>
      <c r="RUU36" s="14"/>
      <c r="RUV36" s="14"/>
      <c r="RUW36" s="14"/>
      <c r="RUX36" s="14"/>
      <c r="RUY36" s="14"/>
      <c r="RUZ36" s="14"/>
      <c r="RVA36" s="14"/>
      <c r="RVB36" s="14"/>
      <c r="RVC36" s="14"/>
      <c r="RVD36" s="14"/>
      <c r="RVE36" s="14"/>
      <c r="RVF36" s="14"/>
      <c r="RVG36" s="14"/>
      <c r="RVH36" s="14"/>
      <c r="RVI36" s="14"/>
      <c r="RVJ36" s="14"/>
      <c r="RVK36" s="14"/>
      <c r="RVL36" s="14"/>
      <c r="RVM36" s="14"/>
      <c r="RVN36" s="14"/>
      <c r="RVO36" s="14"/>
      <c r="RVP36" s="14"/>
      <c r="RVQ36" s="14"/>
      <c r="RVR36" s="14"/>
      <c r="RVS36" s="14"/>
      <c r="RVT36" s="14"/>
      <c r="RVU36" s="14"/>
      <c r="RVV36" s="14"/>
      <c r="RVW36" s="14"/>
      <c r="RVX36" s="14"/>
      <c r="RVY36" s="14"/>
      <c r="RVZ36" s="14"/>
      <c r="RWA36" s="14"/>
      <c r="RWB36" s="14"/>
      <c r="RWC36" s="14"/>
      <c r="RWD36" s="14"/>
      <c r="RWE36" s="14"/>
      <c r="RWF36" s="14"/>
      <c r="RWG36" s="14"/>
      <c r="RWH36" s="14"/>
      <c r="RWI36" s="14"/>
      <c r="RWJ36" s="14"/>
      <c r="RWK36" s="14"/>
      <c r="RWL36" s="14"/>
      <c r="RWM36" s="14"/>
      <c r="RWN36" s="14"/>
      <c r="RWO36" s="14"/>
      <c r="RWP36" s="14"/>
      <c r="RWQ36" s="14"/>
      <c r="RWR36" s="14"/>
      <c r="RWS36" s="14"/>
      <c r="RWT36" s="14"/>
      <c r="RWU36" s="14"/>
      <c r="RWV36" s="14"/>
      <c r="RWW36" s="14"/>
      <c r="RWX36" s="14"/>
      <c r="RWY36" s="14"/>
      <c r="RWZ36" s="14"/>
      <c r="RXA36" s="14"/>
      <c r="RXB36" s="14"/>
      <c r="RXC36" s="14"/>
      <c r="RXD36" s="14"/>
      <c r="RXE36" s="14"/>
      <c r="RXF36" s="14"/>
      <c r="RXG36" s="14"/>
      <c r="RXH36" s="14"/>
      <c r="RXI36" s="14"/>
      <c r="RXJ36" s="14"/>
      <c r="RXK36" s="14"/>
      <c r="RXL36" s="14"/>
      <c r="RXM36" s="14"/>
      <c r="RXN36" s="14"/>
      <c r="RXO36" s="14"/>
      <c r="RXP36" s="14"/>
      <c r="RXQ36" s="14"/>
      <c r="RXR36" s="14"/>
      <c r="RXS36" s="14"/>
      <c r="RXT36" s="14"/>
      <c r="RXU36" s="14"/>
      <c r="RXV36" s="14"/>
      <c r="RXW36" s="14"/>
      <c r="RXX36" s="14"/>
      <c r="RXY36" s="14"/>
      <c r="RXZ36" s="14"/>
      <c r="RYA36" s="14"/>
      <c r="RYB36" s="14"/>
      <c r="RYC36" s="14"/>
      <c r="RYD36" s="14"/>
      <c r="RYE36" s="14"/>
      <c r="RYF36" s="14"/>
      <c r="RYG36" s="14"/>
      <c r="RYH36" s="14"/>
      <c r="RYI36" s="14"/>
      <c r="RYJ36" s="14"/>
      <c r="RYK36" s="14"/>
      <c r="RYL36" s="14"/>
      <c r="RYM36" s="14"/>
      <c r="RYN36" s="14"/>
      <c r="RYO36" s="14"/>
      <c r="RYP36" s="14"/>
      <c r="RYQ36" s="14"/>
      <c r="RYR36" s="14"/>
      <c r="RYS36" s="14"/>
      <c r="RYT36" s="14"/>
      <c r="RYU36" s="14"/>
      <c r="RYV36" s="14"/>
      <c r="RYW36" s="14"/>
      <c r="RYX36" s="14"/>
      <c r="RYY36" s="14"/>
      <c r="RYZ36" s="14"/>
      <c r="RZA36" s="14"/>
      <c r="RZB36" s="14"/>
      <c r="RZC36" s="14"/>
      <c r="RZD36" s="14"/>
      <c r="RZE36" s="14"/>
      <c r="RZF36" s="14"/>
      <c r="RZG36" s="14"/>
      <c r="RZH36" s="14"/>
      <c r="RZI36" s="14"/>
      <c r="RZJ36" s="14"/>
      <c r="RZK36" s="14"/>
      <c r="RZL36" s="14"/>
      <c r="RZM36" s="14"/>
      <c r="RZN36" s="14"/>
      <c r="RZO36" s="14"/>
      <c r="RZP36" s="14"/>
      <c r="RZQ36" s="14"/>
      <c r="RZR36" s="14"/>
      <c r="RZS36" s="14"/>
      <c r="RZT36" s="14"/>
      <c r="RZU36" s="14"/>
      <c r="RZV36" s="14"/>
      <c r="RZW36" s="14"/>
      <c r="RZX36" s="14"/>
      <c r="RZY36" s="14"/>
      <c r="RZZ36" s="14"/>
      <c r="SAA36" s="14"/>
      <c r="SAB36" s="14"/>
      <c r="SAC36" s="14"/>
      <c r="SAD36" s="14"/>
      <c r="SAE36" s="14"/>
      <c r="SAF36" s="14"/>
      <c r="SAG36" s="14"/>
      <c r="SAH36" s="14"/>
      <c r="SAI36" s="14"/>
      <c r="SAJ36" s="14"/>
      <c r="SAK36" s="14"/>
      <c r="SAL36" s="14"/>
      <c r="SAM36" s="14"/>
      <c r="SAN36" s="14"/>
      <c r="SAO36" s="14"/>
      <c r="SAP36" s="14"/>
      <c r="SAQ36" s="14"/>
      <c r="SAR36" s="14"/>
      <c r="SAS36" s="14"/>
      <c r="SAT36" s="14"/>
      <c r="SAU36" s="14"/>
      <c r="SAV36" s="14"/>
      <c r="SAW36" s="14"/>
      <c r="SAX36" s="14"/>
      <c r="SAY36" s="14"/>
      <c r="SAZ36" s="14"/>
      <c r="SBA36" s="14"/>
      <c r="SBB36" s="14"/>
      <c r="SBC36" s="14"/>
      <c r="SBD36" s="14"/>
      <c r="SBE36" s="14"/>
      <c r="SBF36" s="14"/>
      <c r="SBG36" s="14"/>
      <c r="SBH36" s="14"/>
      <c r="SBI36" s="14"/>
      <c r="SBJ36" s="14"/>
      <c r="SBK36" s="14"/>
      <c r="SBL36" s="14"/>
      <c r="SBM36" s="14"/>
      <c r="SBN36" s="14"/>
      <c r="SBO36" s="14"/>
      <c r="SBP36" s="14"/>
      <c r="SBQ36" s="14"/>
      <c r="SBR36" s="14"/>
      <c r="SBS36" s="14"/>
      <c r="SBT36" s="14"/>
      <c r="SBU36" s="14"/>
      <c r="SBV36" s="14"/>
      <c r="SBW36" s="14"/>
      <c r="SBX36" s="14"/>
      <c r="SBY36" s="14"/>
      <c r="SBZ36" s="14"/>
      <c r="SCA36" s="14"/>
      <c r="SCB36" s="14"/>
      <c r="SCC36" s="14"/>
      <c r="SCD36" s="14"/>
      <c r="SCE36" s="14"/>
      <c r="SCF36" s="14"/>
      <c r="SCG36" s="14"/>
      <c r="SCH36" s="14"/>
      <c r="SCI36" s="14"/>
      <c r="SCJ36" s="14"/>
      <c r="SCK36" s="14"/>
      <c r="SCL36" s="14"/>
      <c r="SCM36" s="14"/>
      <c r="SCN36" s="14"/>
      <c r="SCO36" s="14"/>
      <c r="SCP36" s="14"/>
      <c r="SCQ36" s="14"/>
      <c r="SCR36" s="14"/>
      <c r="SCS36" s="14"/>
      <c r="SCT36" s="14"/>
      <c r="SCU36" s="14"/>
      <c r="SCV36" s="14"/>
      <c r="SCW36" s="14"/>
      <c r="SCX36" s="14"/>
      <c r="SCY36" s="14"/>
      <c r="SCZ36" s="14"/>
      <c r="SDA36" s="14"/>
      <c r="SDB36" s="14"/>
      <c r="SDC36" s="14"/>
      <c r="SDD36" s="14"/>
      <c r="SDE36" s="14"/>
      <c r="SDF36" s="14"/>
      <c r="SDG36" s="14"/>
      <c r="SDH36" s="14"/>
      <c r="SDI36" s="14"/>
      <c r="SDJ36" s="14"/>
      <c r="SDK36" s="14"/>
      <c r="SDL36" s="14"/>
      <c r="SDM36" s="14"/>
      <c r="SDN36" s="14"/>
      <c r="SDO36" s="14"/>
      <c r="SDP36" s="14"/>
      <c r="SDQ36" s="14"/>
      <c r="SDR36" s="14"/>
      <c r="SDS36" s="14"/>
      <c r="SDT36" s="14"/>
      <c r="SDU36" s="14"/>
      <c r="SDV36" s="14"/>
      <c r="SDW36" s="14"/>
      <c r="SDX36" s="14"/>
      <c r="SDY36" s="14"/>
      <c r="SDZ36" s="14"/>
      <c r="SEA36" s="14"/>
      <c r="SEB36" s="14"/>
      <c r="SEC36" s="14"/>
      <c r="SED36" s="14"/>
      <c r="SEE36" s="14"/>
      <c r="SEF36" s="14"/>
      <c r="SEG36" s="14"/>
      <c r="SEH36" s="14"/>
      <c r="SEI36" s="14"/>
      <c r="SEJ36" s="14"/>
      <c r="SEK36" s="14"/>
      <c r="SEL36" s="14"/>
      <c r="SEM36" s="14"/>
      <c r="SEN36" s="14"/>
      <c r="SEO36" s="14"/>
      <c r="SEP36" s="14"/>
      <c r="SEQ36" s="14"/>
      <c r="SER36" s="14"/>
      <c r="SES36" s="14"/>
      <c r="SET36" s="14"/>
      <c r="SEU36" s="14"/>
      <c r="SEV36" s="14"/>
      <c r="SEW36" s="14"/>
      <c r="SEX36" s="14"/>
      <c r="SEY36" s="14"/>
      <c r="SEZ36" s="14"/>
      <c r="SFA36" s="14"/>
      <c r="SFB36" s="14"/>
      <c r="SFC36" s="14"/>
      <c r="SFD36" s="14"/>
      <c r="SFE36" s="14"/>
      <c r="SFF36" s="14"/>
      <c r="SFG36" s="14"/>
      <c r="SFH36" s="14"/>
      <c r="SFI36" s="14"/>
      <c r="SFJ36" s="14"/>
      <c r="SFK36" s="14"/>
      <c r="SFL36" s="14"/>
      <c r="SFM36" s="14"/>
      <c r="SFN36" s="14"/>
      <c r="SFO36" s="14"/>
      <c r="SFP36" s="14"/>
      <c r="SFQ36" s="14"/>
      <c r="SFR36" s="14"/>
      <c r="SFS36" s="14"/>
      <c r="SFT36" s="14"/>
      <c r="SFU36" s="14"/>
      <c r="SFV36" s="14"/>
      <c r="SFW36" s="14"/>
      <c r="SFX36" s="14"/>
      <c r="SFY36" s="14"/>
      <c r="SFZ36" s="14"/>
      <c r="SGA36" s="14"/>
      <c r="SGB36" s="14"/>
      <c r="SGC36" s="14"/>
      <c r="SGD36" s="14"/>
      <c r="SGE36" s="14"/>
      <c r="SGF36" s="14"/>
      <c r="SGG36" s="14"/>
      <c r="SGH36" s="14"/>
      <c r="SGI36" s="14"/>
      <c r="SGJ36" s="14"/>
      <c r="SGK36" s="14"/>
      <c r="SGL36" s="14"/>
      <c r="SGM36" s="14"/>
      <c r="SGN36" s="14"/>
      <c r="SGO36" s="14"/>
      <c r="SGP36" s="14"/>
      <c r="SGQ36" s="14"/>
      <c r="SGR36" s="14"/>
      <c r="SGS36" s="14"/>
      <c r="SGT36" s="14"/>
      <c r="SGU36" s="14"/>
      <c r="SGV36" s="14"/>
      <c r="SGW36" s="14"/>
      <c r="SGX36" s="14"/>
      <c r="SGY36" s="14"/>
      <c r="SGZ36" s="14"/>
      <c r="SHA36" s="14"/>
      <c r="SHB36" s="14"/>
      <c r="SHC36" s="14"/>
      <c r="SHD36" s="14"/>
      <c r="SHE36" s="14"/>
      <c r="SHF36" s="14"/>
      <c r="SHG36" s="14"/>
      <c r="SHH36" s="14"/>
      <c r="SHI36" s="14"/>
      <c r="SHJ36" s="14"/>
      <c r="SHK36" s="14"/>
      <c r="SHL36" s="14"/>
      <c r="SHM36" s="14"/>
      <c r="SHN36" s="14"/>
      <c r="SHO36" s="14"/>
      <c r="SHP36" s="14"/>
      <c r="SHQ36" s="14"/>
      <c r="SHR36" s="14"/>
      <c r="SHS36" s="14"/>
      <c r="SHT36" s="14"/>
      <c r="SHU36" s="14"/>
      <c r="SHV36" s="14"/>
      <c r="SHW36" s="14"/>
      <c r="SHX36" s="14"/>
      <c r="SHY36" s="14"/>
      <c r="SHZ36" s="14"/>
      <c r="SIA36" s="14"/>
      <c r="SIB36" s="14"/>
      <c r="SIC36" s="14"/>
      <c r="SID36" s="14"/>
      <c r="SIE36" s="14"/>
      <c r="SIF36" s="14"/>
      <c r="SIG36" s="14"/>
      <c r="SIH36" s="14"/>
      <c r="SII36" s="14"/>
      <c r="SIJ36" s="14"/>
      <c r="SIK36" s="14"/>
      <c r="SIL36" s="14"/>
      <c r="SIM36" s="14"/>
      <c r="SIN36" s="14"/>
      <c r="SIO36" s="14"/>
      <c r="SIP36" s="14"/>
      <c r="SIQ36" s="14"/>
      <c r="SIR36" s="14"/>
      <c r="SIS36" s="14"/>
      <c r="SIT36" s="14"/>
      <c r="SIU36" s="14"/>
      <c r="SIV36" s="14"/>
      <c r="SIW36" s="14"/>
      <c r="SIX36" s="14"/>
      <c r="SIY36" s="14"/>
      <c r="SIZ36" s="14"/>
      <c r="SJA36" s="14"/>
      <c r="SJB36" s="14"/>
      <c r="SJC36" s="14"/>
      <c r="SJD36" s="14"/>
      <c r="SJE36" s="14"/>
      <c r="SJF36" s="14"/>
      <c r="SJG36" s="14"/>
      <c r="SJH36" s="14"/>
      <c r="SJI36" s="14"/>
      <c r="SJJ36" s="14"/>
      <c r="SJK36" s="14"/>
      <c r="SJL36" s="14"/>
      <c r="SJM36" s="14"/>
      <c r="SJN36" s="14"/>
      <c r="SJO36" s="14"/>
      <c r="SJP36" s="14"/>
      <c r="SJQ36" s="14"/>
      <c r="SJR36" s="14"/>
      <c r="SJS36" s="14"/>
      <c r="SJT36" s="14"/>
      <c r="SJU36" s="14"/>
      <c r="SJV36" s="14"/>
      <c r="SJW36" s="14"/>
      <c r="SJX36" s="14"/>
      <c r="SJY36" s="14"/>
      <c r="SJZ36" s="14"/>
      <c r="SKA36" s="14"/>
      <c r="SKB36" s="14"/>
      <c r="SKC36" s="14"/>
      <c r="SKD36" s="14"/>
      <c r="SKE36" s="14"/>
      <c r="SKF36" s="14"/>
      <c r="SKG36" s="14"/>
      <c r="SKH36" s="14"/>
      <c r="SKI36" s="14"/>
      <c r="SKJ36" s="14"/>
      <c r="SKK36" s="14"/>
      <c r="SKL36" s="14"/>
      <c r="SKM36" s="14"/>
      <c r="SKN36" s="14"/>
      <c r="SKO36" s="14"/>
      <c r="SKP36" s="14"/>
      <c r="SKQ36" s="14"/>
      <c r="SKR36" s="14"/>
      <c r="SKS36" s="14"/>
      <c r="SKT36" s="14"/>
      <c r="SKU36" s="14"/>
      <c r="SKV36" s="14"/>
      <c r="SKW36" s="14"/>
      <c r="SKX36" s="14"/>
      <c r="SKY36" s="14"/>
      <c r="SKZ36" s="14"/>
      <c r="SLA36" s="14"/>
      <c r="SLB36" s="14"/>
      <c r="SLC36" s="14"/>
      <c r="SLD36" s="14"/>
      <c r="SLE36" s="14"/>
      <c r="SLF36" s="14"/>
      <c r="SLG36" s="14"/>
      <c r="SLH36" s="14"/>
      <c r="SLI36" s="14"/>
      <c r="SLJ36" s="14"/>
      <c r="SLK36" s="14"/>
      <c r="SLL36" s="14"/>
      <c r="SLM36" s="14"/>
      <c r="SLN36" s="14"/>
      <c r="SLO36" s="14"/>
      <c r="SLP36" s="14"/>
      <c r="SLQ36" s="14"/>
      <c r="SLR36" s="14"/>
      <c r="SLS36" s="14"/>
      <c r="SLT36" s="14"/>
      <c r="SLU36" s="14"/>
      <c r="SLV36" s="14"/>
      <c r="SLW36" s="14"/>
      <c r="SLX36" s="14"/>
      <c r="SLY36" s="14"/>
      <c r="SLZ36" s="14"/>
      <c r="SMA36" s="14"/>
      <c r="SMB36" s="14"/>
      <c r="SMC36" s="14"/>
      <c r="SMD36" s="14"/>
      <c r="SME36" s="14"/>
      <c r="SMF36" s="14"/>
      <c r="SMG36" s="14"/>
      <c r="SMH36" s="14"/>
      <c r="SMI36" s="14"/>
      <c r="SMJ36" s="14"/>
      <c r="SMK36" s="14"/>
      <c r="SML36" s="14"/>
      <c r="SMM36" s="14"/>
      <c r="SMN36" s="14"/>
      <c r="SMO36" s="14"/>
      <c r="SMP36" s="14"/>
      <c r="SMQ36" s="14"/>
      <c r="SMR36" s="14"/>
      <c r="SMS36" s="14"/>
      <c r="SMT36" s="14"/>
      <c r="SMU36" s="14"/>
      <c r="SMV36" s="14"/>
      <c r="SMW36" s="14"/>
      <c r="SMX36" s="14"/>
      <c r="SMY36" s="14"/>
      <c r="SMZ36" s="14"/>
      <c r="SNA36" s="14"/>
      <c r="SNB36" s="14"/>
      <c r="SNC36" s="14"/>
      <c r="SND36" s="14"/>
      <c r="SNE36" s="14"/>
      <c r="SNF36" s="14"/>
      <c r="SNG36" s="14"/>
      <c r="SNH36" s="14"/>
      <c r="SNI36" s="14"/>
      <c r="SNJ36" s="14"/>
      <c r="SNK36" s="14"/>
      <c r="SNL36" s="14"/>
      <c r="SNM36" s="14"/>
      <c r="SNN36" s="14"/>
      <c r="SNO36" s="14"/>
      <c r="SNP36" s="14"/>
      <c r="SNQ36" s="14"/>
      <c r="SNR36" s="14"/>
      <c r="SNS36" s="14"/>
      <c r="SNT36" s="14"/>
      <c r="SNU36" s="14"/>
      <c r="SNV36" s="14"/>
      <c r="SNW36" s="14"/>
      <c r="SNX36" s="14"/>
      <c r="SNY36" s="14"/>
      <c r="SNZ36" s="14"/>
      <c r="SOA36" s="14"/>
      <c r="SOB36" s="14"/>
      <c r="SOC36" s="14"/>
      <c r="SOD36" s="14"/>
      <c r="SOE36" s="14"/>
      <c r="SOF36" s="14"/>
      <c r="SOG36" s="14"/>
      <c r="SOH36" s="14"/>
      <c r="SOI36" s="14"/>
      <c r="SOJ36" s="14"/>
      <c r="SOK36" s="14"/>
      <c r="SOL36" s="14"/>
      <c r="SOM36" s="14"/>
      <c r="SON36" s="14"/>
      <c r="SOO36" s="14"/>
      <c r="SOP36" s="14"/>
      <c r="SOQ36" s="14"/>
      <c r="SOR36" s="14"/>
      <c r="SOS36" s="14"/>
      <c r="SOT36" s="14"/>
      <c r="SOU36" s="14"/>
      <c r="SOV36" s="14"/>
      <c r="SOW36" s="14"/>
      <c r="SOX36" s="14"/>
      <c r="SOY36" s="14"/>
      <c r="SOZ36" s="14"/>
      <c r="SPA36" s="14"/>
      <c r="SPB36" s="14"/>
      <c r="SPC36" s="14"/>
      <c r="SPD36" s="14"/>
      <c r="SPE36" s="14"/>
      <c r="SPF36" s="14"/>
      <c r="SPG36" s="14"/>
      <c r="SPH36" s="14"/>
      <c r="SPI36" s="14"/>
      <c r="SPJ36" s="14"/>
      <c r="SPK36" s="14"/>
      <c r="SPL36" s="14"/>
      <c r="SPM36" s="14"/>
      <c r="SPN36" s="14"/>
      <c r="SPO36" s="14"/>
      <c r="SPP36" s="14"/>
      <c r="SPQ36" s="14"/>
      <c r="SPR36" s="14"/>
      <c r="SPS36" s="14"/>
      <c r="SPT36" s="14"/>
      <c r="SPU36" s="14"/>
      <c r="SPV36" s="14"/>
      <c r="SPW36" s="14"/>
      <c r="SPX36" s="14"/>
      <c r="SPY36" s="14"/>
      <c r="SPZ36" s="14"/>
      <c r="SQA36" s="14"/>
      <c r="SQB36" s="14"/>
      <c r="SQC36" s="14"/>
      <c r="SQD36" s="14"/>
      <c r="SQE36" s="14"/>
      <c r="SQF36" s="14"/>
      <c r="SQG36" s="14"/>
      <c r="SQH36" s="14"/>
      <c r="SQI36" s="14"/>
      <c r="SQJ36" s="14"/>
      <c r="SQK36" s="14"/>
      <c r="SQL36" s="14"/>
      <c r="SQM36" s="14"/>
      <c r="SQN36" s="14"/>
      <c r="SQO36" s="14"/>
      <c r="SQP36" s="14"/>
      <c r="SQQ36" s="14"/>
      <c r="SQR36" s="14"/>
      <c r="SQS36" s="14"/>
      <c r="SQT36" s="14"/>
      <c r="SQU36" s="14"/>
      <c r="SQV36" s="14"/>
      <c r="SQW36" s="14"/>
      <c r="SQX36" s="14"/>
      <c r="SQY36" s="14"/>
      <c r="SQZ36" s="14"/>
      <c r="SRA36" s="14"/>
      <c r="SRB36" s="14"/>
      <c r="SRC36" s="14"/>
      <c r="SRD36" s="14"/>
      <c r="SRE36" s="14"/>
      <c r="SRF36" s="14"/>
      <c r="SRG36" s="14"/>
      <c r="SRH36" s="14"/>
      <c r="SRI36" s="14"/>
      <c r="SRJ36" s="14"/>
      <c r="SRK36" s="14"/>
      <c r="SRL36" s="14"/>
      <c r="SRM36" s="14"/>
      <c r="SRN36" s="14"/>
      <c r="SRO36" s="14"/>
      <c r="SRP36" s="14"/>
      <c r="SRQ36" s="14"/>
      <c r="SRR36" s="14"/>
      <c r="SRS36" s="14"/>
      <c r="SRT36" s="14"/>
      <c r="SRU36" s="14"/>
      <c r="SRV36" s="14"/>
      <c r="SRW36" s="14"/>
      <c r="SRX36" s="14"/>
      <c r="SRY36" s="14"/>
      <c r="SRZ36" s="14"/>
      <c r="SSA36" s="14"/>
      <c r="SSB36" s="14"/>
      <c r="SSC36" s="14"/>
      <c r="SSD36" s="14"/>
      <c r="SSE36" s="14"/>
      <c r="SSF36" s="14"/>
      <c r="SSG36" s="14"/>
      <c r="SSH36" s="14"/>
      <c r="SSI36" s="14"/>
      <c r="SSJ36" s="14"/>
      <c r="SSK36" s="14"/>
      <c r="SSL36" s="14"/>
      <c r="SSM36" s="14"/>
      <c r="SSN36" s="14"/>
      <c r="SSO36" s="14"/>
      <c r="SSP36" s="14"/>
      <c r="SSQ36" s="14"/>
      <c r="SSR36" s="14"/>
      <c r="SSS36" s="14"/>
      <c r="SST36" s="14"/>
      <c r="SSU36" s="14"/>
      <c r="SSV36" s="14"/>
      <c r="SSW36" s="14"/>
      <c r="SSX36" s="14"/>
      <c r="SSY36" s="14"/>
      <c r="SSZ36" s="14"/>
      <c r="STA36" s="14"/>
      <c r="STB36" s="14"/>
      <c r="STC36" s="14"/>
      <c r="STD36" s="14"/>
      <c r="STE36" s="14"/>
      <c r="STF36" s="14"/>
      <c r="STG36" s="14"/>
      <c r="STH36" s="14"/>
      <c r="STI36" s="14"/>
      <c r="STJ36" s="14"/>
      <c r="STK36" s="14"/>
      <c r="STL36" s="14"/>
      <c r="STM36" s="14"/>
      <c r="STN36" s="14"/>
      <c r="STO36" s="14"/>
      <c r="STP36" s="14"/>
      <c r="STQ36" s="14"/>
      <c r="STR36" s="14"/>
      <c r="STS36" s="14"/>
      <c r="STT36" s="14"/>
      <c r="STU36" s="14"/>
      <c r="STV36" s="14"/>
      <c r="STW36" s="14"/>
      <c r="STX36" s="14"/>
      <c r="STY36" s="14"/>
      <c r="STZ36" s="14"/>
      <c r="SUA36" s="14"/>
      <c r="SUB36" s="14"/>
      <c r="SUC36" s="14"/>
      <c r="SUD36" s="14"/>
      <c r="SUE36" s="14"/>
      <c r="SUF36" s="14"/>
      <c r="SUG36" s="14"/>
      <c r="SUH36" s="14"/>
      <c r="SUI36" s="14"/>
      <c r="SUJ36" s="14"/>
      <c r="SUK36" s="14"/>
      <c r="SUL36" s="14"/>
      <c r="SUM36" s="14"/>
      <c r="SUN36" s="14"/>
      <c r="SUO36" s="14"/>
      <c r="SUP36" s="14"/>
      <c r="SUQ36" s="14"/>
      <c r="SUR36" s="14"/>
      <c r="SUS36" s="14"/>
      <c r="SUT36" s="14"/>
      <c r="SUU36" s="14"/>
      <c r="SUV36" s="14"/>
      <c r="SUW36" s="14"/>
      <c r="SUX36" s="14"/>
      <c r="SUY36" s="14"/>
      <c r="SUZ36" s="14"/>
      <c r="SVA36" s="14"/>
      <c r="SVB36" s="14"/>
      <c r="SVC36" s="14"/>
      <c r="SVD36" s="14"/>
      <c r="SVE36" s="14"/>
      <c r="SVF36" s="14"/>
      <c r="SVG36" s="14"/>
      <c r="SVH36" s="14"/>
      <c r="SVI36" s="14"/>
      <c r="SVJ36" s="14"/>
      <c r="SVK36" s="14"/>
      <c r="SVL36" s="14"/>
      <c r="SVM36" s="14"/>
      <c r="SVN36" s="14"/>
      <c r="SVO36" s="14"/>
      <c r="SVP36" s="14"/>
      <c r="SVQ36" s="14"/>
      <c r="SVR36" s="14"/>
      <c r="SVS36" s="14"/>
      <c r="SVT36" s="14"/>
      <c r="SVU36" s="14"/>
      <c r="SVV36" s="14"/>
      <c r="SVW36" s="14"/>
      <c r="SVX36" s="14"/>
      <c r="SVY36" s="14"/>
      <c r="SVZ36" s="14"/>
      <c r="SWA36" s="14"/>
      <c r="SWB36" s="14"/>
      <c r="SWC36" s="14"/>
      <c r="SWD36" s="14"/>
      <c r="SWE36" s="14"/>
      <c r="SWF36" s="14"/>
      <c r="SWG36" s="14"/>
      <c r="SWH36" s="14"/>
      <c r="SWI36" s="14"/>
      <c r="SWJ36" s="14"/>
      <c r="SWK36" s="14"/>
      <c r="SWL36" s="14"/>
      <c r="SWM36" s="14"/>
      <c r="SWN36" s="14"/>
      <c r="SWO36" s="14"/>
      <c r="SWP36" s="14"/>
      <c r="SWQ36" s="14"/>
      <c r="SWR36" s="14"/>
      <c r="SWS36" s="14"/>
      <c r="SWT36" s="14"/>
      <c r="SWU36" s="14"/>
      <c r="SWV36" s="14"/>
      <c r="SWW36" s="14"/>
      <c r="SWX36" s="14"/>
      <c r="SWY36" s="14"/>
      <c r="SWZ36" s="14"/>
      <c r="SXA36" s="14"/>
      <c r="SXB36" s="14"/>
      <c r="SXC36" s="14"/>
      <c r="SXD36" s="14"/>
      <c r="SXE36" s="14"/>
      <c r="SXF36" s="14"/>
      <c r="SXG36" s="14"/>
      <c r="SXH36" s="14"/>
      <c r="SXI36" s="14"/>
      <c r="SXJ36" s="14"/>
      <c r="SXK36" s="14"/>
      <c r="SXL36" s="14"/>
      <c r="SXM36" s="14"/>
      <c r="SXN36" s="14"/>
      <c r="SXO36" s="14"/>
      <c r="SXP36" s="14"/>
      <c r="SXQ36" s="14"/>
      <c r="SXR36" s="14"/>
      <c r="SXS36" s="14"/>
      <c r="SXT36" s="14"/>
      <c r="SXU36" s="14"/>
      <c r="SXV36" s="14"/>
      <c r="SXW36" s="14"/>
      <c r="SXX36" s="14"/>
      <c r="SXY36" s="14"/>
      <c r="SXZ36" s="14"/>
      <c r="SYA36" s="14"/>
      <c r="SYB36" s="14"/>
      <c r="SYC36" s="14"/>
      <c r="SYD36" s="14"/>
      <c r="SYE36" s="14"/>
      <c r="SYF36" s="14"/>
      <c r="SYG36" s="14"/>
      <c r="SYH36" s="14"/>
      <c r="SYI36" s="14"/>
      <c r="SYJ36" s="14"/>
      <c r="SYK36" s="14"/>
      <c r="SYL36" s="14"/>
      <c r="SYM36" s="14"/>
      <c r="SYN36" s="14"/>
      <c r="SYO36" s="14"/>
      <c r="SYP36" s="14"/>
      <c r="SYQ36" s="14"/>
      <c r="SYR36" s="14"/>
      <c r="SYS36" s="14"/>
      <c r="SYT36" s="14"/>
      <c r="SYU36" s="14"/>
      <c r="SYV36" s="14"/>
      <c r="SYW36" s="14"/>
      <c r="SYX36" s="14"/>
      <c r="SYY36" s="14"/>
      <c r="SYZ36" s="14"/>
      <c r="SZA36" s="14"/>
      <c r="SZB36" s="14"/>
      <c r="SZC36" s="14"/>
      <c r="SZD36" s="14"/>
      <c r="SZE36" s="14"/>
      <c r="SZF36" s="14"/>
      <c r="SZG36" s="14"/>
      <c r="SZH36" s="14"/>
      <c r="SZI36" s="14"/>
      <c r="SZJ36" s="14"/>
      <c r="SZK36" s="14"/>
      <c r="SZL36" s="14"/>
      <c r="SZM36" s="14"/>
      <c r="SZN36" s="14"/>
      <c r="SZO36" s="14"/>
      <c r="SZP36" s="14"/>
      <c r="SZQ36" s="14"/>
      <c r="SZR36" s="14"/>
      <c r="SZS36" s="14"/>
      <c r="SZT36" s="14"/>
      <c r="SZU36" s="14"/>
      <c r="SZV36" s="14"/>
      <c r="SZW36" s="14"/>
      <c r="SZX36" s="14"/>
      <c r="SZY36" s="14"/>
      <c r="SZZ36" s="14"/>
      <c r="TAA36" s="14"/>
      <c r="TAB36" s="14"/>
      <c r="TAC36" s="14"/>
      <c r="TAD36" s="14"/>
      <c r="TAE36" s="14"/>
      <c r="TAF36" s="14"/>
      <c r="TAG36" s="14"/>
      <c r="TAH36" s="14"/>
      <c r="TAI36" s="14"/>
      <c r="TAJ36" s="14"/>
      <c r="TAK36" s="14"/>
      <c r="TAL36" s="14"/>
      <c r="TAM36" s="14"/>
      <c r="TAN36" s="14"/>
      <c r="TAO36" s="14"/>
      <c r="TAP36" s="14"/>
      <c r="TAQ36" s="14"/>
      <c r="TAR36" s="14"/>
      <c r="TAS36" s="14"/>
      <c r="TAT36" s="14"/>
      <c r="TAU36" s="14"/>
      <c r="TAV36" s="14"/>
      <c r="TAW36" s="14"/>
      <c r="TAX36" s="14"/>
      <c r="TAY36" s="14"/>
      <c r="TAZ36" s="14"/>
      <c r="TBA36" s="14"/>
      <c r="TBB36" s="14"/>
      <c r="TBC36" s="14"/>
      <c r="TBD36" s="14"/>
      <c r="TBE36" s="14"/>
      <c r="TBF36" s="14"/>
      <c r="TBG36" s="14"/>
      <c r="TBH36" s="14"/>
      <c r="TBI36" s="14"/>
      <c r="TBJ36" s="14"/>
      <c r="TBK36" s="14"/>
      <c r="TBL36" s="14"/>
      <c r="TBM36" s="14"/>
      <c r="TBN36" s="14"/>
      <c r="TBO36" s="14"/>
      <c r="TBP36" s="14"/>
      <c r="TBQ36" s="14"/>
      <c r="TBR36" s="14"/>
      <c r="TBS36" s="14"/>
      <c r="TBT36" s="14"/>
      <c r="TBU36" s="14"/>
      <c r="TBV36" s="14"/>
      <c r="TBW36" s="14"/>
      <c r="TBX36" s="14"/>
      <c r="TBY36" s="14"/>
      <c r="TBZ36" s="14"/>
      <c r="TCA36" s="14"/>
      <c r="TCB36" s="14"/>
      <c r="TCC36" s="14"/>
      <c r="TCD36" s="14"/>
      <c r="TCE36" s="14"/>
      <c r="TCF36" s="14"/>
      <c r="TCG36" s="14"/>
      <c r="TCH36" s="14"/>
      <c r="TCI36" s="14"/>
      <c r="TCJ36" s="14"/>
      <c r="TCK36" s="14"/>
      <c r="TCL36" s="14"/>
      <c r="TCM36" s="14"/>
      <c r="TCN36" s="14"/>
      <c r="TCO36" s="14"/>
      <c r="TCP36" s="14"/>
      <c r="TCQ36" s="14"/>
      <c r="TCR36" s="14"/>
      <c r="TCS36" s="14"/>
      <c r="TCT36" s="14"/>
      <c r="TCU36" s="14"/>
      <c r="TCV36" s="14"/>
      <c r="TCW36" s="14"/>
      <c r="TCX36" s="14"/>
      <c r="TCY36" s="14"/>
      <c r="TCZ36" s="14"/>
      <c r="TDA36" s="14"/>
      <c r="TDB36" s="14"/>
      <c r="TDC36" s="14"/>
      <c r="TDD36" s="14"/>
      <c r="TDE36" s="14"/>
      <c r="TDF36" s="14"/>
      <c r="TDG36" s="14"/>
      <c r="TDH36" s="14"/>
      <c r="TDI36" s="14"/>
      <c r="TDJ36" s="14"/>
      <c r="TDK36" s="14"/>
      <c r="TDL36" s="14"/>
      <c r="TDM36" s="14"/>
      <c r="TDN36" s="14"/>
      <c r="TDO36" s="14"/>
      <c r="TDP36" s="14"/>
      <c r="TDQ36" s="14"/>
      <c r="TDR36" s="14"/>
      <c r="TDS36" s="14"/>
      <c r="TDT36" s="14"/>
      <c r="TDU36" s="14"/>
      <c r="TDV36" s="14"/>
      <c r="TDW36" s="14"/>
      <c r="TDX36" s="14"/>
      <c r="TDY36" s="14"/>
      <c r="TDZ36" s="14"/>
      <c r="TEA36" s="14"/>
      <c r="TEB36" s="14"/>
      <c r="TEC36" s="14"/>
      <c r="TED36" s="14"/>
      <c r="TEE36" s="14"/>
      <c r="TEF36" s="14"/>
      <c r="TEG36" s="14"/>
      <c r="TEH36" s="14"/>
      <c r="TEI36" s="14"/>
      <c r="TEJ36" s="14"/>
      <c r="TEK36" s="14"/>
      <c r="TEL36" s="14"/>
      <c r="TEM36" s="14"/>
      <c r="TEN36" s="14"/>
      <c r="TEO36" s="14"/>
      <c r="TEP36" s="14"/>
      <c r="TEQ36" s="14"/>
      <c r="TER36" s="14"/>
      <c r="TES36" s="14"/>
      <c r="TET36" s="14"/>
      <c r="TEU36" s="14"/>
      <c r="TEV36" s="14"/>
      <c r="TEW36" s="14"/>
      <c r="TEX36" s="14"/>
      <c r="TEY36" s="14"/>
      <c r="TEZ36" s="14"/>
      <c r="TFA36" s="14"/>
      <c r="TFB36" s="14"/>
      <c r="TFC36" s="14"/>
      <c r="TFD36" s="14"/>
      <c r="TFE36" s="14"/>
      <c r="TFF36" s="14"/>
      <c r="TFG36" s="14"/>
      <c r="TFH36" s="14"/>
      <c r="TFI36" s="14"/>
      <c r="TFJ36" s="14"/>
      <c r="TFK36" s="14"/>
      <c r="TFL36" s="14"/>
      <c r="TFM36" s="14"/>
      <c r="TFN36" s="14"/>
      <c r="TFO36" s="14"/>
      <c r="TFP36" s="14"/>
      <c r="TFQ36" s="14"/>
      <c r="TFR36" s="14"/>
      <c r="TFS36" s="14"/>
      <c r="TFT36" s="14"/>
      <c r="TFU36" s="14"/>
      <c r="TFV36" s="14"/>
      <c r="TFW36" s="14"/>
      <c r="TFX36" s="14"/>
      <c r="TFY36" s="14"/>
      <c r="TFZ36" s="14"/>
      <c r="TGA36" s="14"/>
      <c r="TGB36" s="14"/>
      <c r="TGC36" s="14"/>
      <c r="TGD36" s="14"/>
      <c r="TGE36" s="14"/>
      <c r="TGF36" s="14"/>
      <c r="TGG36" s="14"/>
      <c r="TGH36" s="14"/>
      <c r="TGI36" s="14"/>
      <c r="TGJ36" s="14"/>
      <c r="TGK36" s="14"/>
      <c r="TGL36" s="14"/>
      <c r="TGM36" s="14"/>
      <c r="TGN36" s="14"/>
      <c r="TGO36" s="14"/>
      <c r="TGP36" s="14"/>
      <c r="TGQ36" s="14"/>
      <c r="TGR36" s="14"/>
      <c r="TGS36" s="14"/>
      <c r="TGT36" s="14"/>
      <c r="TGU36" s="14"/>
      <c r="TGV36" s="14"/>
      <c r="TGW36" s="14"/>
      <c r="TGX36" s="14"/>
      <c r="TGY36" s="14"/>
      <c r="TGZ36" s="14"/>
      <c r="THA36" s="14"/>
      <c r="THB36" s="14"/>
      <c r="THC36" s="14"/>
      <c r="THD36" s="14"/>
      <c r="THE36" s="14"/>
      <c r="THF36" s="14"/>
      <c r="THG36" s="14"/>
      <c r="THH36" s="14"/>
      <c r="THI36" s="14"/>
      <c r="THJ36" s="14"/>
      <c r="THK36" s="14"/>
      <c r="THL36" s="14"/>
      <c r="THM36" s="14"/>
      <c r="THN36" s="14"/>
      <c r="THO36" s="14"/>
      <c r="THP36" s="14"/>
      <c r="THQ36" s="14"/>
      <c r="THR36" s="14"/>
      <c r="THS36" s="14"/>
      <c r="THT36" s="14"/>
      <c r="THU36" s="14"/>
      <c r="THV36" s="14"/>
      <c r="THW36" s="14"/>
      <c r="THX36" s="14"/>
      <c r="THY36" s="14"/>
      <c r="THZ36" s="14"/>
      <c r="TIA36" s="14"/>
      <c r="TIB36" s="14"/>
      <c r="TIC36" s="14"/>
      <c r="TID36" s="14"/>
      <c r="TIE36" s="14"/>
      <c r="TIF36" s="14"/>
      <c r="TIG36" s="14"/>
      <c r="TIH36" s="14"/>
      <c r="TII36" s="14"/>
      <c r="TIJ36" s="14"/>
      <c r="TIK36" s="14"/>
      <c r="TIL36" s="14"/>
      <c r="TIM36" s="14"/>
      <c r="TIN36" s="14"/>
      <c r="TIO36" s="14"/>
      <c r="TIP36" s="14"/>
      <c r="TIQ36" s="14"/>
      <c r="TIR36" s="14"/>
      <c r="TIS36" s="14"/>
      <c r="TIT36" s="14"/>
      <c r="TIU36" s="14"/>
      <c r="TIV36" s="14"/>
      <c r="TIW36" s="14"/>
      <c r="TIX36" s="14"/>
      <c r="TIY36" s="14"/>
      <c r="TIZ36" s="14"/>
      <c r="TJA36" s="14"/>
      <c r="TJB36" s="14"/>
      <c r="TJC36" s="14"/>
      <c r="TJD36" s="14"/>
      <c r="TJE36" s="14"/>
      <c r="TJF36" s="14"/>
      <c r="TJG36" s="14"/>
      <c r="TJH36" s="14"/>
      <c r="TJI36" s="14"/>
      <c r="TJJ36" s="14"/>
      <c r="TJK36" s="14"/>
      <c r="TJL36" s="14"/>
      <c r="TJM36" s="14"/>
      <c r="TJN36" s="14"/>
      <c r="TJO36" s="14"/>
      <c r="TJP36" s="14"/>
      <c r="TJQ36" s="14"/>
      <c r="TJR36" s="14"/>
      <c r="TJS36" s="14"/>
      <c r="TJT36" s="14"/>
      <c r="TJU36" s="14"/>
      <c r="TJV36" s="14"/>
      <c r="TJW36" s="14"/>
      <c r="TJX36" s="14"/>
      <c r="TJY36" s="14"/>
      <c r="TJZ36" s="14"/>
      <c r="TKA36" s="14"/>
      <c r="TKB36" s="14"/>
      <c r="TKC36" s="14"/>
      <c r="TKD36" s="14"/>
      <c r="TKE36" s="14"/>
      <c r="TKF36" s="14"/>
      <c r="TKG36" s="14"/>
      <c r="TKH36" s="14"/>
      <c r="TKI36" s="14"/>
      <c r="TKJ36" s="14"/>
      <c r="TKK36" s="14"/>
      <c r="TKL36" s="14"/>
      <c r="TKM36" s="14"/>
      <c r="TKN36" s="14"/>
      <c r="TKO36" s="14"/>
      <c r="TKP36" s="14"/>
      <c r="TKQ36" s="14"/>
      <c r="TKR36" s="14"/>
      <c r="TKS36" s="14"/>
      <c r="TKT36" s="14"/>
      <c r="TKU36" s="14"/>
      <c r="TKV36" s="14"/>
      <c r="TKW36" s="14"/>
      <c r="TKX36" s="14"/>
      <c r="TKY36" s="14"/>
      <c r="TKZ36" s="14"/>
      <c r="TLA36" s="14"/>
      <c r="TLB36" s="14"/>
      <c r="TLC36" s="14"/>
      <c r="TLD36" s="14"/>
      <c r="TLE36" s="14"/>
      <c r="TLF36" s="14"/>
      <c r="TLG36" s="14"/>
      <c r="TLH36" s="14"/>
      <c r="TLI36" s="14"/>
      <c r="TLJ36" s="14"/>
      <c r="TLK36" s="14"/>
      <c r="TLL36" s="14"/>
      <c r="TLM36" s="14"/>
      <c r="TLN36" s="14"/>
      <c r="TLO36" s="14"/>
      <c r="TLP36" s="14"/>
      <c r="TLQ36" s="14"/>
      <c r="TLR36" s="14"/>
      <c r="TLS36" s="14"/>
      <c r="TLT36" s="14"/>
      <c r="TLU36" s="14"/>
      <c r="TLV36" s="14"/>
      <c r="TLW36" s="14"/>
      <c r="TLX36" s="14"/>
      <c r="TLY36" s="14"/>
      <c r="TLZ36" s="14"/>
      <c r="TMA36" s="14"/>
      <c r="TMB36" s="14"/>
      <c r="TMC36" s="14"/>
      <c r="TMD36" s="14"/>
      <c r="TME36" s="14"/>
      <c r="TMF36" s="14"/>
      <c r="TMG36" s="14"/>
      <c r="TMH36" s="14"/>
      <c r="TMI36" s="14"/>
      <c r="TMJ36" s="14"/>
      <c r="TMK36" s="14"/>
      <c r="TML36" s="14"/>
      <c r="TMM36" s="14"/>
      <c r="TMN36" s="14"/>
      <c r="TMO36" s="14"/>
      <c r="TMP36" s="14"/>
      <c r="TMQ36" s="14"/>
      <c r="TMR36" s="14"/>
      <c r="TMS36" s="14"/>
      <c r="TMT36" s="14"/>
      <c r="TMU36" s="14"/>
      <c r="TMV36" s="14"/>
      <c r="TMW36" s="14"/>
      <c r="TMX36" s="14"/>
      <c r="TMY36" s="14"/>
      <c r="TMZ36" s="14"/>
      <c r="TNA36" s="14"/>
      <c r="TNB36" s="14"/>
      <c r="TNC36" s="14"/>
      <c r="TND36" s="14"/>
      <c r="TNE36" s="14"/>
      <c r="TNF36" s="14"/>
      <c r="TNG36" s="14"/>
      <c r="TNH36" s="14"/>
      <c r="TNI36" s="14"/>
      <c r="TNJ36" s="14"/>
      <c r="TNK36" s="14"/>
      <c r="TNL36" s="14"/>
      <c r="TNM36" s="14"/>
      <c r="TNN36" s="14"/>
      <c r="TNO36" s="14"/>
      <c r="TNP36" s="14"/>
      <c r="TNQ36" s="14"/>
      <c r="TNR36" s="14"/>
      <c r="TNS36" s="14"/>
      <c r="TNT36" s="14"/>
      <c r="TNU36" s="14"/>
      <c r="TNV36" s="14"/>
      <c r="TNW36" s="14"/>
      <c r="TNX36" s="14"/>
      <c r="TNY36" s="14"/>
      <c r="TNZ36" s="14"/>
      <c r="TOA36" s="14"/>
      <c r="TOB36" s="14"/>
      <c r="TOC36" s="14"/>
      <c r="TOD36" s="14"/>
      <c r="TOE36" s="14"/>
      <c r="TOF36" s="14"/>
      <c r="TOG36" s="14"/>
      <c r="TOH36" s="14"/>
      <c r="TOI36" s="14"/>
      <c r="TOJ36" s="14"/>
      <c r="TOK36" s="14"/>
      <c r="TOL36" s="14"/>
      <c r="TOM36" s="14"/>
      <c r="TON36" s="14"/>
      <c r="TOO36" s="14"/>
      <c r="TOP36" s="14"/>
      <c r="TOQ36" s="14"/>
      <c r="TOR36" s="14"/>
      <c r="TOS36" s="14"/>
      <c r="TOT36" s="14"/>
      <c r="TOU36" s="14"/>
      <c r="TOV36" s="14"/>
      <c r="TOW36" s="14"/>
      <c r="TOX36" s="14"/>
      <c r="TOY36" s="14"/>
      <c r="TOZ36" s="14"/>
      <c r="TPA36" s="14"/>
      <c r="TPB36" s="14"/>
      <c r="TPC36" s="14"/>
      <c r="TPD36" s="14"/>
      <c r="TPE36" s="14"/>
      <c r="TPF36" s="14"/>
      <c r="TPG36" s="14"/>
      <c r="TPH36" s="14"/>
      <c r="TPI36" s="14"/>
      <c r="TPJ36" s="14"/>
      <c r="TPK36" s="14"/>
      <c r="TPL36" s="14"/>
      <c r="TPM36" s="14"/>
      <c r="TPN36" s="14"/>
      <c r="TPO36" s="14"/>
      <c r="TPP36" s="14"/>
      <c r="TPQ36" s="14"/>
      <c r="TPR36" s="14"/>
      <c r="TPS36" s="14"/>
      <c r="TPT36" s="14"/>
      <c r="TPU36" s="14"/>
      <c r="TPV36" s="14"/>
      <c r="TPW36" s="14"/>
      <c r="TPX36" s="14"/>
      <c r="TPY36" s="14"/>
      <c r="TPZ36" s="14"/>
      <c r="TQA36" s="14"/>
      <c r="TQB36" s="14"/>
      <c r="TQC36" s="14"/>
      <c r="TQD36" s="14"/>
      <c r="TQE36" s="14"/>
      <c r="TQF36" s="14"/>
      <c r="TQG36" s="14"/>
      <c r="TQH36" s="14"/>
      <c r="TQI36" s="14"/>
      <c r="TQJ36" s="14"/>
      <c r="TQK36" s="14"/>
      <c r="TQL36" s="14"/>
      <c r="TQM36" s="14"/>
      <c r="TQN36" s="14"/>
      <c r="TQO36" s="14"/>
      <c r="TQP36" s="14"/>
      <c r="TQQ36" s="14"/>
      <c r="TQR36" s="14"/>
      <c r="TQS36" s="14"/>
      <c r="TQT36" s="14"/>
      <c r="TQU36" s="14"/>
      <c r="TQV36" s="14"/>
      <c r="TQW36" s="14"/>
      <c r="TQX36" s="14"/>
      <c r="TQY36" s="14"/>
      <c r="TQZ36" s="14"/>
      <c r="TRA36" s="14"/>
      <c r="TRB36" s="14"/>
      <c r="TRC36" s="14"/>
      <c r="TRD36" s="14"/>
      <c r="TRE36" s="14"/>
      <c r="TRF36" s="14"/>
      <c r="TRG36" s="14"/>
      <c r="TRH36" s="14"/>
      <c r="TRI36" s="14"/>
      <c r="TRJ36" s="14"/>
      <c r="TRK36" s="14"/>
      <c r="TRL36" s="14"/>
      <c r="TRM36" s="14"/>
      <c r="TRN36" s="14"/>
      <c r="TRO36" s="14"/>
      <c r="TRP36" s="14"/>
      <c r="TRQ36" s="14"/>
      <c r="TRR36" s="14"/>
      <c r="TRS36" s="14"/>
      <c r="TRT36" s="14"/>
      <c r="TRU36" s="14"/>
      <c r="TRV36" s="14"/>
      <c r="TRW36" s="14"/>
      <c r="TRX36" s="14"/>
      <c r="TRY36" s="14"/>
      <c r="TRZ36" s="14"/>
      <c r="TSA36" s="14"/>
      <c r="TSB36" s="14"/>
      <c r="TSC36" s="14"/>
      <c r="TSD36" s="14"/>
      <c r="TSE36" s="14"/>
      <c r="TSF36" s="14"/>
      <c r="TSG36" s="14"/>
      <c r="TSH36" s="14"/>
      <c r="TSI36" s="14"/>
      <c r="TSJ36" s="14"/>
      <c r="TSK36" s="14"/>
      <c r="TSL36" s="14"/>
      <c r="TSM36" s="14"/>
      <c r="TSN36" s="14"/>
      <c r="TSO36" s="14"/>
      <c r="TSP36" s="14"/>
      <c r="TSQ36" s="14"/>
      <c r="TSR36" s="14"/>
      <c r="TSS36" s="14"/>
      <c r="TST36" s="14"/>
      <c r="TSU36" s="14"/>
      <c r="TSV36" s="14"/>
      <c r="TSW36" s="14"/>
      <c r="TSX36" s="14"/>
      <c r="TSY36" s="14"/>
      <c r="TSZ36" s="14"/>
      <c r="TTA36" s="14"/>
      <c r="TTB36" s="14"/>
      <c r="TTC36" s="14"/>
      <c r="TTD36" s="14"/>
      <c r="TTE36" s="14"/>
      <c r="TTF36" s="14"/>
      <c r="TTG36" s="14"/>
      <c r="TTH36" s="14"/>
      <c r="TTI36" s="14"/>
      <c r="TTJ36" s="14"/>
      <c r="TTK36" s="14"/>
      <c r="TTL36" s="14"/>
      <c r="TTM36" s="14"/>
      <c r="TTN36" s="14"/>
      <c r="TTO36" s="14"/>
      <c r="TTP36" s="14"/>
      <c r="TTQ36" s="14"/>
      <c r="TTR36" s="14"/>
      <c r="TTS36" s="14"/>
      <c r="TTT36" s="14"/>
      <c r="TTU36" s="14"/>
      <c r="TTV36" s="14"/>
      <c r="TTW36" s="14"/>
      <c r="TTX36" s="14"/>
      <c r="TTY36" s="14"/>
      <c r="TTZ36" s="14"/>
      <c r="TUA36" s="14"/>
      <c r="TUB36" s="14"/>
      <c r="TUC36" s="14"/>
      <c r="TUD36" s="14"/>
      <c r="TUE36" s="14"/>
      <c r="TUF36" s="14"/>
      <c r="TUG36" s="14"/>
      <c r="TUH36" s="14"/>
      <c r="TUI36" s="14"/>
      <c r="TUJ36" s="14"/>
      <c r="TUK36" s="14"/>
      <c r="TUL36" s="14"/>
      <c r="TUM36" s="14"/>
      <c r="TUN36" s="14"/>
      <c r="TUO36" s="14"/>
      <c r="TUP36" s="14"/>
      <c r="TUQ36" s="14"/>
      <c r="TUR36" s="14"/>
      <c r="TUS36" s="14"/>
      <c r="TUT36" s="14"/>
      <c r="TUU36" s="14"/>
      <c r="TUV36" s="14"/>
      <c r="TUW36" s="14"/>
      <c r="TUX36" s="14"/>
      <c r="TUY36" s="14"/>
      <c r="TUZ36" s="14"/>
      <c r="TVA36" s="14"/>
      <c r="TVB36" s="14"/>
      <c r="TVC36" s="14"/>
      <c r="TVD36" s="14"/>
      <c r="TVE36" s="14"/>
      <c r="TVF36" s="14"/>
      <c r="TVG36" s="14"/>
      <c r="TVH36" s="14"/>
      <c r="TVI36" s="14"/>
      <c r="TVJ36" s="14"/>
      <c r="TVK36" s="14"/>
      <c r="TVL36" s="14"/>
      <c r="TVM36" s="14"/>
      <c r="TVN36" s="14"/>
      <c r="TVO36" s="14"/>
      <c r="TVP36" s="14"/>
      <c r="TVQ36" s="14"/>
      <c r="TVR36" s="14"/>
      <c r="TVS36" s="14"/>
      <c r="TVT36" s="14"/>
      <c r="TVU36" s="14"/>
      <c r="TVV36" s="14"/>
      <c r="TVW36" s="14"/>
      <c r="TVX36" s="14"/>
      <c r="TVY36" s="14"/>
      <c r="TVZ36" s="14"/>
      <c r="TWA36" s="14"/>
      <c r="TWB36" s="14"/>
      <c r="TWC36" s="14"/>
      <c r="TWD36" s="14"/>
      <c r="TWE36" s="14"/>
      <c r="TWF36" s="14"/>
      <c r="TWG36" s="14"/>
      <c r="TWH36" s="14"/>
      <c r="TWI36" s="14"/>
      <c r="TWJ36" s="14"/>
      <c r="TWK36" s="14"/>
      <c r="TWL36" s="14"/>
      <c r="TWM36" s="14"/>
      <c r="TWN36" s="14"/>
      <c r="TWO36" s="14"/>
      <c r="TWP36" s="14"/>
      <c r="TWQ36" s="14"/>
      <c r="TWR36" s="14"/>
      <c r="TWS36" s="14"/>
      <c r="TWT36" s="14"/>
      <c r="TWU36" s="14"/>
      <c r="TWV36" s="14"/>
      <c r="TWW36" s="14"/>
      <c r="TWX36" s="14"/>
      <c r="TWY36" s="14"/>
      <c r="TWZ36" s="14"/>
      <c r="TXA36" s="14"/>
      <c r="TXB36" s="14"/>
      <c r="TXC36" s="14"/>
      <c r="TXD36" s="14"/>
      <c r="TXE36" s="14"/>
      <c r="TXF36" s="14"/>
      <c r="TXG36" s="14"/>
      <c r="TXH36" s="14"/>
      <c r="TXI36" s="14"/>
      <c r="TXJ36" s="14"/>
      <c r="TXK36" s="14"/>
      <c r="TXL36" s="14"/>
      <c r="TXM36" s="14"/>
      <c r="TXN36" s="14"/>
      <c r="TXO36" s="14"/>
      <c r="TXP36" s="14"/>
      <c r="TXQ36" s="14"/>
      <c r="TXR36" s="14"/>
      <c r="TXS36" s="14"/>
      <c r="TXT36" s="14"/>
      <c r="TXU36" s="14"/>
      <c r="TXV36" s="14"/>
      <c r="TXW36" s="14"/>
      <c r="TXX36" s="14"/>
      <c r="TXY36" s="14"/>
      <c r="TXZ36" s="14"/>
      <c r="TYA36" s="14"/>
      <c r="TYB36" s="14"/>
      <c r="TYC36" s="14"/>
      <c r="TYD36" s="14"/>
      <c r="TYE36" s="14"/>
      <c r="TYF36" s="14"/>
      <c r="TYG36" s="14"/>
      <c r="TYH36" s="14"/>
      <c r="TYI36" s="14"/>
      <c r="TYJ36" s="14"/>
      <c r="TYK36" s="14"/>
      <c r="TYL36" s="14"/>
      <c r="TYM36" s="14"/>
      <c r="TYN36" s="14"/>
      <c r="TYO36" s="14"/>
      <c r="TYP36" s="14"/>
      <c r="TYQ36" s="14"/>
      <c r="TYR36" s="14"/>
      <c r="TYS36" s="14"/>
      <c r="TYT36" s="14"/>
      <c r="TYU36" s="14"/>
      <c r="TYV36" s="14"/>
      <c r="TYW36" s="14"/>
      <c r="TYX36" s="14"/>
      <c r="TYY36" s="14"/>
      <c r="TYZ36" s="14"/>
      <c r="TZA36" s="14"/>
      <c r="TZB36" s="14"/>
      <c r="TZC36" s="14"/>
      <c r="TZD36" s="14"/>
      <c r="TZE36" s="14"/>
      <c r="TZF36" s="14"/>
      <c r="TZG36" s="14"/>
      <c r="TZH36" s="14"/>
      <c r="TZI36" s="14"/>
      <c r="TZJ36" s="14"/>
      <c r="TZK36" s="14"/>
      <c r="TZL36" s="14"/>
      <c r="TZM36" s="14"/>
      <c r="TZN36" s="14"/>
      <c r="TZO36" s="14"/>
      <c r="TZP36" s="14"/>
      <c r="TZQ36" s="14"/>
      <c r="TZR36" s="14"/>
      <c r="TZS36" s="14"/>
      <c r="TZT36" s="14"/>
      <c r="TZU36" s="14"/>
      <c r="TZV36" s="14"/>
      <c r="TZW36" s="14"/>
      <c r="TZX36" s="14"/>
      <c r="TZY36" s="14"/>
      <c r="TZZ36" s="14"/>
      <c r="UAA36" s="14"/>
      <c r="UAB36" s="14"/>
      <c r="UAC36" s="14"/>
      <c r="UAD36" s="14"/>
      <c r="UAE36" s="14"/>
      <c r="UAF36" s="14"/>
      <c r="UAG36" s="14"/>
      <c r="UAH36" s="14"/>
      <c r="UAI36" s="14"/>
      <c r="UAJ36" s="14"/>
      <c r="UAK36" s="14"/>
      <c r="UAL36" s="14"/>
      <c r="UAM36" s="14"/>
      <c r="UAN36" s="14"/>
      <c r="UAO36" s="14"/>
      <c r="UAP36" s="14"/>
      <c r="UAQ36" s="14"/>
      <c r="UAR36" s="14"/>
      <c r="UAS36" s="14"/>
      <c r="UAT36" s="14"/>
      <c r="UAU36" s="14"/>
      <c r="UAV36" s="14"/>
      <c r="UAW36" s="14"/>
      <c r="UAX36" s="14"/>
      <c r="UAY36" s="14"/>
      <c r="UAZ36" s="14"/>
      <c r="UBA36" s="14"/>
      <c r="UBB36" s="14"/>
      <c r="UBC36" s="14"/>
      <c r="UBD36" s="14"/>
      <c r="UBE36" s="14"/>
      <c r="UBF36" s="14"/>
      <c r="UBG36" s="14"/>
      <c r="UBH36" s="14"/>
      <c r="UBI36" s="14"/>
      <c r="UBJ36" s="14"/>
      <c r="UBK36" s="14"/>
      <c r="UBL36" s="14"/>
      <c r="UBM36" s="14"/>
      <c r="UBN36" s="14"/>
      <c r="UBO36" s="14"/>
      <c r="UBP36" s="14"/>
      <c r="UBQ36" s="14"/>
      <c r="UBR36" s="14"/>
      <c r="UBS36" s="14"/>
      <c r="UBT36" s="14"/>
      <c r="UBU36" s="14"/>
      <c r="UBV36" s="14"/>
      <c r="UBW36" s="14"/>
      <c r="UBX36" s="14"/>
      <c r="UBY36" s="14"/>
      <c r="UBZ36" s="14"/>
      <c r="UCA36" s="14"/>
      <c r="UCB36" s="14"/>
      <c r="UCC36" s="14"/>
      <c r="UCD36" s="14"/>
      <c r="UCE36" s="14"/>
      <c r="UCF36" s="14"/>
      <c r="UCG36" s="14"/>
      <c r="UCH36" s="14"/>
      <c r="UCI36" s="14"/>
      <c r="UCJ36" s="14"/>
      <c r="UCK36" s="14"/>
      <c r="UCL36" s="14"/>
      <c r="UCM36" s="14"/>
      <c r="UCN36" s="14"/>
      <c r="UCO36" s="14"/>
      <c r="UCP36" s="14"/>
      <c r="UCQ36" s="14"/>
      <c r="UCR36" s="14"/>
      <c r="UCS36" s="14"/>
      <c r="UCT36" s="14"/>
      <c r="UCU36" s="14"/>
      <c r="UCV36" s="14"/>
      <c r="UCW36" s="14"/>
      <c r="UCX36" s="14"/>
      <c r="UCY36" s="14"/>
      <c r="UCZ36" s="14"/>
      <c r="UDA36" s="14"/>
      <c r="UDB36" s="14"/>
      <c r="UDC36" s="14"/>
      <c r="UDD36" s="14"/>
      <c r="UDE36" s="14"/>
      <c r="UDF36" s="14"/>
      <c r="UDG36" s="14"/>
      <c r="UDH36" s="14"/>
      <c r="UDI36" s="14"/>
      <c r="UDJ36" s="14"/>
      <c r="UDK36" s="14"/>
      <c r="UDL36" s="14"/>
      <c r="UDM36" s="14"/>
      <c r="UDN36" s="14"/>
      <c r="UDO36" s="14"/>
      <c r="UDP36" s="14"/>
      <c r="UDQ36" s="14"/>
      <c r="UDR36" s="14"/>
      <c r="UDS36" s="14"/>
      <c r="UDT36" s="14"/>
      <c r="UDU36" s="14"/>
      <c r="UDV36" s="14"/>
      <c r="UDW36" s="14"/>
      <c r="UDX36" s="14"/>
      <c r="UDY36" s="14"/>
      <c r="UDZ36" s="14"/>
      <c r="UEA36" s="14"/>
      <c r="UEB36" s="14"/>
      <c r="UEC36" s="14"/>
      <c r="UED36" s="14"/>
      <c r="UEE36" s="14"/>
      <c r="UEF36" s="14"/>
      <c r="UEG36" s="14"/>
      <c r="UEH36" s="14"/>
      <c r="UEI36" s="14"/>
      <c r="UEJ36" s="14"/>
      <c r="UEK36" s="14"/>
      <c r="UEL36" s="14"/>
      <c r="UEM36" s="14"/>
      <c r="UEN36" s="14"/>
      <c r="UEO36" s="14"/>
      <c r="UEP36" s="14"/>
      <c r="UEQ36" s="14"/>
      <c r="UER36" s="14"/>
      <c r="UES36" s="14"/>
      <c r="UET36" s="14"/>
      <c r="UEU36" s="14"/>
      <c r="UEV36" s="14"/>
      <c r="UEW36" s="14"/>
      <c r="UEX36" s="14"/>
      <c r="UEY36" s="14"/>
      <c r="UEZ36" s="14"/>
      <c r="UFA36" s="14"/>
      <c r="UFB36" s="14"/>
      <c r="UFC36" s="14"/>
      <c r="UFD36" s="14"/>
      <c r="UFE36" s="14"/>
      <c r="UFF36" s="14"/>
      <c r="UFG36" s="14"/>
      <c r="UFH36" s="14"/>
      <c r="UFI36" s="14"/>
      <c r="UFJ36" s="14"/>
      <c r="UFK36" s="14"/>
      <c r="UFL36" s="14"/>
      <c r="UFM36" s="14"/>
      <c r="UFN36" s="14"/>
      <c r="UFO36" s="14"/>
      <c r="UFP36" s="14"/>
      <c r="UFQ36" s="14"/>
      <c r="UFR36" s="14"/>
      <c r="UFS36" s="14"/>
      <c r="UFT36" s="14"/>
      <c r="UFU36" s="14"/>
      <c r="UFV36" s="14"/>
      <c r="UFW36" s="14"/>
      <c r="UFX36" s="14"/>
      <c r="UFY36" s="14"/>
      <c r="UFZ36" s="14"/>
      <c r="UGA36" s="14"/>
      <c r="UGB36" s="14"/>
      <c r="UGC36" s="14"/>
      <c r="UGD36" s="14"/>
      <c r="UGE36" s="14"/>
      <c r="UGF36" s="14"/>
      <c r="UGG36" s="14"/>
      <c r="UGH36" s="14"/>
      <c r="UGI36" s="14"/>
      <c r="UGJ36" s="14"/>
      <c r="UGK36" s="14"/>
      <c r="UGL36" s="14"/>
      <c r="UGM36" s="14"/>
      <c r="UGN36" s="14"/>
      <c r="UGO36" s="14"/>
      <c r="UGP36" s="14"/>
      <c r="UGQ36" s="14"/>
      <c r="UGR36" s="14"/>
      <c r="UGS36" s="14"/>
      <c r="UGT36" s="14"/>
      <c r="UGU36" s="14"/>
      <c r="UGV36" s="14"/>
      <c r="UGW36" s="14"/>
      <c r="UGX36" s="14"/>
      <c r="UGY36" s="14"/>
      <c r="UGZ36" s="14"/>
      <c r="UHA36" s="14"/>
      <c r="UHB36" s="14"/>
      <c r="UHC36" s="14"/>
      <c r="UHD36" s="14"/>
      <c r="UHE36" s="14"/>
      <c r="UHF36" s="14"/>
      <c r="UHG36" s="14"/>
      <c r="UHH36" s="14"/>
      <c r="UHI36" s="14"/>
      <c r="UHJ36" s="14"/>
      <c r="UHK36" s="14"/>
      <c r="UHL36" s="14"/>
      <c r="UHM36" s="14"/>
      <c r="UHN36" s="14"/>
      <c r="UHO36" s="14"/>
      <c r="UHP36" s="14"/>
      <c r="UHQ36" s="14"/>
      <c r="UHR36" s="14"/>
      <c r="UHS36" s="14"/>
      <c r="UHT36" s="14"/>
      <c r="UHU36" s="14"/>
      <c r="UHV36" s="14"/>
      <c r="UHW36" s="14"/>
      <c r="UHX36" s="14"/>
      <c r="UHY36" s="14"/>
      <c r="UHZ36" s="14"/>
      <c r="UIA36" s="14"/>
      <c r="UIB36" s="14"/>
      <c r="UIC36" s="14"/>
      <c r="UID36" s="14"/>
      <c r="UIE36" s="14"/>
      <c r="UIF36" s="14"/>
      <c r="UIG36" s="14"/>
      <c r="UIH36" s="14"/>
      <c r="UII36" s="14"/>
      <c r="UIJ36" s="14"/>
      <c r="UIK36" s="14"/>
      <c r="UIL36" s="14"/>
      <c r="UIM36" s="14"/>
      <c r="UIN36" s="14"/>
      <c r="UIO36" s="14"/>
      <c r="UIP36" s="14"/>
      <c r="UIQ36" s="14"/>
      <c r="UIR36" s="14"/>
      <c r="UIS36" s="14"/>
      <c r="UIT36" s="14"/>
      <c r="UIU36" s="14"/>
      <c r="UIV36" s="14"/>
      <c r="UIW36" s="14"/>
      <c r="UIX36" s="14"/>
      <c r="UIY36" s="14"/>
      <c r="UIZ36" s="14"/>
      <c r="UJA36" s="14"/>
      <c r="UJB36" s="14"/>
      <c r="UJC36" s="14"/>
      <c r="UJD36" s="14"/>
      <c r="UJE36" s="14"/>
      <c r="UJF36" s="14"/>
      <c r="UJG36" s="14"/>
      <c r="UJH36" s="14"/>
      <c r="UJI36" s="14"/>
      <c r="UJJ36" s="14"/>
      <c r="UJK36" s="14"/>
      <c r="UJL36" s="14"/>
      <c r="UJM36" s="14"/>
      <c r="UJN36" s="14"/>
      <c r="UJO36" s="14"/>
      <c r="UJP36" s="14"/>
      <c r="UJQ36" s="14"/>
      <c r="UJR36" s="14"/>
      <c r="UJS36" s="14"/>
      <c r="UJT36" s="14"/>
      <c r="UJU36" s="14"/>
      <c r="UJV36" s="14"/>
      <c r="UJW36" s="14"/>
      <c r="UJX36" s="14"/>
      <c r="UJY36" s="14"/>
      <c r="UJZ36" s="14"/>
      <c r="UKA36" s="14"/>
      <c r="UKB36" s="14"/>
      <c r="UKC36" s="14"/>
      <c r="UKD36" s="14"/>
      <c r="UKE36" s="14"/>
      <c r="UKF36" s="14"/>
      <c r="UKG36" s="14"/>
      <c r="UKH36" s="14"/>
      <c r="UKI36" s="14"/>
      <c r="UKJ36" s="14"/>
      <c r="UKK36" s="14"/>
      <c r="UKL36" s="14"/>
      <c r="UKM36" s="14"/>
      <c r="UKN36" s="14"/>
      <c r="UKO36" s="14"/>
      <c r="UKP36" s="14"/>
      <c r="UKQ36" s="14"/>
      <c r="UKR36" s="14"/>
      <c r="UKS36" s="14"/>
      <c r="UKT36" s="14"/>
      <c r="UKU36" s="14"/>
      <c r="UKV36" s="14"/>
      <c r="UKW36" s="14"/>
      <c r="UKX36" s="14"/>
      <c r="UKY36" s="14"/>
      <c r="UKZ36" s="14"/>
      <c r="ULA36" s="14"/>
      <c r="ULB36" s="14"/>
      <c r="ULC36" s="14"/>
      <c r="ULD36" s="14"/>
      <c r="ULE36" s="14"/>
      <c r="ULF36" s="14"/>
      <c r="ULG36" s="14"/>
      <c r="ULH36" s="14"/>
      <c r="ULI36" s="14"/>
      <c r="ULJ36" s="14"/>
      <c r="ULK36" s="14"/>
      <c r="ULL36" s="14"/>
      <c r="ULM36" s="14"/>
      <c r="ULN36" s="14"/>
      <c r="ULO36" s="14"/>
      <c r="ULP36" s="14"/>
      <c r="ULQ36" s="14"/>
      <c r="ULR36" s="14"/>
      <c r="ULS36" s="14"/>
      <c r="ULT36" s="14"/>
      <c r="ULU36" s="14"/>
      <c r="ULV36" s="14"/>
      <c r="ULW36" s="14"/>
      <c r="ULX36" s="14"/>
      <c r="ULY36" s="14"/>
      <c r="ULZ36" s="14"/>
      <c r="UMA36" s="14"/>
      <c r="UMB36" s="14"/>
      <c r="UMC36" s="14"/>
      <c r="UMD36" s="14"/>
      <c r="UME36" s="14"/>
      <c r="UMF36" s="14"/>
      <c r="UMG36" s="14"/>
      <c r="UMH36" s="14"/>
      <c r="UMI36" s="14"/>
      <c r="UMJ36" s="14"/>
      <c r="UMK36" s="14"/>
      <c r="UML36" s="14"/>
      <c r="UMM36" s="14"/>
      <c r="UMN36" s="14"/>
      <c r="UMO36" s="14"/>
      <c r="UMP36" s="14"/>
      <c r="UMQ36" s="14"/>
      <c r="UMR36" s="14"/>
      <c r="UMS36" s="14"/>
      <c r="UMT36" s="14"/>
      <c r="UMU36" s="14"/>
      <c r="UMV36" s="14"/>
      <c r="UMW36" s="14"/>
      <c r="UMX36" s="14"/>
      <c r="UMY36" s="14"/>
      <c r="UMZ36" s="14"/>
      <c r="UNA36" s="14"/>
      <c r="UNB36" s="14"/>
      <c r="UNC36" s="14"/>
      <c r="UND36" s="14"/>
      <c r="UNE36" s="14"/>
      <c r="UNF36" s="14"/>
      <c r="UNG36" s="14"/>
      <c r="UNH36" s="14"/>
      <c r="UNI36" s="14"/>
      <c r="UNJ36" s="14"/>
      <c r="UNK36" s="14"/>
      <c r="UNL36" s="14"/>
      <c r="UNM36" s="14"/>
      <c r="UNN36" s="14"/>
      <c r="UNO36" s="14"/>
      <c r="UNP36" s="14"/>
      <c r="UNQ36" s="14"/>
      <c r="UNR36" s="14"/>
      <c r="UNS36" s="14"/>
      <c r="UNT36" s="14"/>
      <c r="UNU36" s="14"/>
      <c r="UNV36" s="14"/>
      <c r="UNW36" s="14"/>
      <c r="UNX36" s="14"/>
      <c r="UNY36" s="14"/>
      <c r="UNZ36" s="14"/>
      <c r="UOA36" s="14"/>
      <c r="UOB36" s="14"/>
      <c r="UOC36" s="14"/>
      <c r="UOD36" s="14"/>
      <c r="UOE36" s="14"/>
      <c r="UOF36" s="14"/>
      <c r="UOG36" s="14"/>
      <c r="UOH36" s="14"/>
      <c r="UOI36" s="14"/>
      <c r="UOJ36" s="14"/>
      <c r="UOK36" s="14"/>
      <c r="UOL36" s="14"/>
      <c r="UOM36" s="14"/>
      <c r="UON36" s="14"/>
      <c r="UOO36" s="14"/>
      <c r="UOP36" s="14"/>
      <c r="UOQ36" s="14"/>
      <c r="UOR36" s="14"/>
      <c r="UOS36" s="14"/>
      <c r="UOT36" s="14"/>
      <c r="UOU36" s="14"/>
      <c r="UOV36" s="14"/>
      <c r="UOW36" s="14"/>
      <c r="UOX36" s="14"/>
      <c r="UOY36" s="14"/>
      <c r="UOZ36" s="14"/>
      <c r="UPA36" s="14"/>
      <c r="UPB36" s="14"/>
      <c r="UPC36" s="14"/>
      <c r="UPD36" s="14"/>
      <c r="UPE36" s="14"/>
      <c r="UPF36" s="14"/>
      <c r="UPG36" s="14"/>
      <c r="UPH36" s="14"/>
      <c r="UPI36" s="14"/>
      <c r="UPJ36" s="14"/>
      <c r="UPK36" s="14"/>
      <c r="UPL36" s="14"/>
      <c r="UPM36" s="14"/>
      <c r="UPN36" s="14"/>
      <c r="UPO36" s="14"/>
      <c r="UPP36" s="14"/>
      <c r="UPQ36" s="14"/>
      <c r="UPR36" s="14"/>
      <c r="UPS36" s="14"/>
      <c r="UPT36" s="14"/>
      <c r="UPU36" s="14"/>
      <c r="UPV36" s="14"/>
      <c r="UPW36" s="14"/>
      <c r="UPX36" s="14"/>
      <c r="UPY36" s="14"/>
      <c r="UPZ36" s="14"/>
      <c r="UQA36" s="14"/>
      <c r="UQB36" s="14"/>
      <c r="UQC36" s="14"/>
      <c r="UQD36" s="14"/>
      <c r="UQE36" s="14"/>
      <c r="UQF36" s="14"/>
      <c r="UQG36" s="14"/>
      <c r="UQH36" s="14"/>
      <c r="UQI36" s="14"/>
      <c r="UQJ36" s="14"/>
      <c r="UQK36" s="14"/>
      <c r="UQL36" s="14"/>
      <c r="UQM36" s="14"/>
      <c r="UQN36" s="14"/>
      <c r="UQO36" s="14"/>
      <c r="UQP36" s="14"/>
      <c r="UQQ36" s="14"/>
      <c r="UQR36" s="14"/>
      <c r="UQS36" s="14"/>
      <c r="UQT36" s="14"/>
      <c r="UQU36" s="14"/>
      <c r="UQV36" s="14"/>
      <c r="UQW36" s="14"/>
      <c r="UQX36" s="14"/>
      <c r="UQY36" s="14"/>
      <c r="UQZ36" s="14"/>
      <c r="URA36" s="14"/>
      <c r="URB36" s="14"/>
      <c r="URC36" s="14"/>
      <c r="URD36" s="14"/>
      <c r="URE36" s="14"/>
      <c r="URF36" s="14"/>
      <c r="URG36" s="14"/>
      <c r="URH36" s="14"/>
      <c r="URI36" s="14"/>
      <c r="URJ36" s="14"/>
      <c r="URK36" s="14"/>
      <c r="URL36" s="14"/>
      <c r="URM36" s="14"/>
      <c r="URN36" s="14"/>
      <c r="URO36" s="14"/>
      <c r="URP36" s="14"/>
      <c r="URQ36" s="14"/>
      <c r="URR36" s="14"/>
      <c r="URS36" s="14"/>
      <c r="URT36" s="14"/>
      <c r="URU36" s="14"/>
      <c r="URV36" s="14"/>
      <c r="URW36" s="14"/>
      <c r="URX36" s="14"/>
      <c r="URY36" s="14"/>
      <c r="URZ36" s="14"/>
      <c r="USA36" s="14"/>
      <c r="USB36" s="14"/>
      <c r="USC36" s="14"/>
      <c r="USD36" s="14"/>
      <c r="USE36" s="14"/>
      <c r="USF36" s="14"/>
      <c r="USG36" s="14"/>
      <c r="USH36" s="14"/>
      <c r="USI36" s="14"/>
      <c r="USJ36" s="14"/>
      <c r="USK36" s="14"/>
      <c r="USL36" s="14"/>
      <c r="USM36" s="14"/>
      <c r="USN36" s="14"/>
      <c r="USO36" s="14"/>
      <c r="USP36" s="14"/>
      <c r="USQ36" s="14"/>
      <c r="USR36" s="14"/>
      <c r="USS36" s="14"/>
      <c r="UST36" s="14"/>
      <c r="USU36" s="14"/>
      <c r="USV36" s="14"/>
      <c r="USW36" s="14"/>
      <c r="USX36" s="14"/>
      <c r="USY36" s="14"/>
      <c r="USZ36" s="14"/>
      <c r="UTA36" s="14"/>
      <c r="UTB36" s="14"/>
      <c r="UTC36" s="14"/>
      <c r="UTD36" s="14"/>
      <c r="UTE36" s="14"/>
      <c r="UTF36" s="14"/>
      <c r="UTG36" s="14"/>
      <c r="UTH36" s="14"/>
      <c r="UTI36" s="14"/>
      <c r="UTJ36" s="14"/>
      <c r="UTK36" s="14"/>
      <c r="UTL36" s="14"/>
      <c r="UTM36" s="14"/>
      <c r="UTN36" s="14"/>
      <c r="UTO36" s="14"/>
      <c r="UTP36" s="14"/>
      <c r="UTQ36" s="14"/>
      <c r="UTR36" s="14"/>
      <c r="UTS36" s="14"/>
      <c r="UTT36" s="14"/>
      <c r="UTU36" s="14"/>
      <c r="UTV36" s="14"/>
      <c r="UTW36" s="14"/>
      <c r="UTX36" s="14"/>
      <c r="UTY36" s="14"/>
      <c r="UTZ36" s="14"/>
      <c r="UUA36" s="14"/>
      <c r="UUB36" s="14"/>
      <c r="UUC36" s="14"/>
      <c r="UUD36" s="14"/>
      <c r="UUE36" s="14"/>
      <c r="UUF36" s="14"/>
      <c r="UUG36" s="14"/>
      <c r="UUH36" s="14"/>
      <c r="UUI36" s="14"/>
      <c r="UUJ36" s="14"/>
      <c r="UUK36" s="14"/>
      <c r="UUL36" s="14"/>
      <c r="UUM36" s="14"/>
      <c r="UUN36" s="14"/>
      <c r="UUO36" s="14"/>
      <c r="UUP36" s="14"/>
      <c r="UUQ36" s="14"/>
      <c r="UUR36" s="14"/>
      <c r="UUS36" s="14"/>
      <c r="UUT36" s="14"/>
      <c r="UUU36" s="14"/>
      <c r="UUV36" s="14"/>
      <c r="UUW36" s="14"/>
      <c r="UUX36" s="14"/>
      <c r="UUY36" s="14"/>
      <c r="UUZ36" s="14"/>
      <c r="UVA36" s="14"/>
      <c r="UVB36" s="14"/>
      <c r="UVC36" s="14"/>
      <c r="UVD36" s="14"/>
      <c r="UVE36" s="14"/>
      <c r="UVF36" s="14"/>
      <c r="UVG36" s="14"/>
      <c r="UVH36" s="14"/>
      <c r="UVI36" s="14"/>
      <c r="UVJ36" s="14"/>
      <c r="UVK36" s="14"/>
      <c r="UVL36" s="14"/>
      <c r="UVM36" s="14"/>
      <c r="UVN36" s="14"/>
      <c r="UVO36" s="14"/>
      <c r="UVP36" s="14"/>
      <c r="UVQ36" s="14"/>
      <c r="UVR36" s="14"/>
      <c r="UVS36" s="14"/>
      <c r="UVT36" s="14"/>
      <c r="UVU36" s="14"/>
      <c r="UVV36" s="14"/>
      <c r="UVW36" s="14"/>
      <c r="UVX36" s="14"/>
      <c r="UVY36" s="14"/>
      <c r="UVZ36" s="14"/>
      <c r="UWA36" s="14"/>
      <c r="UWB36" s="14"/>
      <c r="UWC36" s="14"/>
      <c r="UWD36" s="14"/>
      <c r="UWE36" s="14"/>
      <c r="UWF36" s="14"/>
      <c r="UWG36" s="14"/>
      <c r="UWH36" s="14"/>
      <c r="UWI36" s="14"/>
      <c r="UWJ36" s="14"/>
      <c r="UWK36" s="14"/>
      <c r="UWL36" s="14"/>
      <c r="UWM36" s="14"/>
      <c r="UWN36" s="14"/>
      <c r="UWO36" s="14"/>
      <c r="UWP36" s="14"/>
      <c r="UWQ36" s="14"/>
      <c r="UWR36" s="14"/>
      <c r="UWS36" s="14"/>
      <c r="UWT36" s="14"/>
      <c r="UWU36" s="14"/>
      <c r="UWV36" s="14"/>
      <c r="UWW36" s="14"/>
      <c r="UWX36" s="14"/>
      <c r="UWY36" s="14"/>
      <c r="UWZ36" s="14"/>
      <c r="UXA36" s="14"/>
      <c r="UXB36" s="14"/>
      <c r="UXC36" s="14"/>
      <c r="UXD36" s="14"/>
      <c r="UXE36" s="14"/>
      <c r="UXF36" s="14"/>
      <c r="UXG36" s="14"/>
      <c r="UXH36" s="14"/>
      <c r="UXI36" s="14"/>
      <c r="UXJ36" s="14"/>
      <c r="UXK36" s="14"/>
      <c r="UXL36" s="14"/>
      <c r="UXM36" s="14"/>
      <c r="UXN36" s="14"/>
      <c r="UXO36" s="14"/>
      <c r="UXP36" s="14"/>
      <c r="UXQ36" s="14"/>
      <c r="UXR36" s="14"/>
      <c r="UXS36" s="14"/>
      <c r="UXT36" s="14"/>
      <c r="UXU36" s="14"/>
      <c r="UXV36" s="14"/>
      <c r="UXW36" s="14"/>
      <c r="UXX36" s="14"/>
      <c r="UXY36" s="14"/>
      <c r="UXZ36" s="14"/>
      <c r="UYA36" s="14"/>
      <c r="UYB36" s="14"/>
      <c r="UYC36" s="14"/>
      <c r="UYD36" s="14"/>
      <c r="UYE36" s="14"/>
      <c r="UYF36" s="14"/>
      <c r="UYG36" s="14"/>
      <c r="UYH36" s="14"/>
      <c r="UYI36" s="14"/>
      <c r="UYJ36" s="14"/>
      <c r="UYK36" s="14"/>
      <c r="UYL36" s="14"/>
      <c r="UYM36" s="14"/>
      <c r="UYN36" s="14"/>
      <c r="UYO36" s="14"/>
      <c r="UYP36" s="14"/>
      <c r="UYQ36" s="14"/>
      <c r="UYR36" s="14"/>
      <c r="UYS36" s="14"/>
      <c r="UYT36" s="14"/>
      <c r="UYU36" s="14"/>
      <c r="UYV36" s="14"/>
      <c r="UYW36" s="14"/>
      <c r="UYX36" s="14"/>
      <c r="UYY36" s="14"/>
      <c r="UYZ36" s="14"/>
      <c r="UZA36" s="14"/>
      <c r="UZB36" s="14"/>
      <c r="UZC36" s="14"/>
      <c r="UZD36" s="14"/>
      <c r="UZE36" s="14"/>
      <c r="UZF36" s="14"/>
      <c r="UZG36" s="14"/>
      <c r="UZH36" s="14"/>
      <c r="UZI36" s="14"/>
      <c r="UZJ36" s="14"/>
      <c r="UZK36" s="14"/>
      <c r="UZL36" s="14"/>
      <c r="UZM36" s="14"/>
      <c r="UZN36" s="14"/>
      <c r="UZO36" s="14"/>
      <c r="UZP36" s="14"/>
      <c r="UZQ36" s="14"/>
      <c r="UZR36" s="14"/>
      <c r="UZS36" s="14"/>
      <c r="UZT36" s="14"/>
      <c r="UZU36" s="14"/>
      <c r="UZV36" s="14"/>
      <c r="UZW36" s="14"/>
      <c r="UZX36" s="14"/>
      <c r="UZY36" s="14"/>
      <c r="UZZ36" s="14"/>
      <c r="VAA36" s="14"/>
      <c r="VAB36" s="14"/>
      <c r="VAC36" s="14"/>
      <c r="VAD36" s="14"/>
      <c r="VAE36" s="14"/>
      <c r="VAF36" s="14"/>
      <c r="VAG36" s="14"/>
      <c r="VAH36" s="14"/>
      <c r="VAI36" s="14"/>
      <c r="VAJ36" s="14"/>
      <c r="VAK36" s="14"/>
      <c r="VAL36" s="14"/>
      <c r="VAM36" s="14"/>
      <c r="VAN36" s="14"/>
      <c r="VAO36" s="14"/>
      <c r="VAP36" s="14"/>
      <c r="VAQ36" s="14"/>
      <c r="VAR36" s="14"/>
      <c r="VAS36" s="14"/>
      <c r="VAT36" s="14"/>
      <c r="VAU36" s="14"/>
      <c r="VAV36" s="14"/>
      <c r="VAW36" s="14"/>
      <c r="VAX36" s="14"/>
      <c r="VAY36" s="14"/>
      <c r="VAZ36" s="14"/>
      <c r="VBA36" s="14"/>
      <c r="VBB36" s="14"/>
      <c r="VBC36" s="14"/>
      <c r="VBD36" s="14"/>
      <c r="VBE36" s="14"/>
      <c r="VBF36" s="14"/>
      <c r="VBG36" s="14"/>
      <c r="VBH36" s="14"/>
      <c r="VBI36" s="14"/>
      <c r="VBJ36" s="14"/>
      <c r="VBK36" s="14"/>
      <c r="VBL36" s="14"/>
      <c r="VBM36" s="14"/>
      <c r="VBN36" s="14"/>
      <c r="VBO36" s="14"/>
      <c r="VBP36" s="14"/>
      <c r="VBQ36" s="14"/>
      <c r="VBR36" s="14"/>
      <c r="VBS36" s="14"/>
      <c r="VBT36" s="14"/>
      <c r="VBU36" s="14"/>
      <c r="VBV36" s="14"/>
      <c r="VBW36" s="14"/>
      <c r="VBX36" s="14"/>
      <c r="VBY36" s="14"/>
      <c r="VBZ36" s="14"/>
      <c r="VCA36" s="14"/>
      <c r="VCB36" s="14"/>
      <c r="VCC36" s="14"/>
      <c r="VCD36" s="14"/>
      <c r="VCE36" s="14"/>
      <c r="VCF36" s="14"/>
      <c r="VCG36" s="14"/>
      <c r="VCH36" s="14"/>
      <c r="VCI36" s="14"/>
      <c r="VCJ36" s="14"/>
      <c r="VCK36" s="14"/>
      <c r="VCL36" s="14"/>
      <c r="VCM36" s="14"/>
      <c r="VCN36" s="14"/>
      <c r="VCO36" s="14"/>
      <c r="VCP36" s="14"/>
      <c r="VCQ36" s="14"/>
      <c r="VCR36" s="14"/>
      <c r="VCS36" s="14"/>
      <c r="VCT36" s="14"/>
      <c r="VCU36" s="14"/>
      <c r="VCV36" s="14"/>
      <c r="VCW36" s="14"/>
      <c r="VCX36" s="14"/>
      <c r="VCY36" s="14"/>
      <c r="VCZ36" s="14"/>
      <c r="VDA36" s="14"/>
      <c r="VDB36" s="14"/>
      <c r="VDC36" s="14"/>
      <c r="VDD36" s="14"/>
      <c r="VDE36" s="14"/>
      <c r="VDF36" s="14"/>
      <c r="VDG36" s="14"/>
      <c r="VDH36" s="14"/>
      <c r="VDI36" s="14"/>
      <c r="VDJ36" s="14"/>
      <c r="VDK36" s="14"/>
      <c r="VDL36" s="14"/>
      <c r="VDM36" s="14"/>
      <c r="VDN36" s="14"/>
      <c r="VDO36" s="14"/>
      <c r="VDP36" s="14"/>
      <c r="VDQ36" s="14"/>
      <c r="VDR36" s="14"/>
      <c r="VDS36" s="14"/>
      <c r="VDT36" s="14"/>
      <c r="VDU36" s="14"/>
      <c r="VDV36" s="14"/>
      <c r="VDW36" s="14"/>
      <c r="VDX36" s="14"/>
      <c r="VDY36" s="14"/>
      <c r="VDZ36" s="14"/>
      <c r="VEA36" s="14"/>
      <c r="VEB36" s="14"/>
      <c r="VEC36" s="14"/>
      <c r="VED36" s="14"/>
      <c r="VEE36" s="14"/>
      <c r="VEF36" s="14"/>
      <c r="VEG36" s="14"/>
      <c r="VEH36" s="14"/>
      <c r="VEI36" s="14"/>
      <c r="VEJ36" s="14"/>
      <c r="VEK36" s="14"/>
      <c r="VEL36" s="14"/>
      <c r="VEM36" s="14"/>
      <c r="VEN36" s="14"/>
      <c r="VEO36" s="14"/>
      <c r="VEP36" s="14"/>
      <c r="VEQ36" s="14"/>
      <c r="VER36" s="14"/>
      <c r="VES36" s="14"/>
      <c r="VET36" s="14"/>
      <c r="VEU36" s="14"/>
      <c r="VEV36" s="14"/>
      <c r="VEW36" s="14"/>
      <c r="VEX36" s="14"/>
      <c r="VEY36" s="14"/>
      <c r="VEZ36" s="14"/>
      <c r="VFA36" s="14"/>
      <c r="VFB36" s="14"/>
      <c r="VFC36" s="14"/>
      <c r="VFD36" s="14"/>
      <c r="VFE36" s="14"/>
      <c r="VFF36" s="14"/>
      <c r="VFG36" s="14"/>
      <c r="VFH36" s="14"/>
      <c r="VFI36" s="14"/>
      <c r="VFJ36" s="14"/>
      <c r="VFK36" s="14"/>
      <c r="VFL36" s="14"/>
      <c r="VFM36" s="14"/>
      <c r="VFN36" s="14"/>
      <c r="VFO36" s="14"/>
      <c r="VFP36" s="14"/>
      <c r="VFQ36" s="14"/>
      <c r="VFR36" s="14"/>
      <c r="VFS36" s="14"/>
      <c r="VFT36" s="14"/>
      <c r="VFU36" s="14"/>
      <c r="VFV36" s="14"/>
      <c r="VFW36" s="14"/>
      <c r="VFX36" s="14"/>
      <c r="VFY36" s="14"/>
      <c r="VFZ36" s="14"/>
      <c r="VGA36" s="14"/>
      <c r="VGB36" s="14"/>
      <c r="VGC36" s="14"/>
      <c r="VGD36" s="14"/>
      <c r="VGE36" s="14"/>
      <c r="VGF36" s="14"/>
      <c r="VGG36" s="14"/>
      <c r="VGH36" s="14"/>
      <c r="VGI36" s="14"/>
      <c r="VGJ36" s="14"/>
      <c r="VGK36" s="14"/>
      <c r="VGL36" s="14"/>
      <c r="VGM36" s="14"/>
      <c r="VGN36" s="14"/>
      <c r="VGO36" s="14"/>
      <c r="VGP36" s="14"/>
      <c r="VGQ36" s="14"/>
      <c r="VGR36" s="14"/>
      <c r="VGS36" s="14"/>
      <c r="VGT36" s="14"/>
      <c r="VGU36" s="14"/>
      <c r="VGV36" s="14"/>
      <c r="VGW36" s="14"/>
      <c r="VGX36" s="14"/>
      <c r="VGY36" s="14"/>
      <c r="VGZ36" s="14"/>
      <c r="VHA36" s="14"/>
      <c r="VHB36" s="14"/>
      <c r="VHC36" s="14"/>
      <c r="VHD36" s="14"/>
      <c r="VHE36" s="14"/>
      <c r="VHF36" s="14"/>
      <c r="VHG36" s="14"/>
      <c r="VHH36" s="14"/>
      <c r="VHI36" s="14"/>
      <c r="VHJ36" s="14"/>
      <c r="VHK36" s="14"/>
      <c r="VHL36" s="14"/>
      <c r="VHM36" s="14"/>
      <c r="VHN36" s="14"/>
      <c r="VHO36" s="14"/>
      <c r="VHP36" s="14"/>
      <c r="VHQ36" s="14"/>
      <c r="VHR36" s="14"/>
      <c r="VHS36" s="14"/>
      <c r="VHT36" s="14"/>
      <c r="VHU36" s="14"/>
      <c r="VHV36" s="14"/>
      <c r="VHW36" s="14"/>
      <c r="VHX36" s="14"/>
      <c r="VHY36" s="14"/>
      <c r="VHZ36" s="14"/>
      <c r="VIA36" s="14"/>
      <c r="VIB36" s="14"/>
      <c r="VIC36" s="14"/>
      <c r="VID36" s="14"/>
      <c r="VIE36" s="14"/>
      <c r="VIF36" s="14"/>
      <c r="VIG36" s="14"/>
      <c r="VIH36" s="14"/>
      <c r="VII36" s="14"/>
      <c r="VIJ36" s="14"/>
      <c r="VIK36" s="14"/>
      <c r="VIL36" s="14"/>
      <c r="VIM36" s="14"/>
      <c r="VIN36" s="14"/>
      <c r="VIO36" s="14"/>
      <c r="VIP36" s="14"/>
      <c r="VIQ36" s="14"/>
      <c r="VIR36" s="14"/>
      <c r="VIS36" s="14"/>
      <c r="VIT36" s="14"/>
      <c r="VIU36" s="14"/>
      <c r="VIV36" s="14"/>
      <c r="VIW36" s="14"/>
      <c r="VIX36" s="14"/>
      <c r="VIY36" s="14"/>
      <c r="VIZ36" s="14"/>
      <c r="VJA36" s="14"/>
      <c r="VJB36" s="14"/>
      <c r="VJC36" s="14"/>
      <c r="VJD36" s="14"/>
      <c r="VJE36" s="14"/>
      <c r="VJF36" s="14"/>
      <c r="VJG36" s="14"/>
      <c r="VJH36" s="14"/>
      <c r="VJI36" s="14"/>
      <c r="VJJ36" s="14"/>
      <c r="VJK36" s="14"/>
      <c r="VJL36" s="14"/>
      <c r="VJM36" s="14"/>
      <c r="VJN36" s="14"/>
      <c r="VJO36" s="14"/>
      <c r="VJP36" s="14"/>
      <c r="VJQ36" s="14"/>
      <c r="VJR36" s="14"/>
      <c r="VJS36" s="14"/>
      <c r="VJT36" s="14"/>
      <c r="VJU36" s="14"/>
      <c r="VJV36" s="14"/>
      <c r="VJW36" s="14"/>
      <c r="VJX36" s="14"/>
      <c r="VJY36" s="14"/>
      <c r="VJZ36" s="14"/>
      <c r="VKA36" s="14"/>
      <c r="VKB36" s="14"/>
      <c r="VKC36" s="14"/>
      <c r="VKD36" s="14"/>
      <c r="VKE36" s="14"/>
      <c r="VKF36" s="14"/>
      <c r="VKG36" s="14"/>
      <c r="VKH36" s="14"/>
      <c r="VKI36" s="14"/>
      <c r="VKJ36" s="14"/>
      <c r="VKK36" s="14"/>
      <c r="VKL36" s="14"/>
      <c r="VKM36" s="14"/>
      <c r="VKN36" s="14"/>
      <c r="VKO36" s="14"/>
      <c r="VKP36" s="14"/>
      <c r="VKQ36" s="14"/>
      <c r="VKR36" s="14"/>
      <c r="VKS36" s="14"/>
      <c r="VKT36" s="14"/>
      <c r="VKU36" s="14"/>
      <c r="VKV36" s="14"/>
      <c r="VKW36" s="14"/>
      <c r="VKX36" s="14"/>
      <c r="VKY36" s="14"/>
      <c r="VKZ36" s="14"/>
      <c r="VLA36" s="14"/>
      <c r="VLB36" s="14"/>
      <c r="VLC36" s="14"/>
      <c r="VLD36" s="14"/>
      <c r="VLE36" s="14"/>
      <c r="VLF36" s="14"/>
      <c r="VLG36" s="14"/>
      <c r="VLH36" s="14"/>
      <c r="VLI36" s="14"/>
      <c r="VLJ36" s="14"/>
      <c r="VLK36" s="14"/>
      <c r="VLL36" s="14"/>
      <c r="VLM36" s="14"/>
      <c r="VLN36" s="14"/>
      <c r="VLO36" s="14"/>
      <c r="VLP36" s="14"/>
      <c r="VLQ36" s="14"/>
      <c r="VLR36" s="14"/>
      <c r="VLS36" s="14"/>
      <c r="VLT36" s="14"/>
      <c r="VLU36" s="14"/>
      <c r="VLV36" s="14"/>
      <c r="VLW36" s="14"/>
      <c r="VLX36" s="14"/>
      <c r="VLY36" s="14"/>
      <c r="VLZ36" s="14"/>
      <c r="VMA36" s="14"/>
      <c r="VMB36" s="14"/>
      <c r="VMC36" s="14"/>
      <c r="VMD36" s="14"/>
      <c r="VME36" s="14"/>
      <c r="VMF36" s="14"/>
      <c r="VMG36" s="14"/>
      <c r="VMH36" s="14"/>
      <c r="VMI36" s="14"/>
      <c r="VMJ36" s="14"/>
      <c r="VMK36" s="14"/>
      <c r="VML36" s="14"/>
      <c r="VMM36" s="14"/>
      <c r="VMN36" s="14"/>
      <c r="VMO36" s="14"/>
      <c r="VMP36" s="14"/>
      <c r="VMQ36" s="14"/>
      <c r="VMR36" s="14"/>
      <c r="VMS36" s="14"/>
      <c r="VMT36" s="14"/>
      <c r="VMU36" s="14"/>
      <c r="VMV36" s="14"/>
      <c r="VMW36" s="14"/>
      <c r="VMX36" s="14"/>
      <c r="VMY36" s="14"/>
      <c r="VMZ36" s="14"/>
      <c r="VNA36" s="14"/>
      <c r="VNB36" s="14"/>
      <c r="VNC36" s="14"/>
      <c r="VND36" s="14"/>
      <c r="VNE36" s="14"/>
      <c r="VNF36" s="14"/>
      <c r="VNG36" s="14"/>
      <c r="VNH36" s="14"/>
      <c r="VNI36" s="14"/>
      <c r="VNJ36" s="14"/>
      <c r="VNK36" s="14"/>
      <c r="VNL36" s="14"/>
      <c r="VNM36" s="14"/>
      <c r="VNN36" s="14"/>
      <c r="VNO36" s="14"/>
      <c r="VNP36" s="14"/>
      <c r="VNQ36" s="14"/>
      <c r="VNR36" s="14"/>
      <c r="VNS36" s="14"/>
      <c r="VNT36" s="14"/>
      <c r="VNU36" s="14"/>
      <c r="VNV36" s="14"/>
      <c r="VNW36" s="14"/>
      <c r="VNX36" s="14"/>
      <c r="VNY36" s="14"/>
      <c r="VNZ36" s="14"/>
      <c r="VOA36" s="14"/>
      <c r="VOB36" s="14"/>
      <c r="VOC36" s="14"/>
      <c r="VOD36" s="14"/>
      <c r="VOE36" s="14"/>
      <c r="VOF36" s="14"/>
      <c r="VOG36" s="14"/>
      <c r="VOH36" s="14"/>
      <c r="VOI36" s="14"/>
      <c r="VOJ36" s="14"/>
      <c r="VOK36" s="14"/>
      <c r="VOL36" s="14"/>
      <c r="VOM36" s="14"/>
      <c r="VON36" s="14"/>
      <c r="VOO36" s="14"/>
      <c r="VOP36" s="14"/>
      <c r="VOQ36" s="14"/>
      <c r="VOR36" s="14"/>
      <c r="VOS36" s="14"/>
      <c r="VOT36" s="14"/>
      <c r="VOU36" s="14"/>
      <c r="VOV36" s="14"/>
      <c r="VOW36" s="14"/>
      <c r="VOX36" s="14"/>
      <c r="VOY36" s="14"/>
      <c r="VOZ36" s="14"/>
      <c r="VPA36" s="14"/>
      <c r="VPB36" s="14"/>
      <c r="VPC36" s="14"/>
      <c r="VPD36" s="14"/>
      <c r="VPE36" s="14"/>
      <c r="VPF36" s="14"/>
      <c r="VPG36" s="14"/>
      <c r="VPH36" s="14"/>
      <c r="VPI36" s="14"/>
      <c r="VPJ36" s="14"/>
      <c r="VPK36" s="14"/>
      <c r="VPL36" s="14"/>
      <c r="VPM36" s="14"/>
      <c r="VPN36" s="14"/>
      <c r="VPO36" s="14"/>
      <c r="VPP36" s="14"/>
      <c r="VPQ36" s="14"/>
      <c r="VPR36" s="14"/>
      <c r="VPS36" s="14"/>
      <c r="VPT36" s="14"/>
      <c r="VPU36" s="14"/>
      <c r="VPV36" s="14"/>
      <c r="VPW36" s="14"/>
      <c r="VPX36" s="14"/>
      <c r="VPY36" s="14"/>
      <c r="VPZ36" s="14"/>
      <c r="VQA36" s="14"/>
      <c r="VQB36" s="14"/>
      <c r="VQC36" s="14"/>
      <c r="VQD36" s="14"/>
      <c r="VQE36" s="14"/>
      <c r="VQF36" s="14"/>
      <c r="VQG36" s="14"/>
      <c r="VQH36" s="14"/>
      <c r="VQI36" s="14"/>
      <c r="VQJ36" s="14"/>
      <c r="VQK36" s="14"/>
      <c r="VQL36" s="14"/>
      <c r="VQM36" s="14"/>
      <c r="VQN36" s="14"/>
      <c r="VQO36" s="14"/>
      <c r="VQP36" s="14"/>
      <c r="VQQ36" s="14"/>
      <c r="VQR36" s="14"/>
      <c r="VQS36" s="14"/>
      <c r="VQT36" s="14"/>
      <c r="VQU36" s="14"/>
      <c r="VQV36" s="14"/>
      <c r="VQW36" s="14"/>
      <c r="VQX36" s="14"/>
      <c r="VQY36" s="14"/>
      <c r="VQZ36" s="14"/>
      <c r="VRA36" s="14"/>
      <c r="VRB36" s="14"/>
      <c r="VRC36" s="14"/>
      <c r="VRD36" s="14"/>
      <c r="VRE36" s="14"/>
      <c r="VRF36" s="14"/>
      <c r="VRG36" s="14"/>
      <c r="VRH36" s="14"/>
      <c r="VRI36" s="14"/>
      <c r="VRJ36" s="14"/>
      <c r="VRK36" s="14"/>
      <c r="VRL36" s="14"/>
      <c r="VRM36" s="14"/>
      <c r="VRN36" s="14"/>
      <c r="VRO36" s="14"/>
      <c r="VRP36" s="14"/>
      <c r="VRQ36" s="14"/>
      <c r="VRR36" s="14"/>
      <c r="VRS36" s="14"/>
      <c r="VRT36" s="14"/>
      <c r="VRU36" s="14"/>
      <c r="VRV36" s="14"/>
      <c r="VRW36" s="14"/>
      <c r="VRX36" s="14"/>
      <c r="VRY36" s="14"/>
      <c r="VRZ36" s="14"/>
      <c r="VSA36" s="14"/>
      <c r="VSB36" s="14"/>
      <c r="VSC36" s="14"/>
      <c r="VSD36" s="14"/>
      <c r="VSE36" s="14"/>
      <c r="VSF36" s="14"/>
      <c r="VSG36" s="14"/>
      <c r="VSH36" s="14"/>
      <c r="VSI36" s="14"/>
      <c r="VSJ36" s="14"/>
      <c r="VSK36" s="14"/>
      <c r="VSL36" s="14"/>
      <c r="VSM36" s="14"/>
      <c r="VSN36" s="14"/>
      <c r="VSO36" s="14"/>
      <c r="VSP36" s="14"/>
      <c r="VSQ36" s="14"/>
      <c r="VSR36" s="14"/>
      <c r="VSS36" s="14"/>
      <c r="VST36" s="14"/>
      <c r="VSU36" s="14"/>
      <c r="VSV36" s="14"/>
      <c r="VSW36" s="14"/>
      <c r="VSX36" s="14"/>
      <c r="VSY36" s="14"/>
      <c r="VSZ36" s="14"/>
      <c r="VTA36" s="14"/>
      <c r="VTB36" s="14"/>
      <c r="VTC36" s="14"/>
      <c r="VTD36" s="14"/>
      <c r="VTE36" s="14"/>
      <c r="VTF36" s="14"/>
      <c r="VTG36" s="14"/>
      <c r="VTH36" s="14"/>
      <c r="VTI36" s="14"/>
      <c r="VTJ36" s="14"/>
      <c r="VTK36" s="14"/>
      <c r="VTL36" s="14"/>
      <c r="VTM36" s="14"/>
      <c r="VTN36" s="14"/>
      <c r="VTO36" s="14"/>
      <c r="VTP36" s="14"/>
      <c r="VTQ36" s="14"/>
      <c r="VTR36" s="14"/>
      <c r="VTS36" s="14"/>
      <c r="VTT36" s="14"/>
      <c r="VTU36" s="14"/>
      <c r="VTV36" s="14"/>
      <c r="VTW36" s="14"/>
      <c r="VTX36" s="14"/>
      <c r="VTY36" s="14"/>
      <c r="VTZ36" s="14"/>
      <c r="VUA36" s="14"/>
      <c r="VUB36" s="14"/>
      <c r="VUC36" s="14"/>
      <c r="VUD36" s="14"/>
      <c r="VUE36" s="14"/>
      <c r="VUF36" s="14"/>
      <c r="VUG36" s="14"/>
      <c r="VUH36" s="14"/>
      <c r="VUI36" s="14"/>
      <c r="VUJ36" s="14"/>
      <c r="VUK36" s="14"/>
      <c r="VUL36" s="14"/>
      <c r="VUM36" s="14"/>
      <c r="VUN36" s="14"/>
      <c r="VUO36" s="14"/>
      <c r="VUP36" s="14"/>
      <c r="VUQ36" s="14"/>
      <c r="VUR36" s="14"/>
      <c r="VUS36" s="14"/>
      <c r="VUT36" s="14"/>
      <c r="VUU36" s="14"/>
      <c r="VUV36" s="14"/>
      <c r="VUW36" s="14"/>
      <c r="VUX36" s="14"/>
      <c r="VUY36" s="14"/>
      <c r="VUZ36" s="14"/>
      <c r="VVA36" s="14"/>
      <c r="VVB36" s="14"/>
      <c r="VVC36" s="14"/>
      <c r="VVD36" s="14"/>
      <c r="VVE36" s="14"/>
      <c r="VVF36" s="14"/>
      <c r="VVG36" s="14"/>
      <c r="VVH36" s="14"/>
      <c r="VVI36" s="14"/>
      <c r="VVJ36" s="14"/>
      <c r="VVK36" s="14"/>
      <c r="VVL36" s="14"/>
      <c r="VVM36" s="14"/>
      <c r="VVN36" s="14"/>
      <c r="VVO36" s="14"/>
      <c r="VVP36" s="14"/>
      <c r="VVQ36" s="14"/>
      <c r="VVR36" s="14"/>
      <c r="VVS36" s="14"/>
      <c r="VVT36" s="14"/>
      <c r="VVU36" s="14"/>
      <c r="VVV36" s="14"/>
      <c r="VVW36" s="14"/>
      <c r="VVX36" s="14"/>
      <c r="VVY36" s="14"/>
      <c r="VVZ36" s="14"/>
      <c r="VWA36" s="14"/>
      <c r="VWB36" s="14"/>
      <c r="VWC36" s="14"/>
      <c r="VWD36" s="14"/>
      <c r="VWE36" s="14"/>
      <c r="VWF36" s="14"/>
      <c r="VWG36" s="14"/>
      <c r="VWH36" s="14"/>
      <c r="VWI36" s="14"/>
      <c r="VWJ36" s="14"/>
      <c r="VWK36" s="14"/>
      <c r="VWL36" s="14"/>
      <c r="VWM36" s="14"/>
      <c r="VWN36" s="14"/>
      <c r="VWO36" s="14"/>
      <c r="VWP36" s="14"/>
      <c r="VWQ36" s="14"/>
      <c r="VWR36" s="14"/>
      <c r="VWS36" s="14"/>
      <c r="VWT36" s="14"/>
      <c r="VWU36" s="14"/>
      <c r="VWV36" s="14"/>
      <c r="VWW36" s="14"/>
      <c r="VWX36" s="14"/>
      <c r="VWY36" s="14"/>
      <c r="VWZ36" s="14"/>
      <c r="VXA36" s="14"/>
      <c r="VXB36" s="14"/>
      <c r="VXC36" s="14"/>
      <c r="VXD36" s="14"/>
      <c r="VXE36" s="14"/>
      <c r="VXF36" s="14"/>
      <c r="VXG36" s="14"/>
      <c r="VXH36" s="14"/>
      <c r="VXI36" s="14"/>
      <c r="VXJ36" s="14"/>
      <c r="VXK36" s="14"/>
      <c r="VXL36" s="14"/>
      <c r="VXM36" s="14"/>
      <c r="VXN36" s="14"/>
      <c r="VXO36" s="14"/>
      <c r="VXP36" s="14"/>
      <c r="VXQ36" s="14"/>
      <c r="VXR36" s="14"/>
      <c r="VXS36" s="14"/>
      <c r="VXT36" s="14"/>
      <c r="VXU36" s="14"/>
      <c r="VXV36" s="14"/>
      <c r="VXW36" s="14"/>
      <c r="VXX36" s="14"/>
      <c r="VXY36" s="14"/>
      <c r="VXZ36" s="14"/>
      <c r="VYA36" s="14"/>
      <c r="VYB36" s="14"/>
      <c r="VYC36" s="14"/>
      <c r="VYD36" s="14"/>
      <c r="VYE36" s="14"/>
      <c r="VYF36" s="14"/>
      <c r="VYG36" s="14"/>
      <c r="VYH36" s="14"/>
      <c r="VYI36" s="14"/>
      <c r="VYJ36" s="14"/>
      <c r="VYK36" s="14"/>
      <c r="VYL36" s="14"/>
      <c r="VYM36" s="14"/>
      <c r="VYN36" s="14"/>
      <c r="VYO36" s="14"/>
      <c r="VYP36" s="14"/>
      <c r="VYQ36" s="14"/>
      <c r="VYR36" s="14"/>
      <c r="VYS36" s="14"/>
      <c r="VYT36" s="14"/>
      <c r="VYU36" s="14"/>
      <c r="VYV36" s="14"/>
      <c r="VYW36" s="14"/>
      <c r="VYX36" s="14"/>
      <c r="VYY36" s="14"/>
      <c r="VYZ36" s="14"/>
      <c r="VZA36" s="14"/>
      <c r="VZB36" s="14"/>
      <c r="VZC36" s="14"/>
      <c r="VZD36" s="14"/>
      <c r="VZE36" s="14"/>
      <c r="VZF36" s="14"/>
      <c r="VZG36" s="14"/>
      <c r="VZH36" s="14"/>
      <c r="VZI36" s="14"/>
      <c r="VZJ36" s="14"/>
      <c r="VZK36" s="14"/>
      <c r="VZL36" s="14"/>
      <c r="VZM36" s="14"/>
      <c r="VZN36" s="14"/>
      <c r="VZO36" s="14"/>
      <c r="VZP36" s="14"/>
      <c r="VZQ36" s="14"/>
      <c r="VZR36" s="14"/>
      <c r="VZS36" s="14"/>
      <c r="VZT36" s="14"/>
      <c r="VZU36" s="14"/>
      <c r="VZV36" s="14"/>
      <c r="VZW36" s="14"/>
      <c r="VZX36" s="14"/>
      <c r="VZY36" s="14"/>
      <c r="VZZ36" s="14"/>
      <c r="WAA36" s="14"/>
      <c r="WAB36" s="14"/>
      <c r="WAC36" s="14"/>
      <c r="WAD36" s="14"/>
      <c r="WAE36" s="14"/>
      <c r="WAF36" s="14"/>
      <c r="WAG36" s="14"/>
      <c r="WAH36" s="14"/>
      <c r="WAI36" s="14"/>
      <c r="WAJ36" s="14"/>
      <c r="WAK36" s="14"/>
      <c r="WAL36" s="14"/>
      <c r="WAM36" s="14"/>
      <c r="WAN36" s="14"/>
      <c r="WAO36" s="14"/>
      <c r="WAP36" s="14"/>
      <c r="WAQ36" s="14"/>
      <c r="WAR36" s="14"/>
      <c r="WAS36" s="14"/>
      <c r="WAT36" s="14"/>
      <c r="WAU36" s="14"/>
      <c r="WAV36" s="14"/>
      <c r="WAW36" s="14"/>
      <c r="WAX36" s="14"/>
      <c r="WAY36" s="14"/>
      <c r="WAZ36" s="14"/>
      <c r="WBA36" s="14"/>
      <c r="WBB36" s="14"/>
      <c r="WBC36" s="14"/>
      <c r="WBD36" s="14"/>
      <c r="WBE36" s="14"/>
      <c r="WBF36" s="14"/>
      <c r="WBG36" s="14"/>
      <c r="WBH36" s="14"/>
      <c r="WBI36" s="14"/>
      <c r="WBJ36" s="14"/>
      <c r="WBK36" s="14"/>
      <c r="WBL36" s="14"/>
      <c r="WBM36" s="14"/>
      <c r="WBN36" s="14"/>
      <c r="WBO36" s="14"/>
      <c r="WBP36" s="14"/>
      <c r="WBQ36" s="14"/>
      <c r="WBR36" s="14"/>
      <c r="WBS36" s="14"/>
      <c r="WBT36" s="14"/>
      <c r="WBU36" s="14"/>
      <c r="WBV36" s="14"/>
      <c r="WBW36" s="14"/>
      <c r="WBX36" s="14"/>
      <c r="WBY36" s="14"/>
      <c r="WBZ36" s="14"/>
      <c r="WCA36" s="14"/>
      <c r="WCB36" s="14"/>
      <c r="WCC36" s="14"/>
      <c r="WCD36" s="14"/>
      <c r="WCE36" s="14"/>
      <c r="WCF36" s="14"/>
      <c r="WCG36" s="14"/>
      <c r="WCH36" s="14"/>
      <c r="WCI36" s="14"/>
      <c r="WCJ36" s="14"/>
      <c r="WCK36" s="14"/>
      <c r="WCL36" s="14"/>
      <c r="WCM36" s="14"/>
      <c r="WCN36" s="14"/>
      <c r="WCO36" s="14"/>
      <c r="WCP36" s="14"/>
      <c r="WCQ36" s="14"/>
      <c r="WCR36" s="14"/>
      <c r="WCS36" s="14"/>
      <c r="WCT36" s="14"/>
      <c r="WCU36" s="14"/>
      <c r="WCV36" s="14"/>
      <c r="WCW36" s="14"/>
      <c r="WCX36" s="14"/>
      <c r="WCY36" s="14"/>
      <c r="WCZ36" s="14"/>
      <c r="WDA36" s="14"/>
      <c r="WDB36" s="14"/>
      <c r="WDC36" s="14"/>
      <c r="WDD36" s="14"/>
      <c r="WDE36" s="14"/>
      <c r="WDF36" s="14"/>
      <c r="WDG36" s="14"/>
      <c r="WDH36" s="14"/>
      <c r="WDI36" s="14"/>
      <c r="WDJ36" s="14"/>
      <c r="WDK36" s="14"/>
      <c r="WDL36" s="14"/>
      <c r="WDM36" s="14"/>
      <c r="WDN36" s="14"/>
      <c r="WDO36" s="14"/>
      <c r="WDP36" s="14"/>
      <c r="WDQ36" s="14"/>
      <c r="WDR36" s="14"/>
      <c r="WDS36" s="14"/>
      <c r="WDT36" s="14"/>
      <c r="WDU36" s="14"/>
      <c r="WDV36" s="14"/>
      <c r="WDW36" s="14"/>
      <c r="WDX36" s="14"/>
      <c r="WDY36" s="14"/>
      <c r="WDZ36" s="14"/>
      <c r="WEA36" s="14"/>
      <c r="WEB36" s="14"/>
      <c r="WEC36" s="14"/>
      <c r="WED36" s="14"/>
      <c r="WEE36" s="14"/>
      <c r="WEF36" s="14"/>
      <c r="WEG36" s="14"/>
      <c r="WEH36" s="14"/>
      <c r="WEI36" s="14"/>
      <c r="WEJ36" s="14"/>
      <c r="WEK36" s="14"/>
      <c r="WEL36" s="14"/>
      <c r="WEM36" s="14"/>
      <c r="WEN36" s="14"/>
      <c r="WEO36" s="14"/>
      <c r="WEP36" s="14"/>
      <c r="WEQ36" s="14"/>
      <c r="WER36" s="14"/>
      <c r="WES36" s="14"/>
      <c r="WET36" s="14"/>
      <c r="WEU36" s="14"/>
      <c r="WEV36" s="14"/>
      <c r="WEW36" s="14"/>
      <c r="WEX36" s="14"/>
      <c r="WEY36" s="14"/>
      <c r="WEZ36" s="14"/>
      <c r="WFA36" s="14"/>
      <c r="WFB36" s="14"/>
      <c r="WFC36" s="14"/>
      <c r="WFD36" s="14"/>
      <c r="WFE36" s="14"/>
      <c r="WFF36" s="14"/>
      <c r="WFG36" s="14"/>
      <c r="WFH36" s="14"/>
      <c r="WFI36" s="14"/>
      <c r="WFJ36" s="14"/>
      <c r="WFK36" s="14"/>
      <c r="WFL36" s="14"/>
      <c r="WFM36" s="14"/>
      <c r="WFN36" s="14"/>
      <c r="WFO36" s="14"/>
      <c r="WFP36" s="14"/>
      <c r="WFQ36" s="14"/>
      <c r="WFR36" s="14"/>
      <c r="WFS36" s="14"/>
      <c r="WFT36" s="14"/>
      <c r="WFU36" s="14"/>
      <c r="WFV36" s="14"/>
      <c r="WFW36" s="14"/>
      <c r="WFX36" s="14"/>
      <c r="WFY36" s="14"/>
      <c r="WFZ36" s="14"/>
      <c r="WGA36" s="14"/>
      <c r="WGB36" s="14"/>
      <c r="WGC36" s="14"/>
      <c r="WGD36" s="14"/>
      <c r="WGE36" s="14"/>
      <c r="WGF36" s="14"/>
      <c r="WGG36" s="14"/>
      <c r="WGH36" s="14"/>
      <c r="WGI36" s="14"/>
      <c r="WGJ36" s="14"/>
      <c r="WGK36" s="14"/>
      <c r="WGL36" s="14"/>
      <c r="WGM36" s="14"/>
      <c r="WGN36" s="14"/>
      <c r="WGO36" s="14"/>
      <c r="WGP36" s="14"/>
      <c r="WGQ36" s="14"/>
      <c r="WGR36" s="14"/>
      <c r="WGS36" s="14"/>
      <c r="WGT36" s="14"/>
      <c r="WGU36" s="14"/>
      <c r="WGV36" s="14"/>
      <c r="WGW36" s="14"/>
      <c r="WGX36" s="14"/>
      <c r="WGY36" s="14"/>
      <c r="WGZ36" s="14"/>
      <c r="WHA36" s="14"/>
      <c r="WHB36" s="14"/>
      <c r="WHC36" s="14"/>
      <c r="WHD36" s="14"/>
      <c r="WHE36" s="14"/>
      <c r="WHF36" s="14"/>
      <c r="WHG36" s="14"/>
      <c r="WHH36" s="14"/>
      <c r="WHI36" s="14"/>
      <c r="WHJ36" s="14"/>
      <c r="WHK36" s="14"/>
      <c r="WHL36" s="14"/>
      <c r="WHM36" s="14"/>
      <c r="WHN36" s="14"/>
      <c r="WHO36" s="14"/>
      <c r="WHP36" s="14"/>
      <c r="WHQ36" s="14"/>
      <c r="WHR36" s="14"/>
      <c r="WHS36" s="14"/>
      <c r="WHT36" s="14"/>
      <c r="WHU36" s="14"/>
      <c r="WHV36" s="14"/>
      <c r="WHW36" s="14"/>
      <c r="WHX36" s="14"/>
      <c r="WHY36" s="14"/>
      <c r="WHZ36" s="14"/>
      <c r="WIA36" s="14"/>
      <c r="WIB36" s="14"/>
      <c r="WIC36" s="14"/>
      <c r="WID36" s="14"/>
      <c r="WIE36" s="14"/>
      <c r="WIF36" s="14"/>
      <c r="WIG36" s="14"/>
      <c r="WIH36" s="14"/>
      <c r="WII36" s="14"/>
      <c r="WIJ36" s="14"/>
      <c r="WIK36" s="14"/>
      <c r="WIL36" s="14"/>
      <c r="WIM36" s="14"/>
      <c r="WIN36" s="14"/>
      <c r="WIO36" s="14"/>
      <c r="WIP36" s="14"/>
      <c r="WIQ36" s="14"/>
      <c r="WIR36" s="14"/>
      <c r="WIS36" s="14"/>
      <c r="WIT36" s="14"/>
      <c r="WIU36" s="14"/>
      <c r="WIV36" s="14"/>
      <c r="WIW36" s="14"/>
      <c r="WIX36" s="14"/>
      <c r="WIY36" s="14"/>
      <c r="WIZ36" s="14"/>
      <c r="WJA36" s="14"/>
      <c r="WJB36" s="14"/>
      <c r="WJC36" s="14"/>
      <c r="WJD36" s="14"/>
      <c r="WJE36" s="14"/>
      <c r="WJF36" s="14"/>
      <c r="WJG36" s="14"/>
      <c r="WJH36" s="14"/>
      <c r="WJI36" s="14"/>
      <c r="WJJ36" s="14"/>
      <c r="WJK36" s="14"/>
      <c r="WJL36" s="14"/>
      <c r="WJM36" s="14"/>
      <c r="WJN36" s="14"/>
      <c r="WJO36" s="14"/>
      <c r="WJP36" s="14"/>
      <c r="WJQ36" s="14"/>
      <c r="WJR36" s="14"/>
      <c r="WJS36" s="14"/>
      <c r="WJT36" s="14"/>
      <c r="WJU36" s="14"/>
      <c r="WJV36" s="14"/>
      <c r="WJW36" s="14"/>
      <c r="WJX36" s="14"/>
      <c r="WJY36" s="14"/>
      <c r="WJZ36" s="14"/>
      <c r="WKA36" s="14"/>
      <c r="WKB36" s="14"/>
      <c r="WKC36" s="14"/>
      <c r="WKD36" s="14"/>
      <c r="WKE36" s="14"/>
      <c r="WKF36" s="14"/>
      <c r="WKG36" s="14"/>
      <c r="WKH36" s="14"/>
      <c r="WKI36" s="14"/>
      <c r="WKJ36" s="14"/>
      <c r="WKK36" s="14"/>
      <c r="WKL36" s="14"/>
      <c r="WKM36" s="14"/>
      <c r="WKN36" s="14"/>
      <c r="WKO36" s="14"/>
      <c r="WKP36" s="14"/>
      <c r="WKQ36" s="14"/>
      <c r="WKR36" s="14"/>
      <c r="WKS36" s="14"/>
      <c r="WKT36" s="14"/>
      <c r="WKU36" s="14"/>
      <c r="WKV36" s="14"/>
      <c r="WKW36" s="14"/>
      <c r="WKX36" s="14"/>
      <c r="WKY36" s="14"/>
      <c r="WKZ36" s="14"/>
      <c r="WLA36" s="14"/>
      <c r="WLB36" s="14"/>
      <c r="WLC36" s="14"/>
      <c r="WLD36" s="14"/>
      <c r="WLE36" s="14"/>
      <c r="WLF36" s="14"/>
      <c r="WLG36" s="14"/>
      <c r="WLH36" s="14"/>
      <c r="WLI36" s="14"/>
      <c r="WLJ36" s="14"/>
      <c r="WLK36" s="14"/>
      <c r="WLL36" s="14"/>
      <c r="WLM36" s="14"/>
      <c r="WLN36" s="14"/>
      <c r="WLO36" s="14"/>
      <c r="WLP36" s="14"/>
      <c r="WLQ36" s="14"/>
      <c r="WLR36" s="14"/>
      <c r="WLS36" s="14"/>
      <c r="WLT36" s="14"/>
      <c r="WLU36" s="14"/>
      <c r="WLV36" s="14"/>
      <c r="WLW36" s="14"/>
      <c r="WLX36" s="14"/>
      <c r="WLY36" s="14"/>
      <c r="WLZ36" s="14"/>
      <c r="WMA36" s="14"/>
      <c r="WMB36" s="14"/>
      <c r="WMC36" s="14"/>
      <c r="WMD36" s="14"/>
      <c r="WME36" s="14"/>
      <c r="WMF36" s="14"/>
      <c r="WMG36" s="14"/>
      <c r="WMH36" s="14"/>
      <c r="WMI36" s="14"/>
      <c r="WMJ36" s="14"/>
      <c r="WMK36" s="14"/>
      <c r="WML36" s="14"/>
      <c r="WMM36" s="14"/>
      <c r="WMN36" s="14"/>
      <c r="WMO36" s="14"/>
      <c r="WMP36" s="14"/>
      <c r="WMQ36" s="14"/>
      <c r="WMR36" s="14"/>
      <c r="WMS36" s="14"/>
      <c r="WMT36" s="14"/>
      <c r="WMU36" s="14"/>
      <c r="WMV36" s="14"/>
      <c r="WMW36" s="14"/>
      <c r="WMX36" s="14"/>
      <c r="WMY36" s="14"/>
      <c r="WMZ36" s="14"/>
      <c r="WNA36" s="14"/>
      <c r="WNB36" s="14"/>
      <c r="WNC36" s="14"/>
      <c r="WND36" s="14"/>
      <c r="WNE36" s="14"/>
      <c r="WNF36" s="14"/>
      <c r="WNG36" s="14"/>
      <c r="WNH36" s="14"/>
      <c r="WNI36" s="14"/>
      <c r="WNJ36" s="14"/>
      <c r="WNK36" s="14"/>
      <c r="WNL36" s="14"/>
      <c r="WNM36" s="14"/>
      <c r="WNN36" s="14"/>
      <c r="WNO36" s="14"/>
      <c r="WNP36" s="14"/>
      <c r="WNQ36" s="14"/>
      <c r="WNR36" s="14"/>
      <c r="WNS36" s="14"/>
      <c r="WNT36" s="14"/>
      <c r="WNU36" s="14"/>
      <c r="WNV36" s="14"/>
      <c r="WNW36" s="14"/>
      <c r="WNX36" s="14"/>
      <c r="WNY36" s="14"/>
      <c r="WNZ36" s="14"/>
      <c r="WOA36" s="14"/>
      <c r="WOB36" s="14"/>
      <c r="WOC36" s="14"/>
      <c r="WOD36" s="14"/>
      <c r="WOE36" s="14"/>
      <c r="WOF36" s="14"/>
      <c r="WOG36" s="14"/>
      <c r="WOH36" s="14"/>
      <c r="WOI36" s="14"/>
      <c r="WOJ36" s="14"/>
      <c r="WOK36" s="14"/>
      <c r="WOL36" s="14"/>
      <c r="WOM36" s="14"/>
      <c r="WON36" s="14"/>
      <c r="WOO36" s="14"/>
      <c r="WOP36" s="14"/>
      <c r="WOQ36" s="14"/>
      <c r="WOR36" s="14"/>
      <c r="WOS36" s="14"/>
      <c r="WOT36" s="14"/>
      <c r="WOU36" s="14"/>
      <c r="WOV36" s="14"/>
      <c r="WOW36" s="14"/>
      <c r="WOX36" s="14"/>
      <c r="WOY36" s="14"/>
      <c r="WOZ36" s="14"/>
      <c r="WPA36" s="14"/>
      <c r="WPB36" s="14"/>
      <c r="WPC36" s="14"/>
      <c r="WPD36" s="14"/>
      <c r="WPE36" s="14"/>
      <c r="WPF36" s="14"/>
      <c r="WPG36" s="14"/>
      <c r="WPH36" s="14"/>
      <c r="WPI36" s="14"/>
      <c r="WPJ36" s="14"/>
      <c r="WPK36" s="14"/>
      <c r="WPL36" s="14"/>
      <c r="WPM36" s="14"/>
      <c r="WPN36" s="14"/>
      <c r="WPO36" s="14"/>
      <c r="WPP36" s="14"/>
      <c r="WPQ36" s="14"/>
      <c r="WPR36" s="14"/>
      <c r="WPS36" s="14"/>
      <c r="WPT36" s="14"/>
      <c r="WPU36" s="14"/>
      <c r="WPV36" s="14"/>
      <c r="WPW36" s="14"/>
      <c r="WPX36" s="14"/>
      <c r="WPY36" s="14"/>
      <c r="WPZ36" s="14"/>
      <c r="WQA36" s="14"/>
      <c r="WQB36" s="14"/>
      <c r="WQC36" s="14"/>
      <c r="WQD36" s="14"/>
      <c r="WQE36" s="14"/>
      <c r="WQF36" s="14"/>
      <c r="WQG36" s="14"/>
      <c r="WQH36" s="14"/>
      <c r="WQI36" s="14"/>
      <c r="WQJ36" s="14"/>
      <c r="WQK36" s="14"/>
      <c r="WQL36" s="14"/>
      <c r="WQM36" s="14"/>
      <c r="WQN36" s="14"/>
      <c r="WQO36" s="14"/>
      <c r="WQP36" s="14"/>
      <c r="WQQ36" s="14"/>
      <c r="WQR36" s="14"/>
      <c r="WQS36" s="14"/>
      <c r="WQT36" s="14"/>
      <c r="WQU36" s="14"/>
      <c r="WQV36" s="14"/>
      <c r="WQW36" s="14"/>
      <c r="WQX36" s="14"/>
      <c r="WQY36" s="14"/>
      <c r="WQZ36" s="14"/>
      <c r="WRA36" s="14"/>
      <c r="WRB36" s="14"/>
      <c r="WRC36" s="14"/>
      <c r="WRD36" s="14"/>
      <c r="WRE36" s="14"/>
      <c r="WRF36" s="14"/>
      <c r="WRG36" s="14"/>
      <c r="WRH36" s="14"/>
      <c r="WRI36" s="14"/>
      <c r="WRJ36" s="14"/>
      <c r="WRK36" s="14"/>
      <c r="WRL36" s="14"/>
      <c r="WRM36" s="14"/>
      <c r="WRN36" s="14"/>
      <c r="WRO36" s="14"/>
      <c r="WRP36" s="14"/>
      <c r="WRQ36" s="14"/>
      <c r="WRR36" s="14"/>
      <c r="WRS36" s="14"/>
      <c r="WRT36" s="14"/>
      <c r="WRU36" s="14"/>
      <c r="WRV36" s="14"/>
      <c r="WRW36" s="14"/>
      <c r="WRX36" s="14"/>
      <c r="WRY36" s="14"/>
      <c r="WRZ36" s="14"/>
      <c r="WSA36" s="14"/>
      <c r="WSB36" s="14"/>
      <c r="WSC36" s="14"/>
      <c r="WSD36" s="14"/>
      <c r="WSE36" s="14"/>
      <c r="WSF36" s="14"/>
      <c r="WSG36" s="14"/>
      <c r="WSH36" s="14"/>
      <c r="WSI36" s="14"/>
      <c r="WSJ36" s="14"/>
      <c r="WSK36" s="14"/>
      <c r="WSL36" s="14"/>
      <c r="WSM36" s="14"/>
      <c r="WSN36" s="14"/>
      <c r="WSO36" s="14"/>
      <c r="WSP36" s="14"/>
      <c r="WSQ36" s="14"/>
      <c r="WSR36" s="14"/>
      <c r="WSS36" s="14"/>
      <c r="WST36" s="14"/>
      <c r="WSU36" s="14"/>
      <c r="WSV36" s="14"/>
      <c r="WSW36" s="14"/>
      <c r="WSX36" s="14"/>
      <c r="WSY36" s="14"/>
      <c r="WSZ36" s="14"/>
      <c r="WTA36" s="14"/>
      <c r="WTB36" s="14"/>
      <c r="WTC36" s="14"/>
      <c r="WTD36" s="14"/>
      <c r="WTE36" s="14"/>
      <c r="WTF36" s="14"/>
      <c r="WTG36" s="14"/>
      <c r="WTH36" s="14"/>
      <c r="WTI36" s="14"/>
      <c r="WTJ36" s="14"/>
      <c r="WTK36" s="14"/>
      <c r="WTL36" s="14"/>
      <c r="WTM36" s="14"/>
      <c r="WTN36" s="14"/>
      <c r="WTO36" s="14"/>
      <c r="WTP36" s="14"/>
      <c r="WTQ36" s="14"/>
      <c r="WTR36" s="14"/>
      <c r="WTS36" s="14"/>
      <c r="WTT36" s="14"/>
      <c r="WTU36" s="14"/>
      <c r="WTV36" s="14"/>
      <c r="WTW36" s="14"/>
      <c r="WTX36" s="14"/>
      <c r="WTY36" s="14"/>
      <c r="WTZ36" s="14"/>
      <c r="WUA36" s="14"/>
      <c r="WUB36" s="14"/>
      <c r="WUC36" s="14"/>
      <c r="WUD36" s="14"/>
      <c r="WUE36" s="14"/>
      <c r="WUF36" s="14"/>
      <c r="WUG36" s="14"/>
      <c r="WUH36" s="14"/>
      <c r="WUI36" s="14"/>
      <c r="WUJ36" s="14"/>
      <c r="WUK36" s="14"/>
      <c r="WUL36" s="14"/>
      <c r="WUM36" s="14"/>
      <c r="WUN36" s="14"/>
      <c r="WUO36" s="14"/>
      <c r="WUP36" s="14"/>
      <c r="WUQ36" s="14"/>
      <c r="WUR36" s="14"/>
      <c r="WUS36" s="14"/>
      <c r="WUT36" s="14"/>
      <c r="WUU36" s="14"/>
      <c r="WUV36" s="14"/>
      <c r="WUW36" s="14"/>
      <c r="WUX36" s="14"/>
      <c r="WUY36" s="14"/>
      <c r="WUZ36" s="14"/>
      <c r="WVA36" s="14"/>
      <c r="WVB36" s="14"/>
      <c r="WVC36" s="14"/>
      <c r="WVD36" s="14"/>
      <c r="WVE36" s="14"/>
      <c r="WVF36" s="14"/>
      <c r="WVG36" s="14"/>
      <c r="WVH36" s="14"/>
      <c r="WVI36" s="14"/>
      <c r="WVJ36" s="14"/>
      <c r="WVK36" s="14"/>
      <c r="WVL36" s="14"/>
      <c r="WVM36" s="14"/>
      <c r="WVN36" s="14"/>
      <c r="WVO36" s="14"/>
      <c r="WVP36" s="14"/>
      <c r="WVQ36" s="14"/>
      <c r="WVR36" s="14"/>
      <c r="WVS36" s="14"/>
      <c r="WVT36" s="14"/>
      <c r="WVU36" s="14"/>
      <c r="WVV36" s="14"/>
      <c r="WVW36" s="14"/>
      <c r="WVX36" s="14"/>
      <c r="WVY36" s="14"/>
      <c r="WVZ36" s="14"/>
      <c r="WWA36" s="14"/>
      <c r="WWB36" s="14"/>
      <c r="WWC36" s="14"/>
      <c r="WWD36" s="14"/>
      <c r="WWE36" s="14"/>
      <c r="WWF36" s="14"/>
      <c r="WWG36" s="14"/>
      <c r="WWH36" s="14"/>
      <c r="WWI36" s="14"/>
      <c r="WWJ36" s="14"/>
      <c r="WWK36" s="14"/>
      <c r="WWL36" s="14"/>
      <c r="WWM36" s="14"/>
      <c r="WWN36" s="14"/>
      <c r="WWO36" s="14"/>
      <c r="WWP36" s="14"/>
      <c r="WWQ36" s="14"/>
      <c r="WWR36" s="14"/>
      <c r="WWS36" s="14"/>
      <c r="WWT36" s="14"/>
      <c r="WWU36" s="14"/>
      <c r="WWV36" s="14"/>
      <c r="WWW36" s="14"/>
      <c r="WWX36" s="14"/>
      <c r="WWY36" s="14"/>
      <c r="WWZ36" s="14"/>
      <c r="WXA36" s="14"/>
      <c r="WXB36" s="14"/>
      <c r="WXC36" s="14"/>
      <c r="WXD36" s="14"/>
      <c r="WXE36" s="14"/>
      <c r="WXF36" s="14"/>
      <c r="WXG36" s="14"/>
      <c r="WXH36" s="14"/>
      <c r="WXI36" s="14"/>
      <c r="WXJ36" s="14"/>
      <c r="WXK36" s="14"/>
      <c r="WXL36" s="14"/>
      <c r="WXM36" s="14"/>
      <c r="WXN36" s="14"/>
      <c r="WXO36" s="14"/>
      <c r="WXP36" s="14"/>
      <c r="WXQ36" s="14"/>
      <c r="WXR36" s="14"/>
      <c r="WXS36" s="14"/>
      <c r="WXT36" s="14"/>
      <c r="WXU36" s="14"/>
      <c r="WXV36" s="14"/>
      <c r="WXW36" s="14"/>
      <c r="WXX36" s="14"/>
      <c r="WXY36" s="14"/>
      <c r="WXZ36" s="14"/>
      <c r="WYA36" s="14"/>
      <c r="WYB36" s="14"/>
      <c r="WYC36" s="14"/>
      <c r="WYD36" s="14"/>
      <c r="WYE36" s="14"/>
      <c r="WYF36" s="14"/>
      <c r="WYG36" s="14"/>
      <c r="WYH36" s="14"/>
      <c r="WYI36" s="14"/>
      <c r="WYJ36" s="14"/>
      <c r="WYK36" s="14"/>
      <c r="WYL36" s="14"/>
      <c r="WYM36" s="14"/>
      <c r="WYN36" s="14"/>
      <c r="WYO36" s="14"/>
      <c r="WYP36" s="14"/>
      <c r="WYQ36" s="14"/>
      <c r="WYR36" s="14"/>
      <c r="WYS36" s="14"/>
      <c r="WYT36" s="14"/>
      <c r="WYU36" s="14"/>
      <c r="WYV36" s="14"/>
      <c r="WYW36" s="14"/>
      <c r="WYX36" s="14"/>
      <c r="WYY36" s="14"/>
      <c r="WYZ36" s="14"/>
      <c r="WZA36" s="14"/>
      <c r="WZB36" s="14"/>
      <c r="WZC36" s="14"/>
      <c r="WZD36" s="14"/>
      <c r="WZE36" s="14"/>
      <c r="WZF36" s="14"/>
      <c r="WZG36" s="14"/>
      <c r="WZH36" s="14"/>
      <c r="WZI36" s="14"/>
      <c r="WZJ36" s="14"/>
      <c r="WZK36" s="14"/>
      <c r="WZL36" s="14"/>
      <c r="WZM36" s="14"/>
      <c r="WZN36" s="14"/>
      <c r="WZO36" s="14"/>
      <c r="WZP36" s="14"/>
      <c r="WZQ36" s="14"/>
      <c r="WZR36" s="14"/>
      <c r="WZS36" s="14"/>
      <c r="WZT36" s="14"/>
      <c r="WZU36" s="14"/>
      <c r="WZV36" s="14"/>
      <c r="WZW36" s="14"/>
      <c r="WZX36" s="14"/>
      <c r="WZY36" s="14"/>
      <c r="WZZ36" s="14"/>
      <c r="XAA36" s="14"/>
      <c r="XAB36" s="14"/>
      <c r="XAC36" s="14"/>
      <c r="XAD36" s="14"/>
      <c r="XAE36" s="14"/>
      <c r="XAF36" s="14"/>
      <c r="XAG36" s="14"/>
      <c r="XAH36" s="14"/>
      <c r="XAI36" s="14"/>
      <c r="XAJ36" s="14"/>
      <c r="XAK36" s="14"/>
      <c r="XAL36" s="14"/>
      <c r="XAM36" s="14"/>
      <c r="XAN36" s="14"/>
      <c r="XAO36" s="14"/>
      <c r="XAP36" s="14"/>
      <c r="XAQ36" s="14"/>
      <c r="XAR36" s="14"/>
      <c r="XAS36" s="14"/>
      <c r="XAT36" s="14"/>
      <c r="XAU36" s="14"/>
      <c r="XAV36" s="14"/>
      <c r="XAW36" s="14"/>
      <c r="XAX36" s="14"/>
      <c r="XAY36" s="14"/>
      <c r="XAZ36" s="14"/>
      <c r="XBA36" s="14"/>
      <c r="XBB36" s="14"/>
      <c r="XBC36" s="14"/>
      <c r="XBD36" s="14"/>
      <c r="XBE36" s="14"/>
      <c r="XBF36" s="14"/>
      <c r="XBG36" s="14"/>
      <c r="XBH36" s="14"/>
      <c r="XBI36" s="14"/>
      <c r="XBJ36" s="14"/>
      <c r="XBK36" s="14"/>
      <c r="XBL36" s="14"/>
      <c r="XBM36" s="14"/>
      <c r="XBN36" s="14"/>
      <c r="XBO36" s="14"/>
      <c r="XBP36" s="14"/>
      <c r="XBQ36" s="14"/>
      <c r="XBR36" s="14"/>
      <c r="XBS36" s="14"/>
      <c r="XBT36" s="14"/>
      <c r="XBU36" s="14"/>
      <c r="XBV36" s="14"/>
      <c r="XBW36" s="14"/>
      <c r="XBX36" s="14"/>
      <c r="XBY36" s="14"/>
      <c r="XBZ36" s="14"/>
      <c r="XCA36" s="14"/>
      <c r="XCB36" s="14"/>
      <c r="XCC36" s="14"/>
      <c r="XCD36" s="14"/>
      <c r="XCE36" s="14"/>
      <c r="XCF36" s="14"/>
      <c r="XCG36" s="14"/>
      <c r="XCH36" s="14"/>
      <c r="XCI36" s="14"/>
      <c r="XCJ36" s="14"/>
      <c r="XCK36" s="14"/>
      <c r="XCL36" s="14"/>
      <c r="XCM36" s="14"/>
      <c r="XCN36" s="14"/>
      <c r="XCO36" s="14"/>
      <c r="XCP36" s="14"/>
      <c r="XCQ36" s="14"/>
      <c r="XCR36" s="14"/>
      <c r="XCS36" s="14"/>
      <c r="XCT36" s="14"/>
      <c r="XCU36" s="14"/>
      <c r="XCV36" s="14"/>
      <c r="XCW36" s="14"/>
      <c r="XCX36" s="14"/>
      <c r="XCY36" s="14"/>
      <c r="XCZ36" s="14"/>
      <c r="XDA36" s="14"/>
      <c r="XDB36" s="14"/>
      <c r="XDC36" s="14"/>
      <c r="XDD36" s="14"/>
      <c r="XDE36" s="14"/>
      <c r="XDF36" s="14"/>
      <c r="XDG36" s="14"/>
      <c r="XDH36" s="14"/>
      <c r="XDI36" s="14"/>
      <c r="XDJ36" s="14"/>
      <c r="XDK36" s="14"/>
      <c r="XDL36" s="14"/>
      <c r="XDM36" s="14"/>
      <c r="XDN36" s="14"/>
      <c r="XDO36" s="14"/>
      <c r="XDP36" s="14"/>
      <c r="XDQ36" s="14"/>
      <c r="XDR36" s="14"/>
      <c r="XDS36" s="14"/>
      <c r="XDT36" s="14"/>
      <c r="XDU36" s="14"/>
      <c r="XDV36" s="14"/>
      <c r="XDW36" s="14"/>
      <c r="XDX36" s="14"/>
      <c r="XDY36" s="14"/>
      <c r="XDZ36" s="14"/>
      <c r="XEA36" s="14"/>
      <c r="XEB36" s="14"/>
      <c r="XEC36" s="14"/>
      <c r="XED36" s="14"/>
      <c r="XEE36" s="14"/>
      <c r="XEF36" s="14"/>
      <c r="XEG36" s="14"/>
      <c r="XEH36" s="14"/>
      <c r="XEI36" s="14"/>
      <c r="XEJ36" s="14"/>
      <c r="XEK36" s="14"/>
      <c r="XEL36" s="14"/>
      <c r="XEM36" s="14"/>
      <c r="XEN36" s="14"/>
      <c r="XEO36" s="14"/>
      <c r="XEP36" s="14"/>
      <c r="XEQ36" s="14"/>
      <c r="XER36" s="14"/>
      <c r="XES36" s="14"/>
      <c r="XET36" s="14"/>
      <c r="XEU36" s="14"/>
      <c r="XEV36" s="14"/>
      <c r="XEW36" s="14"/>
      <c r="XEX36" s="14"/>
      <c r="XEY36" s="14"/>
      <c r="XEZ36" s="14"/>
      <c r="XFA36" s="14"/>
      <c r="XFB36" s="14"/>
      <c r="XFC36" s="14"/>
    </row>
    <row r="37" spans="1:16383" s="14" customFormat="1">
      <c r="A37" s="12">
        <v>36</v>
      </c>
      <c r="B37" s="1" t="s">
        <v>35</v>
      </c>
      <c r="C37" s="42" t="s">
        <v>36</v>
      </c>
      <c r="D37" s="42" t="s">
        <v>106</v>
      </c>
      <c r="E37" s="42" t="s">
        <v>107</v>
      </c>
      <c r="F37" s="4">
        <v>1579498</v>
      </c>
      <c r="G37" s="45" t="s">
        <v>60</v>
      </c>
      <c r="H37" s="14">
        <v>87081090</v>
      </c>
      <c r="I37" s="4">
        <v>0</v>
      </c>
      <c r="J37" s="4">
        <v>0</v>
      </c>
      <c r="K37" s="4">
        <v>300904.45</v>
      </c>
      <c r="L37" s="4">
        <v>0</v>
      </c>
      <c r="M37" s="14" t="s">
        <v>108</v>
      </c>
      <c r="N37" s="15">
        <f>SUM(I37:L37)</f>
        <v>300904.45</v>
      </c>
    </row>
    <row r="38" spans="1:16383" s="14" customFormat="1">
      <c r="A38" s="12">
        <v>37</v>
      </c>
      <c r="B38" s="1" t="s">
        <v>35</v>
      </c>
      <c r="C38" s="42" t="s">
        <v>36</v>
      </c>
      <c r="D38" s="42" t="s">
        <v>109</v>
      </c>
      <c r="E38" s="42" t="s">
        <v>110</v>
      </c>
      <c r="F38" s="4">
        <v>119174</v>
      </c>
      <c r="G38" s="45" t="s">
        <v>60</v>
      </c>
      <c r="H38" s="14">
        <v>87081090</v>
      </c>
      <c r="I38" s="4">
        <v>0</v>
      </c>
      <c r="J38" s="4">
        <v>0</v>
      </c>
      <c r="K38" s="4">
        <v>20671.740000000002</v>
      </c>
      <c r="L38" s="4">
        <v>0</v>
      </c>
      <c r="M38" s="14" t="s">
        <v>108</v>
      </c>
      <c r="N38" s="15">
        <f t="shared" ref="N38:N48" si="2">SUM(I38:L38)</f>
        <v>20671.740000000002</v>
      </c>
    </row>
    <row r="39" spans="1:16383" s="14" customFormat="1">
      <c r="A39" s="12">
        <v>38</v>
      </c>
      <c r="B39" s="1" t="s">
        <v>90</v>
      </c>
      <c r="C39" s="42" t="s">
        <v>91</v>
      </c>
      <c r="D39" s="42" t="s">
        <v>111</v>
      </c>
      <c r="E39" s="42" t="s">
        <v>112</v>
      </c>
      <c r="F39" s="4">
        <v>-97120</v>
      </c>
      <c r="G39" s="45" t="s">
        <v>60</v>
      </c>
      <c r="H39" s="14">
        <v>40139020</v>
      </c>
      <c r="I39" s="4">
        <v>-7407.45</v>
      </c>
      <c r="J39" s="4">
        <v>-7407.45</v>
      </c>
      <c r="K39" s="4">
        <v>0</v>
      </c>
      <c r="L39" s="4">
        <v>0</v>
      </c>
      <c r="M39" s="14" t="s">
        <v>108</v>
      </c>
      <c r="N39" s="15">
        <f t="shared" si="2"/>
        <v>-14814.9</v>
      </c>
    </row>
    <row r="40" spans="1:16383" s="14" customFormat="1">
      <c r="A40" s="12">
        <v>39</v>
      </c>
      <c r="B40" s="1" t="s">
        <v>85</v>
      </c>
      <c r="C40" s="42" t="s">
        <v>86</v>
      </c>
      <c r="D40" s="42" t="s">
        <v>113</v>
      </c>
      <c r="E40" s="42" t="s">
        <v>114</v>
      </c>
      <c r="F40" s="4">
        <v>161424</v>
      </c>
      <c r="G40" s="45" t="s">
        <v>60</v>
      </c>
      <c r="H40" s="14">
        <v>65061090</v>
      </c>
      <c r="I40" s="4">
        <v>0</v>
      </c>
      <c r="J40" s="4">
        <v>0</v>
      </c>
      <c r="K40" s="4">
        <v>24624</v>
      </c>
      <c r="L40" s="4">
        <v>0</v>
      </c>
      <c r="M40" s="14" t="s">
        <v>108</v>
      </c>
      <c r="N40" s="15">
        <f t="shared" si="2"/>
        <v>24624</v>
      </c>
    </row>
    <row r="41" spans="1:16383" s="14" customFormat="1">
      <c r="A41" s="12">
        <v>40</v>
      </c>
      <c r="B41" s="1" t="s">
        <v>115</v>
      </c>
      <c r="C41" s="42" t="s">
        <v>53</v>
      </c>
      <c r="D41" s="42" t="s">
        <v>116</v>
      </c>
      <c r="E41" s="42" t="s">
        <v>117</v>
      </c>
      <c r="F41" s="4">
        <v>156472</v>
      </c>
      <c r="G41" s="45" t="s">
        <v>60</v>
      </c>
      <c r="H41" s="14">
        <v>87089900</v>
      </c>
      <c r="I41" s="4">
        <v>0</v>
      </c>
      <c r="J41" s="4">
        <v>0</v>
      </c>
      <c r="K41" s="4">
        <v>31072</v>
      </c>
      <c r="L41" s="4">
        <v>0</v>
      </c>
      <c r="M41" s="14" t="s">
        <v>108</v>
      </c>
      <c r="N41" s="15">
        <f t="shared" si="2"/>
        <v>31072</v>
      </c>
    </row>
    <row r="42" spans="1:16383" s="14" customFormat="1">
      <c r="A42" s="12">
        <v>41</v>
      </c>
      <c r="B42" s="1" t="s">
        <v>52</v>
      </c>
      <c r="C42" s="42" t="s">
        <v>53</v>
      </c>
      <c r="D42" s="42" t="s">
        <v>118</v>
      </c>
      <c r="E42" s="42" t="s">
        <v>117</v>
      </c>
      <c r="F42" s="4">
        <v>733808</v>
      </c>
      <c r="G42" s="45" t="s">
        <v>60</v>
      </c>
      <c r="H42" s="14">
        <v>87089900</v>
      </c>
      <c r="I42" s="4">
        <v>78400.88</v>
      </c>
      <c r="J42" s="4">
        <v>78400.88</v>
      </c>
      <c r="K42" s="4">
        <v>0</v>
      </c>
      <c r="L42" s="4">
        <v>0</v>
      </c>
      <c r="M42" s="14" t="s">
        <v>108</v>
      </c>
      <c r="N42" s="15">
        <f t="shared" si="2"/>
        <v>156801.76</v>
      </c>
    </row>
    <row r="43" spans="1:16383" s="14" customFormat="1">
      <c r="A43" s="12">
        <v>42</v>
      </c>
      <c r="B43" s="1" t="s">
        <v>119</v>
      </c>
      <c r="C43" s="42" t="s">
        <v>120</v>
      </c>
      <c r="D43" s="42" t="s">
        <v>121</v>
      </c>
      <c r="E43" s="42" t="s">
        <v>122</v>
      </c>
      <c r="F43" s="4">
        <v>213000</v>
      </c>
      <c r="G43" s="45" t="s">
        <v>60</v>
      </c>
      <c r="H43" s="14">
        <v>87089900</v>
      </c>
      <c r="I43" s="4">
        <v>0</v>
      </c>
      <c r="J43" s="4">
        <v>0</v>
      </c>
      <c r="K43" s="4">
        <v>46593.68</v>
      </c>
      <c r="L43" s="4">
        <v>0</v>
      </c>
      <c r="M43" s="14" t="s">
        <v>108</v>
      </c>
      <c r="N43" s="15">
        <f t="shared" si="2"/>
        <v>46593.68</v>
      </c>
    </row>
    <row r="44" spans="1:16383" s="14" customFormat="1">
      <c r="A44" s="12">
        <v>43</v>
      </c>
      <c r="B44" s="1" t="s">
        <v>123</v>
      </c>
      <c r="C44" s="42" t="s">
        <v>124</v>
      </c>
      <c r="D44" s="42" t="s">
        <v>125</v>
      </c>
      <c r="E44" s="42" t="s">
        <v>126</v>
      </c>
      <c r="F44" s="4">
        <v>156400</v>
      </c>
      <c r="G44" s="45" t="s">
        <v>127</v>
      </c>
      <c r="H44" s="14">
        <v>40111090</v>
      </c>
      <c r="I44" s="4">
        <v>0</v>
      </c>
      <c r="J44" s="4">
        <v>0</v>
      </c>
      <c r="K44" s="4">
        <v>34212.5</v>
      </c>
      <c r="L44" s="4">
        <v>0</v>
      </c>
      <c r="M44" s="14" t="s">
        <v>108</v>
      </c>
      <c r="N44" s="15">
        <f t="shared" si="2"/>
        <v>34212.5</v>
      </c>
    </row>
    <row r="45" spans="1:16383" s="14" customFormat="1">
      <c r="A45" s="12">
        <v>44</v>
      </c>
      <c r="B45" s="1" t="s">
        <v>47</v>
      </c>
      <c r="C45" s="42" t="s">
        <v>48</v>
      </c>
      <c r="D45" s="42" t="s">
        <v>128</v>
      </c>
      <c r="E45" s="42" t="s">
        <v>117</v>
      </c>
      <c r="F45" s="4">
        <v>249001</v>
      </c>
      <c r="G45" s="45" t="s">
        <v>127</v>
      </c>
      <c r="H45" s="14">
        <v>40114020</v>
      </c>
      <c r="I45" s="4">
        <v>27234.48</v>
      </c>
      <c r="J45" s="4">
        <v>27234.48</v>
      </c>
      <c r="K45" s="4">
        <v>0</v>
      </c>
      <c r="L45" s="4">
        <v>0</v>
      </c>
      <c r="M45" s="14" t="s">
        <v>108</v>
      </c>
      <c r="N45" s="15">
        <f t="shared" si="2"/>
        <v>54468.959999999999</v>
      </c>
    </row>
    <row r="46" spans="1:16383" s="14" customFormat="1">
      <c r="A46" s="12">
        <v>45</v>
      </c>
      <c r="B46" s="1" t="s">
        <v>55</v>
      </c>
      <c r="C46" s="42" t="s">
        <v>56</v>
      </c>
      <c r="D46" s="42" t="s">
        <v>129</v>
      </c>
      <c r="E46" s="42" t="s">
        <v>126</v>
      </c>
      <c r="F46" s="4">
        <v>1042789</v>
      </c>
      <c r="G46" s="45" t="s">
        <v>127</v>
      </c>
      <c r="H46" s="14">
        <v>87089900</v>
      </c>
      <c r="I46" s="4">
        <v>0</v>
      </c>
      <c r="J46" s="4">
        <v>0</v>
      </c>
      <c r="K46" s="4">
        <v>204869.52</v>
      </c>
      <c r="L46" s="4">
        <v>0</v>
      </c>
      <c r="M46" s="14" t="s">
        <v>108</v>
      </c>
      <c r="N46" s="15">
        <f t="shared" si="2"/>
        <v>204869.52</v>
      </c>
    </row>
    <row r="47" spans="1:16383" s="14" customFormat="1">
      <c r="A47" s="12">
        <v>46</v>
      </c>
      <c r="B47" s="1" t="s">
        <v>35</v>
      </c>
      <c r="C47" s="42" t="s">
        <v>36</v>
      </c>
      <c r="D47" s="42" t="s">
        <v>130</v>
      </c>
      <c r="E47" s="42" t="s">
        <v>131</v>
      </c>
      <c r="F47" s="4">
        <v>-1579498</v>
      </c>
      <c r="G47" s="45" t="s">
        <v>127</v>
      </c>
      <c r="H47" s="14">
        <v>87081090</v>
      </c>
      <c r="I47" s="4">
        <v>0</v>
      </c>
      <c r="J47" s="4">
        <v>0</v>
      </c>
      <c r="K47" s="12">
        <v>-300904.45</v>
      </c>
      <c r="L47" s="4">
        <v>0</v>
      </c>
      <c r="M47" s="14" t="s">
        <v>108</v>
      </c>
      <c r="N47" s="15">
        <f t="shared" si="2"/>
        <v>-300904.45</v>
      </c>
    </row>
    <row r="48" spans="1:16383" s="14" customFormat="1">
      <c r="A48" s="12">
        <v>47</v>
      </c>
      <c r="B48" s="1" t="s">
        <v>35</v>
      </c>
      <c r="C48" s="42" t="s">
        <v>36</v>
      </c>
      <c r="D48" s="42" t="s">
        <v>132</v>
      </c>
      <c r="E48" s="42" t="s">
        <v>133</v>
      </c>
      <c r="F48" s="4">
        <v>-119174</v>
      </c>
      <c r="G48" s="45" t="s">
        <v>127</v>
      </c>
      <c r="H48" s="14">
        <v>87081090</v>
      </c>
      <c r="I48" s="4">
        <v>0</v>
      </c>
      <c r="J48" s="4">
        <v>0</v>
      </c>
      <c r="K48" s="12">
        <v>-20671.740000000002</v>
      </c>
      <c r="L48" s="4">
        <v>0</v>
      </c>
      <c r="M48" s="14" t="s">
        <v>108</v>
      </c>
      <c r="N48" s="15">
        <f t="shared" si="2"/>
        <v>-20671.740000000002</v>
      </c>
    </row>
    <row r="49" spans="1:14" s="14" customFormat="1">
      <c r="A49" s="12">
        <v>48</v>
      </c>
      <c r="B49" s="1" t="s">
        <v>52</v>
      </c>
      <c r="C49" s="42" t="s">
        <v>53</v>
      </c>
      <c r="D49" s="42" t="s">
        <v>134</v>
      </c>
      <c r="E49" s="42" t="s">
        <v>135</v>
      </c>
      <c r="F49" s="4">
        <v>627414</v>
      </c>
      <c r="G49" s="45" t="s">
        <v>60</v>
      </c>
      <c r="H49" s="17">
        <v>87089900</v>
      </c>
      <c r="I49" s="4">
        <v>47853.63</v>
      </c>
      <c r="J49" s="4">
        <v>47853.63</v>
      </c>
      <c r="K49" s="4">
        <v>0</v>
      </c>
      <c r="L49" s="4">
        <v>0</v>
      </c>
      <c r="M49" s="14" t="s">
        <v>108</v>
      </c>
      <c r="N49" s="15">
        <f t="shared" ref="N49:N55" si="3">SUM(I49:L49)</f>
        <v>95707.26</v>
      </c>
    </row>
    <row r="50" spans="1:14" s="14" customFormat="1">
      <c r="A50" s="12">
        <v>49</v>
      </c>
      <c r="B50" s="1" t="s">
        <v>136</v>
      </c>
      <c r="C50" s="42" t="s">
        <v>137</v>
      </c>
      <c r="D50" s="42" t="s">
        <v>138</v>
      </c>
      <c r="E50" s="42" t="s">
        <v>139</v>
      </c>
      <c r="F50" s="4">
        <v>3774068</v>
      </c>
      <c r="G50" s="45" t="s">
        <v>60</v>
      </c>
      <c r="H50" s="17">
        <v>87082900</v>
      </c>
      <c r="I50" s="4">
        <v>0</v>
      </c>
      <c r="J50" s="4">
        <v>0</v>
      </c>
      <c r="K50" s="4">
        <v>789218</v>
      </c>
      <c r="L50" s="4">
        <v>0</v>
      </c>
      <c r="M50" s="14" t="s">
        <v>108</v>
      </c>
      <c r="N50" s="15">
        <f t="shared" si="3"/>
        <v>789218</v>
      </c>
    </row>
    <row r="51" spans="1:14" s="14" customFormat="1">
      <c r="A51" s="12">
        <v>50</v>
      </c>
      <c r="B51" s="1" t="s">
        <v>140</v>
      </c>
      <c r="C51" s="42" t="s">
        <v>141</v>
      </c>
      <c r="D51" s="42" t="s">
        <v>142</v>
      </c>
      <c r="E51" s="42" t="s">
        <v>79</v>
      </c>
      <c r="F51" s="4">
        <v>225455</v>
      </c>
      <c r="G51" s="61" t="s">
        <v>143</v>
      </c>
      <c r="H51" s="14">
        <v>440189</v>
      </c>
      <c r="I51" s="4">
        <v>0</v>
      </c>
      <c r="J51" s="4">
        <v>0</v>
      </c>
      <c r="K51" s="4">
        <v>30557.599999999999</v>
      </c>
      <c r="L51" s="4">
        <v>0</v>
      </c>
      <c r="M51" s="14" t="s">
        <v>108</v>
      </c>
      <c r="N51" s="15">
        <f t="shared" si="3"/>
        <v>30557.599999999999</v>
      </c>
    </row>
    <row r="52" spans="1:14" s="14" customFormat="1">
      <c r="A52" s="12">
        <v>51</v>
      </c>
      <c r="B52" s="1" t="s">
        <v>20</v>
      </c>
      <c r="C52" s="42" t="s">
        <v>21</v>
      </c>
      <c r="D52" s="42" t="s">
        <v>118</v>
      </c>
      <c r="E52" s="42" t="s">
        <v>135</v>
      </c>
      <c r="F52" s="4">
        <v>255376</v>
      </c>
      <c r="G52" s="45" t="s">
        <v>60</v>
      </c>
      <c r="H52" s="14">
        <v>7318</v>
      </c>
      <c r="I52" s="4">
        <v>0</v>
      </c>
      <c r="J52" s="4">
        <v>0</v>
      </c>
      <c r="K52" s="4">
        <v>42263.34</v>
      </c>
      <c r="L52" s="4">
        <v>0</v>
      </c>
      <c r="M52" s="14" t="s">
        <v>108</v>
      </c>
      <c r="N52" s="15">
        <f t="shared" si="3"/>
        <v>42263.34</v>
      </c>
    </row>
    <row r="53" spans="1:14" s="14" customFormat="1">
      <c r="A53" s="12">
        <v>52</v>
      </c>
      <c r="B53" s="1" t="s">
        <v>144</v>
      </c>
      <c r="C53" s="42" t="s">
        <v>145</v>
      </c>
      <c r="D53" s="42" t="s">
        <v>146</v>
      </c>
      <c r="E53" s="42" t="s">
        <v>147</v>
      </c>
      <c r="F53" s="4">
        <v>1434295</v>
      </c>
      <c r="G53" s="45" t="s">
        <v>60</v>
      </c>
      <c r="H53" s="14">
        <v>8714</v>
      </c>
      <c r="I53" s="4">
        <v>0</v>
      </c>
      <c r="J53" s="4">
        <v>0</v>
      </c>
      <c r="K53" s="4">
        <v>291455.2</v>
      </c>
      <c r="L53" s="4">
        <v>0</v>
      </c>
      <c r="M53" s="14" t="s">
        <v>108</v>
      </c>
      <c r="N53" s="15">
        <f t="shared" si="3"/>
        <v>291455.2</v>
      </c>
    </row>
    <row r="54" spans="1:14" s="14" customFormat="1">
      <c r="A54" s="12">
        <v>53</v>
      </c>
      <c r="B54" s="1" t="s">
        <v>144</v>
      </c>
      <c r="C54" s="42" t="s">
        <v>145</v>
      </c>
      <c r="D54" s="42" t="s">
        <v>148</v>
      </c>
      <c r="E54" s="42" t="s">
        <v>135</v>
      </c>
      <c r="F54" s="4">
        <v>2329967</v>
      </c>
      <c r="G54" s="45" t="s">
        <v>60</v>
      </c>
      <c r="H54" s="14">
        <v>8714</v>
      </c>
      <c r="I54" s="4">
        <v>0</v>
      </c>
      <c r="J54" s="4">
        <v>0</v>
      </c>
      <c r="K54" s="4">
        <v>473469.44</v>
      </c>
      <c r="L54" s="4">
        <v>0</v>
      </c>
      <c r="M54" s="14" t="s">
        <v>108</v>
      </c>
      <c r="N54" s="15">
        <f t="shared" si="3"/>
        <v>473469.44</v>
      </c>
    </row>
    <row r="55" spans="1:14" s="14" customFormat="1">
      <c r="A55" s="12">
        <v>54</v>
      </c>
      <c r="B55" s="1" t="s">
        <v>149</v>
      </c>
      <c r="C55" s="42" t="s">
        <v>150</v>
      </c>
      <c r="D55" s="42" t="s">
        <v>151</v>
      </c>
      <c r="E55" s="42" t="s">
        <v>147</v>
      </c>
      <c r="F55" s="4">
        <v>3587473</v>
      </c>
      <c r="G55" s="45" t="s">
        <v>60</v>
      </c>
      <c r="H55" s="14">
        <v>73221900</v>
      </c>
      <c r="I55" s="4">
        <v>0</v>
      </c>
      <c r="J55" s="4">
        <v>0</v>
      </c>
      <c r="K55" s="4">
        <v>686127.6</v>
      </c>
      <c r="L55" s="4">
        <v>0</v>
      </c>
      <c r="M55" s="14" t="s">
        <v>19</v>
      </c>
      <c r="N55" s="15">
        <f t="shared" si="3"/>
        <v>686127.6</v>
      </c>
    </row>
    <row r="56" spans="1:14" s="14" customFormat="1">
      <c r="A56" s="12">
        <v>55</v>
      </c>
      <c r="B56" s="1" t="s">
        <v>152</v>
      </c>
      <c r="C56" s="42" t="s">
        <v>153</v>
      </c>
      <c r="D56" s="42" t="s">
        <v>154</v>
      </c>
      <c r="E56" s="42" t="s">
        <v>155</v>
      </c>
      <c r="F56" s="4">
        <v>48999</v>
      </c>
      <c r="G56" s="45" t="s">
        <v>156</v>
      </c>
      <c r="H56" s="17">
        <v>85171290</v>
      </c>
      <c r="I56" s="4">
        <v>3737.21</v>
      </c>
      <c r="J56" s="4">
        <v>3737.21</v>
      </c>
      <c r="K56" s="4">
        <v>0</v>
      </c>
      <c r="L56" s="4">
        <v>0</v>
      </c>
      <c r="M56" s="14" t="s">
        <v>157</v>
      </c>
      <c r="N56" s="15" t="s">
        <v>202</v>
      </c>
    </row>
    <row r="57" spans="1:14" s="14" customFormat="1">
      <c r="A57" s="12">
        <v>56</v>
      </c>
      <c r="B57" s="1" t="s">
        <v>158</v>
      </c>
      <c r="C57" s="42" t="s">
        <v>159</v>
      </c>
      <c r="D57" s="42" t="s">
        <v>160</v>
      </c>
      <c r="E57" s="42" t="s">
        <v>161</v>
      </c>
      <c r="F57" s="4">
        <v>93605</v>
      </c>
      <c r="G57" s="45" t="s">
        <v>24</v>
      </c>
      <c r="H57" s="17">
        <v>33049990</v>
      </c>
      <c r="I57" s="4">
        <v>0</v>
      </c>
      <c r="J57" s="4">
        <v>0</v>
      </c>
      <c r="K57" s="4">
        <v>14278.68</v>
      </c>
      <c r="L57" s="4">
        <v>0</v>
      </c>
      <c r="M57" s="14" t="s">
        <v>108</v>
      </c>
      <c r="N57" s="15">
        <f t="shared" ref="N57:N68" si="4">SUM(I57:L57)</f>
        <v>14278.68</v>
      </c>
    </row>
    <row r="58" spans="1:14" s="14" customFormat="1">
      <c r="A58" s="12">
        <v>57</v>
      </c>
      <c r="B58" s="1" t="s">
        <v>162</v>
      </c>
      <c r="C58" s="42" t="s">
        <v>163</v>
      </c>
      <c r="D58" s="42" t="s">
        <v>164</v>
      </c>
      <c r="E58" s="42" t="s">
        <v>165</v>
      </c>
      <c r="F58" s="4">
        <v>124928</v>
      </c>
      <c r="G58" s="45" t="s">
        <v>24</v>
      </c>
      <c r="H58" s="14">
        <v>87149100</v>
      </c>
      <c r="I58" s="4">
        <v>0</v>
      </c>
      <c r="J58" s="4">
        <v>0</v>
      </c>
      <c r="K58" s="4">
        <v>27328</v>
      </c>
      <c r="L58" s="4">
        <v>0</v>
      </c>
      <c r="M58" s="14" t="s">
        <v>108</v>
      </c>
      <c r="N58" s="15">
        <f t="shared" si="4"/>
        <v>27328</v>
      </c>
    </row>
    <row r="59" spans="1:14" s="14" customFormat="1">
      <c r="A59" s="12">
        <v>58</v>
      </c>
      <c r="B59" s="1" t="s">
        <v>35</v>
      </c>
      <c r="C59" s="42" t="s">
        <v>36</v>
      </c>
      <c r="D59" s="42" t="s">
        <v>166</v>
      </c>
      <c r="E59" s="42" t="s">
        <v>112</v>
      </c>
      <c r="F59" s="4">
        <v>145860</v>
      </c>
      <c r="G59" s="45" t="s">
        <v>24</v>
      </c>
      <c r="H59" s="14">
        <v>87081090</v>
      </c>
      <c r="I59" s="4">
        <v>0</v>
      </c>
      <c r="J59" s="4">
        <v>0</v>
      </c>
      <c r="K59" s="4">
        <v>30418.89</v>
      </c>
      <c r="L59" s="4">
        <v>0</v>
      </c>
      <c r="M59" s="14" t="s">
        <v>108</v>
      </c>
      <c r="N59" s="15">
        <f t="shared" si="4"/>
        <v>30418.89</v>
      </c>
    </row>
    <row r="60" spans="1:14" s="14" customFormat="1">
      <c r="A60" s="12">
        <v>59</v>
      </c>
      <c r="B60" s="1" t="s">
        <v>35</v>
      </c>
      <c r="C60" s="42" t="s">
        <v>36</v>
      </c>
      <c r="D60" s="42" t="s">
        <v>167</v>
      </c>
      <c r="E60" s="42" t="s">
        <v>168</v>
      </c>
      <c r="F60" s="4">
        <v>1708265</v>
      </c>
      <c r="G60" s="45" t="s">
        <v>24</v>
      </c>
      <c r="H60" s="14">
        <v>87081090</v>
      </c>
      <c r="I60" s="4">
        <v>0</v>
      </c>
      <c r="J60" s="4">
        <v>0</v>
      </c>
      <c r="K60" s="4">
        <v>369990.69</v>
      </c>
      <c r="L60" s="4">
        <v>0</v>
      </c>
      <c r="M60" s="14" t="s">
        <v>108</v>
      </c>
      <c r="N60" s="15">
        <f t="shared" si="4"/>
        <v>369990.69</v>
      </c>
    </row>
    <row r="61" spans="1:14" s="14" customFormat="1">
      <c r="A61" s="12">
        <v>60</v>
      </c>
      <c r="B61" s="1" t="s">
        <v>35</v>
      </c>
      <c r="C61" s="42" t="s">
        <v>36</v>
      </c>
      <c r="D61" s="42" t="s">
        <v>169</v>
      </c>
      <c r="E61" s="42" t="s">
        <v>168</v>
      </c>
      <c r="F61" s="4">
        <v>1593466</v>
      </c>
      <c r="G61" s="45" t="s">
        <v>24</v>
      </c>
      <c r="H61" s="14">
        <v>87081090</v>
      </c>
      <c r="I61" s="4">
        <v>0</v>
      </c>
      <c r="J61" s="4">
        <v>0</v>
      </c>
      <c r="K61" s="4">
        <v>304160.36</v>
      </c>
      <c r="L61" s="4">
        <v>0</v>
      </c>
      <c r="M61" s="14" t="s">
        <v>108</v>
      </c>
      <c r="N61" s="15">
        <f t="shared" si="4"/>
        <v>304160.36</v>
      </c>
    </row>
    <row r="62" spans="1:14" s="14" customFormat="1">
      <c r="A62" s="12">
        <v>61</v>
      </c>
      <c r="B62" s="1" t="s">
        <v>35</v>
      </c>
      <c r="C62" s="42" t="s">
        <v>36</v>
      </c>
      <c r="D62" s="42" t="s">
        <v>170</v>
      </c>
      <c r="E62" s="42" t="s">
        <v>171</v>
      </c>
      <c r="F62" s="13">
        <v>-26905</v>
      </c>
      <c r="G62" s="45" t="s">
        <v>24</v>
      </c>
      <c r="H62" s="14">
        <v>87081090</v>
      </c>
      <c r="I62" s="13">
        <v>0</v>
      </c>
      <c r="J62" s="13">
        <v>0</v>
      </c>
      <c r="K62" s="12">
        <v>-5885.46</v>
      </c>
      <c r="L62" s="4">
        <v>0</v>
      </c>
      <c r="M62" s="14" t="s">
        <v>108</v>
      </c>
      <c r="N62" s="15">
        <f t="shared" si="4"/>
        <v>-5885.46</v>
      </c>
    </row>
    <row r="63" spans="1:14" s="14" customFormat="1">
      <c r="A63" s="12">
        <v>62</v>
      </c>
      <c r="B63" s="1" t="s">
        <v>35</v>
      </c>
      <c r="C63" s="42" t="s">
        <v>36</v>
      </c>
      <c r="D63" s="42" t="s">
        <v>172</v>
      </c>
      <c r="E63" s="42" t="s">
        <v>133</v>
      </c>
      <c r="F63" s="4">
        <v>1198067</v>
      </c>
      <c r="G63" s="45" t="s">
        <v>24</v>
      </c>
      <c r="H63" s="14">
        <v>87081090</v>
      </c>
      <c r="I63" s="4">
        <v>0</v>
      </c>
      <c r="J63" s="4">
        <v>0</v>
      </c>
      <c r="K63" s="4">
        <v>225404.28</v>
      </c>
      <c r="L63" s="4">
        <v>0</v>
      </c>
      <c r="M63" s="14" t="s">
        <v>108</v>
      </c>
      <c r="N63" s="15">
        <f t="shared" si="4"/>
        <v>225404.28</v>
      </c>
    </row>
    <row r="64" spans="1:14" s="14" customFormat="1">
      <c r="A64" s="12">
        <v>63</v>
      </c>
      <c r="B64" s="1" t="s">
        <v>35</v>
      </c>
      <c r="C64" s="42" t="s">
        <v>36</v>
      </c>
      <c r="D64" s="42" t="s">
        <v>173</v>
      </c>
      <c r="E64" s="42" t="s">
        <v>126</v>
      </c>
      <c r="F64" s="4">
        <v>120890</v>
      </c>
      <c r="G64" s="45" t="s">
        <v>24</v>
      </c>
      <c r="H64" s="14">
        <v>87081090</v>
      </c>
      <c r="I64" s="4">
        <v>0</v>
      </c>
      <c r="J64" s="4">
        <v>0</v>
      </c>
      <c r="K64" s="4">
        <v>22084.01</v>
      </c>
      <c r="L64" s="4">
        <v>0</v>
      </c>
      <c r="M64" s="14" t="s">
        <v>108</v>
      </c>
      <c r="N64" s="15">
        <f t="shared" si="4"/>
        <v>22084.01</v>
      </c>
    </row>
    <row r="65" spans="1:28" s="14" customFormat="1">
      <c r="A65" s="12">
        <v>64</v>
      </c>
      <c r="B65" s="1" t="s">
        <v>115</v>
      </c>
      <c r="C65" s="42" t="s">
        <v>53</v>
      </c>
      <c r="D65" s="42" t="s">
        <v>174</v>
      </c>
      <c r="E65" s="42" t="s">
        <v>175</v>
      </c>
      <c r="F65" s="4">
        <v>184548</v>
      </c>
      <c r="G65" s="45" t="s">
        <v>24</v>
      </c>
      <c r="H65" s="17">
        <v>87089900</v>
      </c>
      <c r="I65" s="4">
        <v>0</v>
      </c>
      <c r="J65" s="4">
        <v>0</v>
      </c>
      <c r="K65" s="4">
        <v>30948</v>
      </c>
      <c r="L65" s="4">
        <v>0</v>
      </c>
      <c r="M65" s="14" t="s">
        <v>108</v>
      </c>
      <c r="N65" s="15">
        <f t="shared" si="4"/>
        <v>30948</v>
      </c>
    </row>
    <row r="66" spans="1:28" s="14" customFormat="1">
      <c r="A66" s="12">
        <v>65</v>
      </c>
      <c r="B66" s="1" t="s">
        <v>140</v>
      </c>
      <c r="C66" s="42" t="s">
        <v>141</v>
      </c>
      <c r="D66" s="42" t="s">
        <v>176</v>
      </c>
      <c r="E66" s="42" t="s">
        <v>117</v>
      </c>
      <c r="F66" s="4">
        <v>240762.07</v>
      </c>
      <c r="G66" s="61" t="s">
        <v>143</v>
      </c>
      <c r="H66" s="14">
        <v>440189</v>
      </c>
      <c r="I66" s="4">
        <v>0</v>
      </c>
      <c r="J66" s="4">
        <v>0</v>
      </c>
      <c r="K66" s="4">
        <v>33812.47</v>
      </c>
      <c r="L66" s="4">
        <v>0</v>
      </c>
      <c r="M66" s="14" t="s">
        <v>108</v>
      </c>
      <c r="N66" s="15">
        <f t="shared" si="4"/>
        <v>33812.47</v>
      </c>
    </row>
    <row r="67" spans="1:28" s="14" customFormat="1">
      <c r="A67" s="12">
        <v>66</v>
      </c>
      <c r="B67" s="1" t="s">
        <v>52</v>
      </c>
      <c r="C67" s="42" t="s">
        <v>53</v>
      </c>
      <c r="D67" s="42" t="s">
        <v>177</v>
      </c>
      <c r="E67" s="42" t="s">
        <v>175</v>
      </c>
      <c r="F67" s="4">
        <v>1115674</v>
      </c>
      <c r="G67" s="45" t="s">
        <v>24</v>
      </c>
      <c r="H67" s="17">
        <v>87089900</v>
      </c>
      <c r="I67" s="4">
        <v>115218.25</v>
      </c>
      <c r="J67" s="4">
        <v>115218.25</v>
      </c>
      <c r="K67" s="4">
        <v>0</v>
      </c>
      <c r="L67" s="4">
        <v>0</v>
      </c>
      <c r="M67" s="14" t="s">
        <v>108</v>
      </c>
      <c r="N67" s="15">
        <f t="shared" si="4"/>
        <v>230436.5</v>
      </c>
    </row>
    <row r="68" spans="1:28" s="14" customFormat="1">
      <c r="A68" s="12">
        <v>67</v>
      </c>
      <c r="B68" s="1" t="s">
        <v>149</v>
      </c>
      <c r="C68" s="42" t="s">
        <v>150</v>
      </c>
      <c r="D68" s="42" t="s">
        <v>178</v>
      </c>
      <c r="E68" s="42" t="s">
        <v>179</v>
      </c>
      <c r="F68" s="4">
        <v>2870664.8</v>
      </c>
      <c r="G68" s="45" t="s">
        <v>24</v>
      </c>
      <c r="H68" s="14">
        <v>73221900</v>
      </c>
      <c r="I68" s="4">
        <v>0</v>
      </c>
      <c r="J68" s="4">
        <v>0</v>
      </c>
      <c r="K68" s="4">
        <v>584354.80000000005</v>
      </c>
      <c r="L68" s="4">
        <v>0</v>
      </c>
      <c r="M68" s="14" t="s">
        <v>108</v>
      </c>
      <c r="N68" s="15">
        <f t="shared" si="4"/>
        <v>584354.80000000005</v>
      </c>
    </row>
    <row r="69" spans="1:28" s="14" customFormat="1">
      <c r="A69" s="12">
        <v>68</v>
      </c>
      <c r="B69" s="1" t="s">
        <v>52</v>
      </c>
      <c r="C69" s="42" t="s">
        <v>53</v>
      </c>
      <c r="D69" s="42" t="s">
        <v>180</v>
      </c>
      <c r="E69" s="42" t="s">
        <v>181</v>
      </c>
      <c r="F69" s="4">
        <v>167836</v>
      </c>
      <c r="G69" s="45" t="s">
        <v>182</v>
      </c>
      <c r="H69" s="17">
        <v>87089900</v>
      </c>
      <c r="I69" s="4">
        <v>12801.06</v>
      </c>
      <c r="J69" s="4">
        <v>12801.06</v>
      </c>
      <c r="K69" s="4">
        <v>0</v>
      </c>
      <c r="L69" s="4">
        <v>0</v>
      </c>
      <c r="M69" s="14" t="s">
        <v>108</v>
      </c>
      <c r="N69" s="15">
        <f>SUM(I69:L69)</f>
        <v>25602.12</v>
      </c>
    </row>
    <row r="70" spans="1:28" s="14" customFormat="1">
      <c r="A70" s="12">
        <v>69</v>
      </c>
      <c r="B70" s="1" t="s">
        <v>149</v>
      </c>
      <c r="C70" s="42" t="s">
        <v>150</v>
      </c>
      <c r="D70" s="42" t="s">
        <v>183</v>
      </c>
      <c r="E70" s="42" t="s">
        <v>184</v>
      </c>
      <c r="F70" s="4">
        <v>987016</v>
      </c>
      <c r="G70" s="45" t="s">
        <v>24</v>
      </c>
      <c r="H70" s="14">
        <v>73221900</v>
      </c>
      <c r="I70" s="4">
        <v>0</v>
      </c>
      <c r="J70" s="4">
        <v>0</v>
      </c>
      <c r="K70" s="4">
        <v>192791</v>
      </c>
      <c r="L70" s="4">
        <v>0</v>
      </c>
      <c r="M70" s="14" t="s">
        <v>108</v>
      </c>
      <c r="N70" s="15">
        <f t="shared" ref="N70:N76" si="5">SUM(I70:L70)</f>
        <v>192791</v>
      </c>
    </row>
    <row r="71" spans="1:28" s="14" customFormat="1">
      <c r="A71" s="12">
        <v>70</v>
      </c>
      <c r="B71" s="1" t="s">
        <v>185</v>
      </c>
      <c r="C71" s="42" t="s">
        <v>186</v>
      </c>
      <c r="D71" s="42" t="s">
        <v>187</v>
      </c>
      <c r="E71" s="42" t="s">
        <v>181</v>
      </c>
      <c r="F71" s="4">
        <v>65000</v>
      </c>
      <c r="G71" s="45" t="s">
        <v>24</v>
      </c>
      <c r="H71" s="14">
        <v>7007</v>
      </c>
      <c r="I71" s="4">
        <v>0</v>
      </c>
      <c r="J71" s="4">
        <v>0</v>
      </c>
      <c r="K71" s="4">
        <v>9915.25</v>
      </c>
      <c r="L71" s="4">
        <v>0</v>
      </c>
      <c r="M71" s="14" t="s">
        <v>108</v>
      </c>
      <c r="N71" s="15">
        <f t="shared" si="5"/>
        <v>9915.25</v>
      </c>
    </row>
    <row r="72" spans="1:28" s="14" customFormat="1">
      <c r="A72" s="12">
        <v>71</v>
      </c>
      <c r="B72" s="1" t="s">
        <v>35</v>
      </c>
      <c r="C72" s="42" t="s">
        <v>36</v>
      </c>
      <c r="D72" s="42" t="s">
        <v>188</v>
      </c>
      <c r="E72" s="42" t="s">
        <v>189</v>
      </c>
      <c r="F72" s="4">
        <v>1148850</v>
      </c>
      <c r="G72" s="45" t="s">
        <v>24</v>
      </c>
      <c r="H72" s="14">
        <v>87081090</v>
      </c>
      <c r="I72" s="4">
        <v>0</v>
      </c>
      <c r="J72" s="4">
        <v>0</v>
      </c>
      <c r="K72" s="4">
        <v>251310.95</v>
      </c>
      <c r="L72" s="4">
        <v>0</v>
      </c>
      <c r="M72" s="14" t="s">
        <v>108</v>
      </c>
      <c r="N72" s="15">
        <f t="shared" si="5"/>
        <v>251310.95</v>
      </c>
    </row>
    <row r="73" spans="1:28" s="14" customFormat="1">
      <c r="A73" s="12">
        <v>72</v>
      </c>
      <c r="B73" s="1" t="s">
        <v>35</v>
      </c>
      <c r="C73" s="42" t="s">
        <v>36</v>
      </c>
      <c r="D73" s="42" t="s">
        <v>190</v>
      </c>
      <c r="E73" s="42" t="s">
        <v>189</v>
      </c>
      <c r="F73" s="4">
        <v>309348</v>
      </c>
      <c r="G73" s="45" t="s">
        <v>24</v>
      </c>
      <c r="H73" s="14">
        <v>87081090</v>
      </c>
      <c r="I73" s="4">
        <v>0</v>
      </c>
      <c r="J73" s="4">
        <v>0</v>
      </c>
      <c r="K73" s="4">
        <v>49076.72</v>
      </c>
      <c r="L73" s="4">
        <v>0</v>
      </c>
      <c r="M73" s="14" t="s">
        <v>108</v>
      </c>
      <c r="N73" s="15">
        <f t="shared" si="5"/>
        <v>49076.72</v>
      </c>
    </row>
    <row r="74" spans="1:28" s="14" customFormat="1">
      <c r="A74" s="12">
        <v>73</v>
      </c>
      <c r="B74" s="1" t="s">
        <v>35</v>
      </c>
      <c r="C74" s="42" t="s">
        <v>36</v>
      </c>
      <c r="D74" s="42" t="s">
        <v>191</v>
      </c>
      <c r="E74" s="42" t="s">
        <v>189</v>
      </c>
      <c r="F74" s="4">
        <v>5328303</v>
      </c>
      <c r="G74" s="45" t="s">
        <v>24</v>
      </c>
      <c r="H74" s="14">
        <v>87081090</v>
      </c>
      <c r="I74" s="4">
        <v>0</v>
      </c>
      <c r="J74" s="4">
        <v>0</v>
      </c>
      <c r="K74" s="4">
        <v>1130493.33</v>
      </c>
      <c r="L74" s="4">
        <v>0</v>
      </c>
      <c r="M74" s="14" t="s">
        <v>108</v>
      </c>
      <c r="N74" s="15">
        <f t="shared" si="5"/>
        <v>1130493.33</v>
      </c>
    </row>
    <row r="75" spans="1:28" s="14" customFormat="1">
      <c r="A75" s="12">
        <v>74</v>
      </c>
      <c r="B75" s="1" t="s">
        <v>35</v>
      </c>
      <c r="C75" s="42" t="s">
        <v>36</v>
      </c>
      <c r="D75" s="42" t="s">
        <v>192</v>
      </c>
      <c r="E75" s="42" t="s">
        <v>193</v>
      </c>
      <c r="F75" s="4">
        <v>888090</v>
      </c>
      <c r="G75" s="45" t="s">
        <v>24</v>
      </c>
      <c r="H75" s="14">
        <v>87081090</v>
      </c>
      <c r="I75" s="4">
        <v>0</v>
      </c>
      <c r="J75" s="4">
        <v>0</v>
      </c>
      <c r="K75" s="4">
        <v>158871.03</v>
      </c>
      <c r="L75" s="4">
        <v>0</v>
      </c>
      <c r="M75" s="14" t="s">
        <v>108</v>
      </c>
      <c r="N75" s="15">
        <f t="shared" si="5"/>
        <v>158871.03</v>
      </c>
    </row>
    <row r="76" spans="1:28" s="14" customFormat="1">
      <c r="A76" s="12">
        <v>75</v>
      </c>
      <c r="B76" s="1" t="s">
        <v>194</v>
      </c>
      <c r="C76" s="42" t="s">
        <v>195</v>
      </c>
      <c r="D76" s="42" t="s">
        <v>196</v>
      </c>
      <c r="E76" s="42" t="s">
        <v>197</v>
      </c>
      <c r="F76" s="4">
        <v>101222</v>
      </c>
      <c r="G76" s="45" t="s">
        <v>24</v>
      </c>
      <c r="H76" s="14">
        <v>87089900</v>
      </c>
      <c r="I76" s="4">
        <v>11071.2</v>
      </c>
      <c r="J76" s="4">
        <v>11071.2</v>
      </c>
      <c r="K76" s="4">
        <v>0</v>
      </c>
      <c r="L76" s="4">
        <v>0</v>
      </c>
      <c r="M76" s="14" t="s">
        <v>108</v>
      </c>
      <c r="N76" s="15">
        <f t="shared" si="5"/>
        <v>22142.400000000001</v>
      </c>
    </row>
    <row r="77" spans="1:28">
      <c r="A77" s="12">
        <v>76</v>
      </c>
      <c r="B77" s="3" t="s">
        <v>198</v>
      </c>
      <c r="C77" s="43" t="s">
        <v>199</v>
      </c>
      <c r="D77" s="51" t="s">
        <v>200</v>
      </c>
      <c r="E77" s="43" t="s">
        <v>201</v>
      </c>
      <c r="F77" s="6">
        <v>31270</v>
      </c>
      <c r="G77" s="43" t="s">
        <v>60</v>
      </c>
      <c r="H77" s="19">
        <v>4016</v>
      </c>
      <c r="I77" s="6">
        <v>0</v>
      </c>
      <c r="J77" s="6">
        <v>0</v>
      </c>
      <c r="K77" s="6">
        <v>4769.99</v>
      </c>
      <c r="L77" s="4">
        <v>0</v>
      </c>
      <c r="M77" s="6" t="s">
        <v>19</v>
      </c>
      <c r="N77" s="20" t="s">
        <v>202</v>
      </c>
      <c r="O77" s="14"/>
      <c r="P77" s="14"/>
      <c r="Q77" s="21"/>
      <c r="R77" s="14"/>
      <c r="S77" s="14"/>
      <c r="T77" s="14"/>
      <c r="U77" s="14"/>
      <c r="V77" s="22"/>
      <c r="W77" s="14"/>
      <c r="X77" s="14"/>
      <c r="Y77" s="14"/>
      <c r="Z77" s="14"/>
      <c r="AA77" s="22"/>
      <c r="AB77" s="14"/>
    </row>
    <row r="78" spans="1:28">
      <c r="A78" s="12">
        <v>77</v>
      </c>
      <c r="B78" s="3" t="s">
        <v>203</v>
      </c>
      <c r="C78" s="43" t="s">
        <v>204</v>
      </c>
      <c r="D78" s="51" t="s">
        <v>205</v>
      </c>
      <c r="E78" s="43" t="s">
        <v>206</v>
      </c>
      <c r="F78" s="6">
        <v>28339</v>
      </c>
      <c r="G78" s="43" t="s">
        <v>60</v>
      </c>
      <c r="H78" s="19">
        <v>8708</v>
      </c>
      <c r="I78" s="6">
        <v>0</v>
      </c>
      <c r="J78" s="6">
        <v>0</v>
      </c>
      <c r="K78" s="6">
        <v>6199.2</v>
      </c>
      <c r="L78" s="4">
        <v>0</v>
      </c>
      <c r="M78" s="6" t="s">
        <v>19</v>
      </c>
      <c r="N78" s="20">
        <f>SUM(I78:L78)</f>
        <v>6199.2</v>
      </c>
      <c r="O78" s="14"/>
      <c r="P78" s="14"/>
      <c r="Q78" s="21"/>
      <c r="R78" s="14"/>
      <c r="S78" s="14"/>
      <c r="T78" s="14"/>
      <c r="U78" s="14"/>
      <c r="V78" s="22"/>
      <c r="W78" s="14"/>
      <c r="X78" s="14"/>
      <c r="Y78" s="14"/>
      <c r="Z78" s="14"/>
      <c r="AA78" s="22"/>
      <c r="AB78" s="14"/>
    </row>
    <row r="79" spans="1:28">
      <c r="A79" s="12">
        <v>78</v>
      </c>
      <c r="B79" s="3" t="s">
        <v>207</v>
      </c>
      <c r="C79" s="43" t="s">
        <v>208</v>
      </c>
      <c r="D79" s="51" t="s">
        <v>209</v>
      </c>
      <c r="E79" s="43" t="s">
        <v>210</v>
      </c>
      <c r="F79" s="6">
        <v>6103</v>
      </c>
      <c r="G79" s="43" t="s">
        <v>60</v>
      </c>
      <c r="H79" s="23">
        <v>85069000</v>
      </c>
      <c r="I79" s="6">
        <v>0</v>
      </c>
      <c r="J79" s="6">
        <v>0</v>
      </c>
      <c r="K79" s="6">
        <v>1335.01</v>
      </c>
      <c r="L79" s="4">
        <v>0</v>
      </c>
      <c r="M79" s="6" t="s">
        <v>19</v>
      </c>
      <c r="N79" s="20">
        <f>SUM(I79:L79)</f>
        <v>1335.01</v>
      </c>
      <c r="O79" s="14"/>
      <c r="P79" s="14"/>
      <c r="Q79" s="21"/>
      <c r="R79" s="14"/>
      <c r="S79" s="14"/>
      <c r="T79" s="14"/>
      <c r="U79" s="14"/>
      <c r="V79" s="22"/>
      <c r="W79" s="14"/>
      <c r="X79" s="14"/>
      <c r="Y79" s="14"/>
      <c r="Z79" s="14"/>
      <c r="AA79" s="22"/>
      <c r="AB79" s="14"/>
    </row>
    <row r="80" spans="1:28">
      <c r="A80" s="12">
        <v>79</v>
      </c>
      <c r="B80" s="3" t="s">
        <v>211</v>
      </c>
      <c r="C80" s="43" t="s">
        <v>212</v>
      </c>
      <c r="D80" s="51" t="s">
        <v>213</v>
      </c>
      <c r="E80" s="43" t="s">
        <v>210</v>
      </c>
      <c r="F80" s="6">
        <v>6</v>
      </c>
      <c r="G80" s="43" t="s">
        <v>18</v>
      </c>
      <c r="H80" s="19">
        <v>9971</v>
      </c>
      <c r="I80" s="6">
        <v>0.46</v>
      </c>
      <c r="J80" s="6">
        <v>0.46</v>
      </c>
      <c r="K80" s="6">
        <v>0</v>
      </c>
      <c r="L80" s="4">
        <v>0</v>
      </c>
      <c r="M80" s="6" t="s">
        <v>19</v>
      </c>
      <c r="N80" s="20">
        <f t="shared" ref="N80:N143" si="6">SUM(I80:L80)</f>
        <v>0.92</v>
      </c>
      <c r="O80" s="14"/>
      <c r="P80" s="14"/>
      <c r="Q80" s="21"/>
      <c r="R80" s="14"/>
      <c r="S80" s="14"/>
      <c r="T80" s="14"/>
      <c r="U80" s="14"/>
      <c r="V80" s="22"/>
      <c r="W80" s="14"/>
      <c r="X80" s="14"/>
      <c r="Y80" s="14"/>
      <c r="Z80" s="14"/>
      <c r="AA80" s="22"/>
      <c r="AB80" s="14"/>
    </row>
    <row r="81" spans="1:28">
      <c r="A81" s="12">
        <v>80</v>
      </c>
      <c r="B81" s="3" t="s">
        <v>214</v>
      </c>
      <c r="C81" s="43" t="s">
        <v>215</v>
      </c>
      <c r="D81" s="52">
        <v>321</v>
      </c>
      <c r="E81" s="43" t="s">
        <v>206</v>
      </c>
      <c r="F81" s="6">
        <v>9747</v>
      </c>
      <c r="G81" s="43" t="s">
        <v>60</v>
      </c>
      <c r="H81" s="24">
        <v>38121000</v>
      </c>
      <c r="I81" s="6">
        <v>743.4</v>
      </c>
      <c r="J81" s="6">
        <v>743.4</v>
      </c>
      <c r="K81" s="6">
        <v>0</v>
      </c>
      <c r="L81" s="4">
        <v>0</v>
      </c>
      <c r="M81" s="6" t="s">
        <v>19</v>
      </c>
      <c r="N81" s="20">
        <f t="shared" si="6"/>
        <v>1486.8</v>
      </c>
      <c r="O81" s="14"/>
      <c r="P81" s="14"/>
      <c r="Q81" s="21"/>
      <c r="R81" s="14"/>
      <c r="S81" s="14"/>
      <c r="T81" s="14"/>
      <c r="U81" s="14"/>
      <c r="V81" s="22"/>
      <c r="W81" s="14"/>
      <c r="X81" s="14"/>
      <c r="Y81" s="14"/>
      <c r="Z81" s="14"/>
      <c r="AA81" s="22"/>
      <c r="AB81" s="14"/>
    </row>
    <row r="82" spans="1:28">
      <c r="A82" s="12">
        <v>81</v>
      </c>
      <c r="B82" s="3" t="s">
        <v>216</v>
      </c>
      <c r="C82" s="43" t="s">
        <v>217</v>
      </c>
      <c r="D82" s="52">
        <v>762</v>
      </c>
      <c r="E82" s="43" t="s">
        <v>218</v>
      </c>
      <c r="F82" s="6">
        <v>61360</v>
      </c>
      <c r="G82" s="43" t="s">
        <v>60</v>
      </c>
      <c r="H82" s="19">
        <v>3812</v>
      </c>
      <c r="I82" s="6">
        <v>4680</v>
      </c>
      <c r="J82" s="6">
        <v>4680</v>
      </c>
      <c r="K82" s="6">
        <v>0</v>
      </c>
      <c r="L82" s="4">
        <v>0</v>
      </c>
      <c r="M82" s="6" t="s">
        <v>19</v>
      </c>
      <c r="N82" s="20">
        <f t="shared" si="6"/>
        <v>9360</v>
      </c>
      <c r="O82" s="14"/>
      <c r="P82" s="14"/>
      <c r="Q82" s="21"/>
      <c r="R82" s="14"/>
      <c r="S82" s="14"/>
      <c r="T82" s="14"/>
      <c r="U82" s="14"/>
      <c r="V82" s="22"/>
      <c r="W82" s="14"/>
      <c r="X82" s="14"/>
      <c r="Y82" s="14"/>
      <c r="Z82" s="14"/>
      <c r="AA82" s="22"/>
      <c r="AB82" s="14"/>
    </row>
    <row r="83" spans="1:28">
      <c r="A83" s="12">
        <v>82</v>
      </c>
      <c r="B83" s="3" t="s">
        <v>219</v>
      </c>
      <c r="C83" s="43" t="s">
        <v>220</v>
      </c>
      <c r="D83" s="52">
        <v>14</v>
      </c>
      <c r="E83" s="43" t="s">
        <v>221</v>
      </c>
      <c r="F83" s="6">
        <v>33040</v>
      </c>
      <c r="G83" s="51" t="s">
        <v>60</v>
      </c>
      <c r="H83" s="24">
        <v>401693</v>
      </c>
      <c r="I83" s="6">
        <v>0</v>
      </c>
      <c r="J83" s="6">
        <v>0</v>
      </c>
      <c r="K83" s="6">
        <v>5040</v>
      </c>
      <c r="L83" s="4">
        <v>0</v>
      </c>
      <c r="M83" s="6" t="s">
        <v>19</v>
      </c>
      <c r="N83" s="20">
        <f t="shared" si="6"/>
        <v>5040</v>
      </c>
      <c r="O83" s="14"/>
      <c r="P83" s="14"/>
      <c r="Q83" s="21"/>
      <c r="R83" s="14"/>
      <c r="S83" s="14"/>
      <c r="T83" s="14"/>
      <c r="U83" s="14"/>
      <c r="V83" s="22"/>
      <c r="W83" s="14"/>
      <c r="X83" s="14"/>
      <c r="Y83" s="14"/>
      <c r="Z83" s="14"/>
      <c r="AA83" s="22"/>
      <c r="AB83" s="14"/>
    </row>
    <row r="84" spans="1:28">
      <c r="A84" s="12">
        <v>83</v>
      </c>
      <c r="B84" s="3" t="s">
        <v>222</v>
      </c>
      <c r="C84" s="43" t="s">
        <v>223</v>
      </c>
      <c r="D84" s="52">
        <v>439</v>
      </c>
      <c r="E84" s="43" t="s">
        <v>206</v>
      </c>
      <c r="F84" s="6">
        <v>87917</v>
      </c>
      <c r="G84" s="43" t="s">
        <v>60</v>
      </c>
      <c r="H84" s="19">
        <v>8708</v>
      </c>
      <c r="I84" s="6">
        <v>9615.9</v>
      </c>
      <c r="J84" s="6">
        <v>9615.9</v>
      </c>
      <c r="K84" s="6">
        <v>0</v>
      </c>
      <c r="L84" s="4">
        <v>0</v>
      </c>
      <c r="M84" s="6" t="s">
        <v>19</v>
      </c>
      <c r="N84" s="20">
        <f t="shared" si="6"/>
        <v>19231.8</v>
      </c>
      <c r="O84" s="14"/>
      <c r="P84" s="14"/>
      <c r="Q84" s="21"/>
      <c r="R84" s="14"/>
      <c r="S84" s="14"/>
      <c r="T84" s="14"/>
      <c r="U84" s="14"/>
      <c r="V84" s="22"/>
      <c r="W84" s="14"/>
      <c r="X84" s="14"/>
      <c r="Y84" s="14"/>
      <c r="Z84" s="14"/>
      <c r="AA84" s="22"/>
      <c r="AB84" s="14"/>
    </row>
    <row r="85" spans="1:28">
      <c r="A85" s="12">
        <v>84</v>
      </c>
      <c r="B85" s="3" t="s">
        <v>224</v>
      </c>
      <c r="C85" s="43" t="s">
        <v>225</v>
      </c>
      <c r="D85" s="51" t="s">
        <v>226</v>
      </c>
      <c r="E85" s="43" t="s">
        <v>227</v>
      </c>
      <c r="F85" s="6">
        <v>4791</v>
      </c>
      <c r="G85" s="43" t="s">
        <v>60</v>
      </c>
      <c r="H85" s="24">
        <v>40030000</v>
      </c>
      <c r="I85" s="6">
        <v>365.4</v>
      </c>
      <c r="J85" s="6">
        <v>365.4</v>
      </c>
      <c r="K85" s="6">
        <v>0</v>
      </c>
      <c r="L85" s="4">
        <v>0</v>
      </c>
      <c r="M85" s="6" t="s">
        <v>19</v>
      </c>
      <c r="N85" s="20">
        <f t="shared" si="6"/>
        <v>730.8</v>
      </c>
      <c r="O85" s="14"/>
      <c r="P85" s="14"/>
      <c r="Q85" s="21"/>
      <c r="R85" s="11"/>
      <c r="S85" s="11"/>
      <c r="T85" s="11"/>
      <c r="U85" s="11"/>
      <c r="V85" s="25"/>
      <c r="W85" s="11"/>
      <c r="X85" s="11"/>
      <c r="Y85" s="11"/>
      <c r="Z85" s="11"/>
      <c r="AA85" s="25"/>
      <c r="AB85" s="11"/>
    </row>
    <row r="86" spans="1:28">
      <c r="A86" s="12">
        <v>85</v>
      </c>
      <c r="B86" s="3" t="s">
        <v>224</v>
      </c>
      <c r="C86" s="43" t="s">
        <v>225</v>
      </c>
      <c r="D86" s="51" t="s">
        <v>228</v>
      </c>
      <c r="E86" s="43" t="s">
        <v>229</v>
      </c>
      <c r="F86" s="6">
        <v>136880</v>
      </c>
      <c r="G86" s="43" t="s">
        <v>60</v>
      </c>
      <c r="H86" s="24">
        <v>40030000</v>
      </c>
      <c r="I86" s="6">
        <v>10440</v>
      </c>
      <c r="J86" s="6">
        <v>10440</v>
      </c>
      <c r="K86" s="6">
        <v>0</v>
      </c>
      <c r="L86" s="4">
        <v>0</v>
      </c>
      <c r="M86" s="6" t="s">
        <v>19</v>
      </c>
      <c r="N86" s="20">
        <f t="shared" si="6"/>
        <v>20880</v>
      </c>
      <c r="O86" s="14"/>
      <c r="P86" s="14"/>
      <c r="Q86" s="21"/>
      <c r="R86" s="14"/>
      <c r="S86" s="14"/>
      <c r="T86" s="14"/>
      <c r="U86" s="14"/>
      <c r="V86" s="22"/>
      <c r="W86" s="14"/>
      <c r="X86" s="14"/>
      <c r="Y86" s="14"/>
      <c r="Z86" s="14"/>
      <c r="AA86" s="22"/>
      <c r="AB86" s="14"/>
    </row>
    <row r="87" spans="1:28">
      <c r="A87" s="12">
        <v>86</v>
      </c>
      <c r="B87" s="3" t="s">
        <v>198</v>
      </c>
      <c r="C87" s="43" t="s">
        <v>199</v>
      </c>
      <c r="D87" s="52">
        <v>1</v>
      </c>
      <c r="E87" s="43" t="s">
        <v>201</v>
      </c>
      <c r="F87" s="6">
        <v>-31270</v>
      </c>
      <c r="G87" s="43" t="s">
        <v>60</v>
      </c>
      <c r="H87" s="19">
        <v>4016</v>
      </c>
      <c r="I87" s="15">
        <v>0</v>
      </c>
      <c r="J87" s="15">
        <v>0</v>
      </c>
      <c r="K87" s="15">
        <v>-4769.99</v>
      </c>
      <c r="L87" s="4">
        <v>0</v>
      </c>
      <c r="M87" s="6" t="s">
        <v>19</v>
      </c>
      <c r="N87" s="20" t="s">
        <v>202</v>
      </c>
      <c r="O87" s="14"/>
      <c r="P87" s="14"/>
      <c r="Q87" s="21"/>
      <c r="R87" s="14"/>
      <c r="S87" s="14"/>
      <c r="T87" s="14"/>
      <c r="U87" s="14"/>
      <c r="V87" s="22"/>
      <c r="W87" s="14"/>
      <c r="X87" s="14"/>
      <c r="Y87" s="14"/>
      <c r="Z87" s="14"/>
      <c r="AA87" s="22"/>
      <c r="AB87" s="14"/>
    </row>
    <row r="88" spans="1:28">
      <c r="A88" s="12">
        <v>87</v>
      </c>
      <c r="B88" s="3" t="s">
        <v>230</v>
      </c>
      <c r="C88" s="43" t="s">
        <v>231</v>
      </c>
      <c r="D88" s="51" t="s">
        <v>232</v>
      </c>
      <c r="E88" s="43" t="s">
        <v>233</v>
      </c>
      <c r="F88" s="6">
        <v>2335</v>
      </c>
      <c r="G88" s="43" t="s">
        <v>60</v>
      </c>
      <c r="H88" s="24">
        <v>87081090</v>
      </c>
      <c r="I88" s="6">
        <v>255.36</v>
      </c>
      <c r="J88" s="6">
        <v>255.36</v>
      </c>
      <c r="K88" s="6">
        <v>0</v>
      </c>
      <c r="L88" s="4">
        <v>0</v>
      </c>
      <c r="M88" s="6" t="s">
        <v>19</v>
      </c>
      <c r="N88" s="20">
        <f t="shared" si="6"/>
        <v>510.72</v>
      </c>
      <c r="O88" s="14"/>
      <c r="P88" s="14"/>
      <c r="Q88" s="21"/>
      <c r="R88" s="14"/>
      <c r="S88" s="14"/>
      <c r="T88" s="14"/>
      <c r="U88" s="14"/>
      <c r="V88" s="22"/>
      <c r="W88" s="14"/>
      <c r="X88" s="14"/>
      <c r="Y88" s="14"/>
      <c r="Z88" s="14"/>
      <c r="AA88" s="22"/>
      <c r="AB88" s="14"/>
    </row>
    <row r="89" spans="1:28">
      <c r="A89" s="12">
        <v>88</v>
      </c>
      <c r="B89" s="3" t="s">
        <v>234</v>
      </c>
      <c r="C89" s="43" t="s">
        <v>235</v>
      </c>
      <c r="D89" s="51" t="s">
        <v>236</v>
      </c>
      <c r="E89" s="43" t="s">
        <v>237</v>
      </c>
      <c r="F89" s="6">
        <v>1210</v>
      </c>
      <c r="G89" s="51" t="s">
        <v>18</v>
      </c>
      <c r="H89" s="23">
        <v>996791</v>
      </c>
      <c r="I89" s="6">
        <v>0</v>
      </c>
      <c r="J89" s="6">
        <v>0</v>
      </c>
      <c r="K89" s="6">
        <v>60.5</v>
      </c>
      <c r="L89" s="4">
        <v>0</v>
      </c>
      <c r="M89" s="6" t="s">
        <v>19</v>
      </c>
      <c r="N89" s="20">
        <f t="shared" si="6"/>
        <v>60.5</v>
      </c>
      <c r="O89" s="14"/>
      <c r="P89" s="14"/>
      <c r="Q89" s="21"/>
      <c r="R89" s="14"/>
      <c r="S89" s="14"/>
      <c r="T89" s="14"/>
      <c r="U89" s="14"/>
      <c r="V89" s="22"/>
      <c r="W89" s="14"/>
      <c r="X89" s="14"/>
      <c r="Y89" s="14"/>
      <c r="Z89" s="14"/>
      <c r="AA89" s="22"/>
      <c r="AB89" s="14"/>
    </row>
    <row r="90" spans="1:28">
      <c r="A90" s="12">
        <v>89</v>
      </c>
      <c r="B90" s="3" t="s">
        <v>234</v>
      </c>
      <c r="C90" s="43" t="s">
        <v>235</v>
      </c>
      <c r="D90" s="51" t="s">
        <v>238</v>
      </c>
      <c r="E90" s="43" t="s">
        <v>239</v>
      </c>
      <c r="F90" s="6">
        <v>1100</v>
      </c>
      <c r="G90" s="43" t="s">
        <v>18</v>
      </c>
      <c r="H90" s="23">
        <v>996791</v>
      </c>
      <c r="I90" s="6">
        <v>0</v>
      </c>
      <c r="J90" s="6">
        <v>0</v>
      </c>
      <c r="K90" s="6">
        <v>55</v>
      </c>
      <c r="L90" s="4">
        <v>0</v>
      </c>
      <c r="M90" s="6" t="s">
        <v>19</v>
      </c>
      <c r="N90" s="20">
        <f t="shared" si="6"/>
        <v>55</v>
      </c>
      <c r="O90" s="14"/>
      <c r="P90" s="14"/>
      <c r="Q90" s="21"/>
      <c r="R90" s="14"/>
      <c r="S90" s="14"/>
      <c r="T90" s="14"/>
      <c r="U90" s="14"/>
      <c r="V90" s="22"/>
      <c r="W90" s="14"/>
      <c r="X90" s="14"/>
      <c r="Y90" s="14"/>
      <c r="Z90" s="14"/>
      <c r="AA90" s="22"/>
      <c r="AB90" s="14"/>
    </row>
    <row r="91" spans="1:28">
      <c r="A91" s="12">
        <v>90</v>
      </c>
      <c r="B91" s="3" t="s">
        <v>211</v>
      </c>
      <c r="C91" s="43" t="s">
        <v>212</v>
      </c>
      <c r="D91" s="51" t="s">
        <v>240</v>
      </c>
      <c r="E91" s="43" t="s">
        <v>241</v>
      </c>
      <c r="F91" s="6">
        <v>620</v>
      </c>
      <c r="G91" s="43" t="s">
        <v>18</v>
      </c>
      <c r="H91" s="19">
        <v>9971</v>
      </c>
      <c r="I91" s="6">
        <v>47.3</v>
      </c>
      <c r="J91" s="6">
        <v>47.3</v>
      </c>
      <c r="K91" s="6">
        <v>0</v>
      </c>
      <c r="L91" s="4">
        <v>0</v>
      </c>
      <c r="M91" s="6" t="s">
        <v>19</v>
      </c>
      <c r="N91" s="20">
        <f t="shared" si="6"/>
        <v>94.6</v>
      </c>
      <c r="O91" s="14"/>
      <c r="P91" s="14"/>
      <c r="Q91" s="21"/>
      <c r="R91" s="14"/>
      <c r="S91" s="14"/>
      <c r="T91" s="14"/>
      <c r="U91" s="14"/>
      <c r="V91" s="22"/>
      <c r="W91" s="14"/>
      <c r="X91" s="14"/>
      <c r="Y91" s="14"/>
      <c r="Z91" s="14"/>
      <c r="AA91" s="22"/>
      <c r="AB91" s="14"/>
    </row>
    <row r="92" spans="1:28">
      <c r="A92" s="12">
        <v>91</v>
      </c>
      <c r="B92" s="3" t="s">
        <v>242</v>
      </c>
      <c r="C92" s="43" t="s">
        <v>243</v>
      </c>
      <c r="D92" s="51" t="s">
        <v>244</v>
      </c>
      <c r="E92" s="43" t="s">
        <v>241</v>
      </c>
      <c r="F92" s="6">
        <v>3420</v>
      </c>
      <c r="G92" s="43" t="s">
        <v>60</v>
      </c>
      <c r="H92" s="19">
        <v>8708</v>
      </c>
      <c r="I92" s="6">
        <v>374.08</v>
      </c>
      <c r="J92" s="6">
        <v>374.08</v>
      </c>
      <c r="K92" s="6">
        <v>0</v>
      </c>
      <c r="L92" s="4">
        <v>0</v>
      </c>
      <c r="M92" s="6" t="s">
        <v>19</v>
      </c>
      <c r="N92" s="20">
        <f t="shared" si="6"/>
        <v>748.16</v>
      </c>
      <c r="O92" s="14"/>
      <c r="P92" s="14"/>
      <c r="Q92" s="21"/>
      <c r="R92" s="14"/>
      <c r="S92" s="14"/>
      <c r="T92" s="14"/>
      <c r="U92" s="14"/>
      <c r="V92" s="22"/>
      <c r="W92" s="14"/>
      <c r="X92" s="14"/>
      <c r="Y92" s="14"/>
      <c r="Z92" s="14"/>
      <c r="AA92" s="22"/>
      <c r="AB92" s="14"/>
    </row>
    <row r="93" spans="1:28">
      <c r="A93" s="12">
        <v>92</v>
      </c>
      <c r="B93" s="3" t="s">
        <v>245</v>
      </c>
      <c r="C93" s="43" t="s">
        <v>246</v>
      </c>
      <c r="D93" s="51" t="s">
        <v>247</v>
      </c>
      <c r="E93" s="43" t="s">
        <v>248</v>
      </c>
      <c r="F93" s="6">
        <v>40960</v>
      </c>
      <c r="G93" s="43" t="s">
        <v>60</v>
      </c>
      <c r="H93" s="24">
        <f>VLOOKUP(B93,[1]ANNEXURE_B!$B$8:$H$230,7,0)</f>
        <v>87089900</v>
      </c>
      <c r="I93" s="6">
        <v>4480</v>
      </c>
      <c r="J93" s="6">
        <v>4480</v>
      </c>
      <c r="K93" s="6">
        <v>0</v>
      </c>
      <c r="L93" s="4">
        <v>0</v>
      </c>
      <c r="M93" s="6" t="s">
        <v>19</v>
      </c>
      <c r="N93" s="20">
        <f t="shared" si="6"/>
        <v>8960</v>
      </c>
      <c r="O93" s="14"/>
      <c r="P93" s="14"/>
      <c r="Q93" s="21"/>
      <c r="R93" s="14"/>
      <c r="S93" s="14"/>
      <c r="T93" s="14"/>
      <c r="U93" s="14"/>
      <c r="V93" s="22"/>
      <c r="W93" s="14"/>
      <c r="X93" s="14"/>
      <c r="Y93" s="14"/>
      <c r="Z93" s="14"/>
      <c r="AA93" s="22"/>
      <c r="AB93" s="14"/>
    </row>
    <row r="94" spans="1:28">
      <c r="A94" s="12">
        <v>93</v>
      </c>
      <c r="B94" s="3" t="s">
        <v>245</v>
      </c>
      <c r="C94" s="43" t="s">
        <v>246</v>
      </c>
      <c r="D94" s="51" t="s">
        <v>249</v>
      </c>
      <c r="E94" s="43" t="s">
        <v>250</v>
      </c>
      <c r="F94" s="6">
        <v>10240</v>
      </c>
      <c r="G94" s="43" t="s">
        <v>60</v>
      </c>
      <c r="H94" s="24">
        <f>VLOOKUP(B94,[1]ANNEXURE_B!$B$8:$H$230,7,0)</f>
        <v>87089900</v>
      </c>
      <c r="I94" s="6">
        <v>1120</v>
      </c>
      <c r="J94" s="6">
        <v>1120</v>
      </c>
      <c r="K94" s="6">
        <v>0</v>
      </c>
      <c r="L94" s="4">
        <v>0</v>
      </c>
      <c r="M94" s="6" t="s">
        <v>19</v>
      </c>
      <c r="N94" s="20">
        <f t="shared" si="6"/>
        <v>2240</v>
      </c>
      <c r="O94" s="14"/>
      <c r="P94" s="14"/>
      <c r="Q94" s="21"/>
      <c r="R94" s="14"/>
      <c r="S94" s="14"/>
      <c r="T94" s="14"/>
      <c r="U94" s="14"/>
      <c r="V94" s="22"/>
      <c r="W94" s="14"/>
      <c r="X94" s="14"/>
      <c r="Y94" s="14"/>
      <c r="Z94" s="14"/>
      <c r="AA94" s="22"/>
      <c r="AB94" s="14"/>
    </row>
    <row r="95" spans="1:28">
      <c r="A95" s="12">
        <v>94</v>
      </c>
      <c r="B95" s="3" t="s">
        <v>251</v>
      </c>
      <c r="C95" s="43" t="s">
        <v>252</v>
      </c>
      <c r="D95" s="51" t="s">
        <v>253</v>
      </c>
      <c r="E95" s="43" t="s">
        <v>254</v>
      </c>
      <c r="F95" s="6">
        <v>29914</v>
      </c>
      <c r="G95" s="43" t="s">
        <v>60</v>
      </c>
      <c r="H95" s="24">
        <f>VLOOKUP(B95,[1]ANNEXURE_B!$B$8:$H$230,7,0)</f>
        <v>87089900</v>
      </c>
      <c r="I95" s="6">
        <v>0</v>
      </c>
      <c r="J95" s="6">
        <v>0</v>
      </c>
      <c r="K95" s="6">
        <v>6543.6</v>
      </c>
      <c r="L95" s="4">
        <v>0</v>
      </c>
      <c r="M95" s="6" t="s">
        <v>19</v>
      </c>
      <c r="N95" s="20">
        <f t="shared" si="6"/>
        <v>6543.6</v>
      </c>
      <c r="O95" s="14"/>
      <c r="P95" s="14"/>
      <c r="Q95" s="21"/>
      <c r="R95" s="14"/>
      <c r="S95" s="14"/>
      <c r="T95" s="14"/>
      <c r="U95" s="14"/>
      <c r="V95" s="22"/>
      <c r="W95" s="14"/>
      <c r="X95" s="14"/>
      <c r="Y95" s="14"/>
      <c r="Z95" s="14"/>
      <c r="AA95" s="22"/>
      <c r="AB95" s="14"/>
    </row>
    <row r="96" spans="1:28">
      <c r="A96" s="12">
        <v>95</v>
      </c>
      <c r="B96" s="3" t="s">
        <v>251</v>
      </c>
      <c r="C96" s="43" t="s">
        <v>252</v>
      </c>
      <c r="D96" s="51" t="s">
        <v>255</v>
      </c>
      <c r="E96" s="43" t="s">
        <v>256</v>
      </c>
      <c r="F96" s="6">
        <v>30016</v>
      </c>
      <c r="G96" s="43" t="s">
        <v>60</v>
      </c>
      <c r="H96" s="24">
        <f>VLOOKUP(B96,[1]ANNEXURE_B!$B$8:$H$230,7,0)</f>
        <v>87089900</v>
      </c>
      <c r="I96" s="6">
        <v>0</v>
      </c>
      <c r="J96" s="6">
        <v>0</v>
      </c>
      <c r="K96" s="6">
        <v>6566</v>
      </c>
      <c r="L96" s="4">
        <v>0</v>
      </c>
      <c r="M96" s="6" t="s">
        <v>19</v>
      </c>
      <c r="N96" s="20">
        <f t="shared" si="6"/>
        <v>6566</v>
      </c>
      <c r="O96" s="14"/>
      <c r="P96" s="14"/>
      <c r="Q96" s="21"/>
      <c r="R96" s="14"/>
      <c r="S96" s="14"/>
      <c r="T96" s="14"/>
      <c r="U96" s="14"/>
      <c r="V96" s="22"/>
      <c r="W96" s="14"/>
      <c r="X96" s="14"/>
      <c r="Y96" s="14"/>
      <c r="Z96" s="14"/>
      <c r="AA96" s="22"/>
      <c r="AB96" s="14"/>
    </row>
    <row r="97" spans="1:28">
      <c r="A97" s="12">
        <v>96</v>
      </c>
      <c r="B97" s="3" t="s">
        <v>257</v>
      </c>
      <c r="C97" s="43" t="s">
        <v>258</v>
      </c>
      <c r="D97" s="51" t="s">
        <v>259</v>
      </c>
      <c r="E97" s="43" t="s">
        <v>260</v>
      </c>
      <c r="F97" s="6">
        <v>21240</v>
      </c>
      <c r="G97" s="51" t="s">
        <v>18</v>
      </c>
      <c r="H97" s="19">
        <v>9983</v>
      </c>
      <c r="I97" s="6">
        <v>0</v>
      </c>
      <c r="J97" s="6">
        <v>0</v>
      </c>
      <c r="K97" s="6">
        <v>3240</v>
      </c>
      <c r="L97" s="4">
        <v>0</v>
      </c>
      <c r="M97" s="6" t="s">
        <v>19</v>
      </c>
      <c r="N97" s="20">
        <f t="shared" si="6"/>
        <v>3240</v>
      </c>
      <c r="O97" s="14"/>
      <c r="P97" s="14"/>
      <c r="Q97" s="21"/>
      <c r="R97" s="14"/>
      <c r="S97" s="14"/>
      <c r="T97" s="14"/>
      <c r="U97" s="14"/>
      <c r="V97" s="22"/>
      <c r="W97" s="14"/>
      <c r="X97" s="14"/>
      <c r="Y97" s="14"/>
      <c r="Z97" s="14"/>
      <c r="AA97" s="22"/>
      <c r="AB97" s="14"/>
    </row>
    <row r="98" spans="1:28">
      <c r="A98" s="12">
        <v>97</v>
      </c>
      <c r="B98" s="3" t="s">
        <v>261</v>
      </c>
      <c r="C98" s="43" t="s">
        <v>262</v>
      </c>
      <c r="D98" s="52">
        <v>643</v>
      </c>
      <c r="E98" s="43" t="s">
        <v>263</v>
      </c>
      <c r="F98" s="6">
        <v>49280</v>
      </c>
      <c r="G98" s="43" t="s">
        <v>60</v>
      </c>
      <c r="H98" s="19">
        <v>8708</v>
      </c>
      <c r="I98" s="6">
        <v>5390</v>
      </c>
      <c r="J98" s="6">
        <v>5390</v>
      </c>
      <c r="K98" s="6">
        <v>0</v>
      </c>
      <c r="L98" s="4">
        <v>0</v>
      </c>
      <c r="M98" s="6" t="s">
        <v>19</v>
      </c>
      <c r="N98" s="20">
        <f t="shared" si="6"/>
        <v>10780</v>
      </c>
      <c r="O98" s="14"/>
      <c r="P98" s="14"/>
      <c r="Q98" s="21"/>
      <c r="R98" s="14"/>
      <c r="S98" s="14"/>
      <c r="T98" s="14"/>
      <c r="U98" s="14"/>
      <c r="V98" s="22"/>
      <c r="W98" s="14"/>
      <c r="X98" s="14"/>
      <c r="Y98" s="14"/>
      <c r="Z98" s="14"/>
      <c r="AA98" s="22"/>
      <c r="AB98" s="14"/>
    </row>
    <row r="99" spans="1:28">
      <c r="A99" s="12">
        <v>98</v>
      </c>
      <c r="B99" s="3" t="s">
        <v>261</v>
      </c>
      <c r="C99" s="43" t="s">
        <v>262</v>
      </c>
      <c r="D99" s="52">
        <v>645</v>
      </c>
      <c r="E99" s="43" t="s">
        <v>264</v>
      </c>
      <c r="F99" s="6">
        <v>25024</v>
      </c>
      <c r="G99" s="43" t="s">
        <v>60</v>
      </c>
      <c r="H99" s="19">
        <v>8708</v>
      </c>
      <c r="I99" s="6">
        <v>2737</v>
      </c>
      <c r="J99" s="6">
        <v>2737</v>
      </c>
      <c r="K99" s="6">
        <v>0</v>
      </c>
      <c r="L99" s="4">
        <v>0</v>
      </c>
      <c r="M99" s="6" t="s">
        <v>19</v>
      </c>
      <c r="N99" s="20">
        <f t="shared" si="6"/>
        <v>5474</v>
      </c>
      <c r="O99" s="14"/>
      <c r="P99" s="14"/>
      <c r="Q99" s="21"/>
      <c r="R99" s="14"/>
      <c r="S99" s="14"/>
      <c r="T99" s="14"/>
      <c r="U99" s="14"/>
      <c r="V99" s="22"/>
      <c r="W99" s="14"/>
      <c r="X99" s="14"/>
      <c r="Y99" s="14"/>
      <c r="Z99" s="14"/>
      <c r="AA99" s="22"/>
      <c r="AB99" s="14"/>
    </row>
    <row r="100" spans="1:28">
      <c r="A100" s="12">
        <v>99</v>
      </c>
      <c r="B100" s="3" t="s">
        <v>265</v>
      </c>
      <c r="C100" s="43" t="s">
        <v>266</v>
      </c>
      <c r="D100" s="51" t="s">
        <v>267</v>
      </c>
      <c r="E100" s="43" t="s">
        <v>268</v>
      </c>
      <c r="F100" s="6">
        <v>8928</v>
      </c>
      <c r="G100" s="43" t="s">
        <v>60</v>
      </c>
      <c r="H100" s="19">
        <v>87089900</v>
      </c>
      <c r="I100" s="6">
        <v>976.5</v>
      </c>
      <c r="J100" s="6">
        <v>976.5</v>
      </c>
      <c r="K100" s="6">
        <v>0</v>
      </c>
      <c r="L100" s="4">
        <v>0</v>
      </c>
      <c r="M100" s="6" t="s">
        <v>19</v>
      </c>
      <c r="N100" s="20">
        <f t="shared" si="6"/>
        <v>1953</v>
      </c>
      <c r="O100" s="14"/>
      <c r="P100" s="14"/>
      <c r="Q100" s="21"/>
      <c r="R100" s="14"/>
      <c r="S100" s="14"/>
      <c r="T100" s="14"/>
      <c r="U100" s="14"/>
      <c r="V100" s="22"/>
      <c r="W100" s="14"/>
      <c r="X100" s="14"/>
      <c r="Y100" s="14"/>
      <c r="Z100" s="14"/>
      <c r="AA100" s="22"/>
      <c r="AB100" s="14"/>
    </row>
    <row r="101" spans="1:28">
      <c r="A101" s="12">
        <v>100</v>
      </c>
      <c r="B101" s="3" t="s">
        <v>211</v>
      </c>
      <c r="C101" s="43" t="s">
        <v>212</v>
      </c>
      <c r="D101" s="51" t="s">
        <v>269</v>
      </c>
      <c r="E101" s="43" t="s">
        <v>270</v>
      </c>
      <c r="F101" s="6">
        <v>32</v>
      </c>
      <c r="G101" s="43" t="s">
        <v>18</v>
      </c>
      <c r="H101" s="19">
        <v>9971</v>
      </c>
      <c r="I101" s="6">
        <v>2.4500000000000002</v>
      </c>
      <c r="J101" s="6">
        <v>2.4500000000000002</v>
      </c>
      <c r="K101" s="6">
        <v>0</v>
      </c>
      <c r="L101" s="4">
        <v>0</v>
      </c>
      <c r="M101" s="6" t="s">
        <v>19</v>
      </c>
      <c r="N101" s="20">
        <f t="shared" si="6"/>
        <v>4.9000000000000004</v>
      </c>
      <c r="O101" s="14"/>
      <c r="P101" s="14"/>
      <c r="Q101" s="21"/>
      <c r="R101" s="14"/>
      <c r="S101" s="14"/>
      <c r="T101" s="14"/>
      <c r="U101" s="14"/>
      <c r="V101" s="22"/>
      <c r="W101" s="14"/>
      <c r="X101" s="14"/>
      <c r="Y101" s="14"/>
      <c r="Z101" s="14"/>
      <c r="AA101" s="22"/>
      <c r="AB101" s="14"/>
    </row>
    <row r="102" spans="1:28">
      <c r="A102" s="12">
        <v>101</v>
      </c>
      <c r="B102" s="3" t="s">
        <v>242</v>
      </c>
      <c r="C102" s="43" t="s">
        <v>243</v>
      </c>
      <c r="D102" s="51" t="s">
        <v>271</v>
      </c>
      <c r="E102" s="43" t="s">
        <v>272</v>
      </c>
      <c r="F102" s="6">
        <v>4306</v>
      </c>
      <c r="G102" s="43" t="s">
        <v>60</v>
      </c>
      <c r="H102" s="19">
        <v>4016</v>
      </c>
      <c r="I102" s="6">
        <v>67.5</v>
      </c>
      <c r="J102" s="6">
        <v>67.5</v>
      </c>
      <c r="K102" s="6">
        <v>0</v>
      </c>
      <c r="L102" s="4">
        <v>0</v>
      </c>
      <c r="M102" s="6" t="s">
        <v>19</v>
      </c>
      <c r="N102" s="20">
        <f t="shared" si="6"/>
        <v>135</v>
      </c>
      <c r="O102" s="14"/>
      <c r="P102" s="14"/>
      <c r="Q102" s="21"/>
      <c r="R102" s="14"/>
      <c r="S102" s="14"/>
      <c r="T102" s="14"/>
      <c r="U102" s="14"/>
      <c r="V102" s="22"/>
      <c r="W102" s="14"/>
      <c r="X102" s="14"/>
      <c r="Y102" s="14"/>
      <c r="Z102" s="14"/>
      <c r="AA102" s="22"/>
      <c r="AB102" s="14"/>
    </row>
    <row r="103" spans="1:28">
      <c r="A103" s="12">
        <v>102</v>
      </c>
      <c r="B103" s="3" t="s">
        <v>242</v>
      </c>
      <c r="C103" s="43" t="s">
        <v>243</v>
      </c>
      <c r="D103" s="51" t="s">
        <v>271</v>
      </c>
      <c r="E103" s="43" t="s">
        <v>272</v>
      </c>
      <c r="F103" s="6">
        <v>4306</v>
      </c>
      <c r="G103" s="43" t="s">
        <v>60</v>
      </c>
      <c r="H103" s="19">
        <v>4016</v>
      </c>
      <c r="I103" s="6">
        <v>374.22</v>
      </c>
      <c r="J103" s="6">
        <v>374.22</v>
      </c>
      <c r="K103" s="6">
        <v>0</v>
      </c>
      <c r="L103" s="4">
        <v>0</v>
      </c>
      <c r="M103" s="6" t="s">
        <v>19</v>
      </c>
      <c r="N103" s="20">
        <f t="shared" si="6"/>
        <v>748.44</v>
      </c>
      <c r="O103" s="14"/>
      <c r="P103" s="14"/>
      <c r="Q103" s="21"/>
      <c r="R103" s="14"/>
      <c r="S103" s="14"/>
      <c r="T103" s="14"/>
      <c r="U103" s="14"/>
      <c r="V103" s="22"/>
      <c r="W103" s="14"/>
      <c r="X103" s="14"/>
      <c r="Y103" s="14"/>
      <c r="Z103" s="14"/>
      <c r="AA103" s="22"/>
      <c r="AB103" s="14"/>
    </row>
    <row r="104" spans="1:28">
      <c r="A104" s="12">
        <v>103</v>
      </c>
      <c r="B104" s="3" t="s">
        <v>273</v>
      </c>
      <c r="C104" s="43" t="s">
        <v>274</v>
      </c>
      <c r="D104" s="51" t="s">
        <v>275</v>
      </c>
      <c r="E104" s="43" t="s">
        <v>276</v>
      </c>
      <c r="F104" s="6">
        <v>3782</v>
      </c>
      <c r="G104" s="43" t="s">
        <v>60</v>
      </c>
      <c r="H104" s="19">
        <v>8708</v>
      </c>
      <c r="I104" s="6">
        <v>288.45</v>
      </c>
      <c r="J104" s="6">
        <v>288.45</v>
      </c>
      <c r="K104" s="6">
        <v>0</v>
      </c>
      <c r="L104" s="4">
        <v>0</v>
      </c>
      <c r="M104" s="6" t="s">
        <v>19</v>
      </c>
      <c r="N104" s="20">
        <f t="shared" si="6"/>
        <v>576.9</v>
      </c>
      <c r="O104" s="14"/>
      <c r="P104" s="14"/>
      <c r="Q104" s="21"/>
      <c r="R104" s="14"/>
      <c r="S104" s="14"/>
      <c r="T104" s="14"/>
      <c r="U104" s="14"/>
      <c r="V104" s="22"/>
      <c r="W104" s="14"/>
      <c r="X104" s="14"/>
      <c r="Y104" s="14"/>
      <c r="Z104" s="14"/>
      <c r="AA104" s="22"/>
      <c r="AB104" s="14"/>
    </row>
    <row r="105" spans="1:28">
      <c r="A105" s="12">
        <v>104</v>
      </c>
      <c r="B105" s="3" t="s">
        <v>277</v>
      </c>
      <c r="C105" s="43" t="s">
        <v>278</v>
      </c>
      <c r="D105" s="52">
        <v>391</v>
      </c>
      <c r="E105" s="43" t="s">
        <v>276</v>
      </c>
      <c r="F105" s="6">
        <v>49920</v>
      </c>
      <c r="G105" s="43" t="s">
        <v>60</v>
      </c>
      <c r="H105" s="19">
        <v>8708</v>
      </c>
      <c r="I105" s="6">
        <v>0</v>
      </c>
      <c r="J105" s="6">
        <v>0</v>
      </c>
      <c r="K105" s="6">
        <v>10920</v>
      </c>
      <c r="L105" s="4">
        <v>0</v>
      </c>
      <c r="M105" s="6" t="s">
        <v>19</v>
      </c>
      <c r="N105" s="20">
        <f t="shared" si="6"/>
        <v>10920</v>
      </c>
      <c r="O105" s="14"/>
      <c r="P105" s="14"/>
      <c r="Q105" s="21"/>
      <c r="R105" s="14"/>
      <c r="S105" s="14"/>
      <c r="T105" s="14"/>
      <c r="U105" s="14"/>
      <c r="V105" s="22"/>
      <c r="W105" s="14"/>
      <c r="X105" s="14"/>
      <c r="Y105" s="14"/>
      <c r="Z105" s="14"/>
      <c r="AA105" s="22"/>
      <c r="AB105" s="14"/>
    </row>
    <row r="106" spans="1:28">
      <c r="A106" s="12">
        <v>105</v>
      </c>
      <c r="B106" s="3" t="s">
        <v>277</v>
      </c>
      <c r="C106" s="43" t="s">
        <v>278</v>
      </c>
      <c r="D106" s="52">
        <v>392</v>
      </c>
      <c r="E106" s="43" t="s">
        <v>272</v>
      </c>
      <c r="F106" s="6">
        <v>40064</v>
      </c>
      <c r="G106" s="43" t="s">
        <v>60</v>
      </c>
      <c r="H106" s="19">
        <v>8708</v>
      </c>
      <c r="I106" s="6">
        <v>0</v>
      </c>
      <c r="J106" s="6">
        <v>0</v>
      </c>
      <c r="K106" s="6">
        <v>8764</v>
      </c>
      <c r="L106" s="4">
        <v>0</v>
      </c>
      <c r="M106" s="6" t="s">
        <v>19</v>
      </c>
      <c r="N106" s="20">
        <f t="shared" si="6"/>
        <v>8764</v>
      </c>
      <c r="O106" s="14"/>
      <c r="P106" s="14"/>
      <c r="Q106" s="21"/>
      <c r="R106" s="14"/>
      <c r="S106" s="14"/>
      <c r="T106" s="14"/>
      <c r="U106" s="14"/>
      <c r="V106" s="22"/>
      <c r="W106" s="14"/>
      <c r="X106" s="14"/>
      <c r="Y106" s="14"/>
      <c r="Z106" s="14"/>
      <c r="AA106" s="22"/>
      <c r="AB106" s="14"/>
    </row>
    <row r="107" spans="1:28">
      <c r="A107" s="12">
        <v>106</v>
      </c>
      <c r="B107" s="3" t="s">
        <v>279</v>
      </c>
      <c r="C107" s="43" t="s">
        <v>280</v>
      </c>
      <c r="D107" s="52">
        <v>80</v>
      </c>
      <c r="E107" s="43" t="s">
        <v>281</v>
      </c>
      <c r="F107" s="6">
        <v>30574</v>
      </c>
      <c r="G107" s="43" t="s">
        <v>60</v>
      </c>
      <c r="H107" s="24">
        <v>87089900</v>
      </c>
      <c r="I107" s="6">
        <v>2331.9</v>
      </c>
      <c r="J107" s="6">
        <v>2331.9</v>
      </c>
      <c r="K107" s="6">
        <v>0</v>
      </c>
      <c r="L107" s="4">
        <v>0</v>
      </c>
      <c r="M107" s="6" t="s">
        <v>19</v>
      </c>
      <c r="N107" s="20">
        <f t="shared" si="6"/>
        <v>4663.8</v>
      </c>
      <c r="O107" s="14"/>
      <c r="P107" s="14"/>
      <c r="Q107" s="21"/>
      <c r="R107" s="14"/>
      <c r="S107" s="14"/>
      <c r="T107" s="14"/>
      <c r="U107" s="14"/>
      <c r="V107" s="22"/>
      <c r="W107" s="14"/>
      <c r="X107" s="14"/>
      <c r="Y107" s="14"/>
      <c r="Z107" s="14"/>
      <c r="AA107" s="22"/>
      <c r="AB107" s="14"/>
    </row>
    <row r="108" spans="1:28">
      <c r="A108" s="12">
        <v>107</v>
      </c>
      <c r="B108" s="3" t="s">
        <v>214</v>
      </c>
      <c r="C108" s="43" t="s">
        <v>215</v>
      </c>
      <c r="D108" s="52">
        <v>363</v>
      </c>
      <c r="E108" s="43" t="s">
        <v>268</v>
      </c>
      <c r="F108" s="6">
        <v>9912</v>
      </c>
      <c r="G108" s="43" t="s">
        <v>60</v>
      </c>
      <c r="H108" s="24">
        <v>38121000</v>
      </c>
      <c r="I108" s="6">
        <v>756</v>
      </c>
      <c r="J108" s="6">
        <v>756</v>
      </c>
      <c r="K108" s="6">
        <v>0</v>
      </c>
      <c r="L108" s="4">
        <v>0</v>
      </c>
      <c r="M108" s="6" t="s">
        <v>19</v>
      </c>
      <c r="N108" s="20">
        <f t="shared" si="6"/>
        <v>1512</v>
      </c>
      <c r="O108" s="14"/>
      <c r="P108" s="14"/>
      <c r="Q108" s="21"/>
      <c r="R108" s="14"/>
      <c r="S108" s="14"/>
      <c r="T108" s="14"/>
      <c r="U108" s="14"/>
      <c r="V108" s="22"/>
      <c r="W108" s="14"/>
      <c r="X108" s="14"/>
      <c r="Y108" s="14"/>
      <c r="Z108" s="14"/>
      <c r="AA108" s="22"/>
      <c r="AB108" s="14"/>
    </row>
    <row r="109" spans="1:28">
      <c r="A109" s="12">
        <v>108</v>
      </c>
      <c r="B109" s="3" t="s">
        <v>214</v>
      </c>
      <c r="C109" s="43" t="s">
        <v>215</v>
      </c>
      <c r="D109" s="52">
        <v>378</v>
      </c>
      <c r="E109" s="43" t="s">
        <v>282</v>
      </c>
      <c r="F109" s="6">
        <v>18880</v>
      </c>
      <c r="G109" s="43" t="s">
        <v>60</v>
      </c>
      <c r="H109" s="24">
        <v>38121000</v>
      </c>
      <c r="I109" s="6">
        <v>1440</v>
      </c>
      <c r="J109" s="6">
        <v>1440</v>
      </c>
      <c r="K109" s="6">
        <v>0</v>
      </c>
      <c r="L109" s="4">
        <v>0</v>
      </c>
      <c r="M109" s="6" t="s">
        <v>19</v>
      </c>
      <c r="N109" s="20">
        <f t="shared" si="6"/>
        <v>2880</v>
      </c>
      <c r="O109" s="14"/>
      <c r="P109" s="14"/>
      <c r="Q109" s="21"/>
      <c r="R109" s="14"/>
      <c r="S109" s="14"/>
      <c r="T109" s="14"/>
      <c r="U109" s="14"/>
      <c r="V109" s="22"/>
      <c r="W109" s="14"/>
      <c r="X109" s="14"/>
      <c r="Y109" s="14"/>
      <c r="Z109" s="14"/>
      <c r="AA109" s="22"/>
      <c r="AB109" s="14"/>
    </row>
    <row r="110" spans="1:28">
      <c r="A110" s="12">
        <v>109</v>
      </c>
      <c r="B110" s="3" t="s">
        <v>283</v>
      </c>
      <c r="C110" s="43" t="s">
        <v>284</v>
      </c>
      <c r="D110" s="52">
        <v>902</v>
      </c>
      <c r="E110" s="43" t="s">
        <v>285</v>
      </c>
      <c r="F110" s="6">
        <v>21122</v>
      </c>
      <c r="G110" s="43" t="s">
        <v>60</v>
      </c>
      <c r="H110" s="19">
        <v>4016</v>
      </c>
      <c r="I110" s="6">
        <v>0</v>
      </c>
      <c r="J110" s="6">
        <v>0</v>
      </c>
      <c r="K110" s="6">
        <v>3222</v>
      </c>
      <c r="L110" s="4">
        <v>0</v>
      </c>
      <c r="M110" s="6" t="s">
        <v>19</v>
      </c>
      <c r="N110" s="20">
        <f t="shared" si="6"/>
        <v>3222</v>
      </c>
      <c r="O110" s="14"/>
      <c r="P110" s="14"/>
      <c r="Q110" s="21"/>
      <c r="R110" s="14"/>
      <c r="S110" s="14"/>
      <c r="T110" s="14"/>
      <c r="U110" s="14"/>
      <c r="V110" s="22"/>
      <c r="W110" s="14"/>
      <c r="X110" s="14"/>
      <c r="Y110" s="14"/>
      <c r="Z110" s="14"/>
      <c r="AA110" s="22"/>
      <c r="AB110" s="14"/>
    </row>
    <row r="111" spans="1:28">
      <c r="A111" s="12">
        <v>110</v>
      </c>
      <c r="B111" s="3" t="s">
        <v>283</v>
      </c>
      <c r="C111" s="43" t="s">
        <v>284</v>
      </c>
      <c r="D111" s="52">
        <v>906</v>
      </c>
      <c r="E111" s="43" t="s">
        <v>286</v>
      </c>
      <c r="F111" s="6">
        <v>21063</v>
      </c>
      <c r="G111" s="43" t="s">
        <v>60</v>
      </c>
      <c r="H111" s="19">
        <v>4016</v>
      </c>
      <c r="I111" s="6">
        <v>0</v>
      </c>
      <c r="J111" s="6">
        <v>0</v>
      </c>
      <c r="K111" s="6">
        <v>3213</v>
      </c>
      <c r="L111" s="4">
        <v>0</v>
      </c>
      <c r="M111" s="6" t="s">
        <v>19</v>
      </c>
      <c r="N111" s="20">
        <f t="shared" si="6"/>
        <v>3213</v>
      </c>
      <c r="O111" s="14"/>
      <c r="P111" s="14"/>
      <c r="Q111" s="21"/>
      <c r="R111" s="14"/>
      <c r="S111" s="14"/>
      <c r="T111" s="14"/>
      <c r="U111" s="14"/>
      <c r="V111" s="22"/>
      <c r="W111" s="14"/>
      <c r="X111" s="14"/>
      <c r="Y111" s="14"/>
      <c r="Z111" s="14"/>
      <c r="AA111" s="22"/>
      <c r="AB111" s="14"/>
    </row>
    <row r="112" spans="1:28">
      <c r="A112" s="12">
        <v>111</v>
      </c>
      <c r="B112" s="3" t="s">
        <v>287</v>
      </c>
      <c r="C112" s="43" t="s">
        <v>288</v>
      </c>
      <c r="D112" s="52">
        <v>160</v>
      </c>
      <c r="E112" s="43" t="s">
        <v>289</v>
      </c>
      <c r="F112" s="6">
        <v>123822</v>
      </c>
      <c r="G112" s="43" t="s">
        <v>60</v>
      </c>
      <c r="H112" s="19">
        <v>84219900</v>
      </c>
      <c r="I112" s="6">
        <v>0</v>
      </c>
      <c r="J112" s="6">
        <v>0</v>
      </c>
      <c r="K112" s="6">
        <v>18888.12</v>
      </c>
      <c r="L112" s="4">
        <v>0</v>
      </c>
      <c r="M112" s="6" t="s">
        <v>19</v>
      </c>
      <c r="N112" s="20">
        <f t="shared" si="6"/>
        <v>18888.12</v>
      </c>
      <c r="O112" s="14"/>
      <c r="P112" s="14"/>
      <c r="Q112" s="21"/>
      <c r="R112" s="14"/>
      <c r="S112" s="14"/>
      <c r="T112" s="14"/>
      <c r="U112" s="14"/>
      <c r="V112" s="22"/>
      <c r="W112" s="14"/>
      <c r="X112" s="14"/>
      <c r="Y112" s="14"/>
      <c r="Z112" s="14"/>
      <c r="AA112" s="22"/>
      <c r="AB112" s="14"/>
    </row>
    <row r="113" spans="1:28">
      <c r="A113" s="12">
        <v>112</v>
      </c>
      <c r="B113" s="3" t="s">
        <v>211</v>
      </c>
      <c r="C113" s="43" t="s">
        <v>212</v>
      </c>
      <c r="D113" s="51" t="s">
        <v>290</v>
      </c>
      <c r="E113" s="43" t="s">
        <v>291</v>
      </c>
      <c r="F113" s="6">
        <v>12</v>
      </c>
      <c r="G113" s="43" t="s">
        <v>18</v>
      </c>
      <c r="H113" s="19">
        <v>9971</v>
      </c>
      <c r="I113" s="6">
        <v>0.92</v>
      </c>
      <c r="J113" s="6">
        <v>0.92</v>
      </c>
      <c r="K113" s="6">
        <v>0</v>
      </c>
      <c r="L113" s="4">
        <v>0</v>
      </c>
      <c r="M113" s="6" t="s">
        <v>19</v>
      </c>
      <c r="N113" s="20">
        <f t="shared" si="6"/>
        <v>1.84</v>
      </c>
      <c r="O113" s="14"/>
      <c r="P113" s="14"/>
      <c r="Q113" s="21"/>
      <c r="R113" s="14"/>
      <c r="S113" s="14"/>
      <c r="T113" s="14"/>
      <c r="U113" s="14"/>
      <c r="V113" s="22"/>
      <c r="W113" s="14"/>
      <c r="X113" s="14"/>
      <c r="Y113" s="14"/>
      <c r="Z113" s="14"/>
      <c r="AA113" s="22"/>
      <c r="AB113" s="14"/>
    </row>
    <row r="114" spans="1:28">
      <c r="A114" s="12">
        <v>113</v>
      </c>
      <c r="B114" s="3" t="s">
        <v>292</v>
      </c>
      <c r="C114" s="43" t="s">
        <v>293</v>
      </c>
      <c r="D114" s="51" t="s">
        <v>294</v>
      </c>
      <c r="E114" s="43" t="s">
        <v>295</v>
      </c>
      <c r="F114" s="6">
        <v>24780</v>
      </c>
      <c r="G114" s="43" t="s">
        <v>60</v>
      </c>
      <c r="H114" s="19">
        <v>8536</v>
      </c>
      <c r="I114" s="6">
        <v>1890</v>
      </c>
      <c r="J114" s="6">
        <v>1890</v>
      </c>
      <c r="K114" s="6">
        <v>0</v>
      </c>
      <c r="L114" s="4">
        <v>0</v>
      </c>
      <c r="M114" s="6" t="s">
        <v>19</v>
      </c>
      <c r="N114" s="20">
        <f t="shared" si="6"/>
        <v>3780</v>
      </c>
      <c r="O114" s="14"/>
      <c r="P114" s="14"/>
      <c r="Q114" s="21"/>
      <c r="R114" s="14"/>
      <c r="S114" s="14"/>
      <c r="T114" s="14"/>
      <c r="U114" s="14"/>
      <c r="V114" s="22"/>
      <c r="W114" s="14"/>
      <c r="X114" s="14"/>
      <c r="Y114" s="14"/>
      <c r="Z114" s="14"/>
      <c r="AA114" s="22"/>
      <c r="AB114" s="14"/>
    </row>
    <row r="115" spans="1:28">
      <c r="A115" s="12">
        <v>114</v>
      </c>
      <c r="B115" s="3" t="s">
        <v>257</v>
      </c>
      <c r="C115" s="43" t="s">
        <v>258</v>
      </c>
      <c r="D115" s="51" t="s">
        <v>296</v>
      </c>
      <c r="E115" s="43" t="s">
        <v>297</v>
      </c>
      <c r="F115" s="6">
        <v>14160</v>
      </c>
      <c r="G115" s="43" t="s">
        <v>18</v>
      </c>
      <c r="H115" s="19">
        <v>9983</v>
      </c>
      <c r="I115" s="6">
        <v>0</v>
      </c>
      <c r="J115" s="6">
        <v>0</v>
      </c>
      <c r="K115" s="6">
        <v>2160</v>
      </c>
      <c r="L115" s="4">
        <v>0</v>
      </c>
      <c r="M115" s="6" t="s">
        <v>19</v>
      </c>
      <c r="N115" s="20">
        <f t="shared" si="6"/>
        <v>2160</v>
      </c>
      <c r="O115" s="14"/>
      <c r="P115" s="14"/>
      <c r="Q115" s="21"/>
      <c r="R115" s="14"/>
      <c r="S115" s="14"/>
      <c r="T115" s="14"/>
      <c r="U115" s="14"/>
      <c r="V115" s="22"/>
      <c r="W115" s="14"/>
      <c r="X115" s="14"/>
      <c r="Y115" s="14"/>
      <c r="Z115" s="14"/>
      <c r="AA115" s="22"/>
      <c r="AB115" s="14"/>
    </row>
    <row r="116" spans="1:28">
      <c r="A116" s="12">
        <v>115</v>
      </c>
      <c r="B116" s="3" t="s">
        <v>234</v>
      </c>
      <c r="C116" s="43" t="s">
        <v>235</v>
      </c>
      <c r="D116" s="51" t="s">
        <v>298</v>
      </c>
      <c r="E116" s="43" t="s">
        <v>299</v>
      </c>
      <c r="F116" s="6">
        <v>990</v>
      </c>
      <c r="G116" s="43" t="s">
        <v>18</v>
      </c>
      <c r="H116" s="23">
        <v>996791</v>
      </c>
      <c r="I116" s="6">
        <v>0</v>
      </c>
      <c r="J116" s="6">
        <v>0</v>
      </c>
      <c r="K116" s="6">
        <v>49.5</v>
      </c>
      <c r="L116" s="4">
        <v>0</v>
      </c>
      <c r="M116" s="6" t="s">
        <v>19</v>
      </c>
      <c r="N116" s="20">
        <f t="shared" si="6"/>
        <v>49.5</v>
      </c>
      <c r="O116" s="14"/>
      <c r="P116" s="14"/>
      <c r="Q116" s="21"/>
      <c r="R116" s="14"/>
      <c r="S116" s="14"/>
      <c r="T116" s="14"/>
      <c r="U116" s="14"/>
      <c r="V116" s="22"/>
      <c r="W116" s="14"/>
      <c r="X116" s="14"/>
      <c r="Y116" s="14"/>
      <c r="Z116" s="14"/>
      <c r="AA116" s="22"/>
      <c r="AB116" s="14"/>
    </row>
    <row r="117" spans="1:28">
      <c r="A117" s="12">
        <v>116</v>
      </c>
      <c r="B117" s="3" t="s">
        <v>277</v>
      </c>
      <c r="C117" s="43" t="s">
        <v>278</v>
      </c>
      <c r="D117" s="51" t="s">
        <v>300</v>
      </c>
      <c r="E117" s="43" t="s">
        <v>301</v>
      </c>
      <c r="F117" s="6">
        <v>36659</v>
      </c>
      <c r="G117" s="43" t="s">
        <v>60</v>
      </c>
      <c r="H117" s="19">
        <v>8708</v>
      </c>
      <c r="I117" s="6">
        <v>0</v>
      </c>
      <c r="J117" s="6">
        <v>0</v>
      </c>
      <c r="K117" s="6">
        <v>8019.2</v>
      </c>
      <c r="L117" s="4">
        <v>0</v>
      </c>
      <c r="M117" s="6" t="s">
        <v>19</v>
      </c>
      <c r="N117" s="20">
        <f t="shared" si="6"/>
        <v>8019.2</v>
      </c>
      <c r="O117" s="14"/>
      <c r="P117" s="14"/>
      <c r="Q117" s="21"/>
      <c r="R117" s="14"/>
      <c r="S117" s="14"/>
      <c r="T117" s="14"/>
      <c r="U117" s="14"/>
      <c r="V117" s="22"/>
      <c r="W117" s="14"/>
      <c r="X117" s="14"/>
      <c r="Y117" s="14"/>
      <c r="Z117" s="14"/>
      <c r="AA117" s="22"/>
      <c r="AB117" s="14"/>
    </row>
    <row r="118" spans="1:28">
      <c r="A118" s="12">
        <v>117</v>
      </c>
      <c r="B118" s="3" t="s">
        <v>277</v>
      </c>
      <c r="C118" s="43" t="s">
        <v>278</v>
      </c>
      <c r="D118" s="51" t="s">
        <v>302</v>
      </c>
      <c r="E118" s="43" t="s">
        <v>303</v>
      </c>
      <c r="F118" s="6">
        <v>17920</v>
      </c>
      <c r="G118" s="43" t="s">
        <v>60</v>
      </c>
      <c r="H118" s="19">
        <v>8708</v>
      </c>
      <c r="I118" s="6">
        <v>0</v>
      </c>
      <c r="J118" s="6">
        <v>0</v>
      </c>
      <c r="K118" s="6">
        <v>3920</v>
      </c>
      <c r="L118" s="4">
        <v>0</v>
      </c>
      <c r="M118" s="6" t="s">
        <v>19</v>
      </c>
      <c r="N118" s="20">
        <f t="shared" si="6"/>
        <v>3920</v>
      </c>
      <c r="O118" s="14"/>
      <c r="P118" s="14"/>
      <c r="Q118" s="21"/>
      <c r="R118" s="14"/>
      <c r="S118" s="14"/>
      <c r="T118" s="14"/>
      <c r="U118" s="14"/>
      <c r="V118" s="22"/>
      <c r="W118" s="14"/>
      <c r="X118" s="14"/>
      <c r="Y118" s="14"/>
      <c r="Z118" s="14"/>
      <c r="AA118" s="22"/>
      <c r="AB118" s="14"/>
    </row>
    <row r="119" spans="1:28">
      <c r="A119" s="12">
        <v>118</v>
      </c>
      <c r="B119" s="3" t="s">
        <v>251</v>
      </c>
      <c r="C119" s="43" t="s">
        <v>252</v>
      </c>
      <c r="D119" s="51" t="s">
        <v>304</v>
      </c>
      <c r="E119" s="43" t="s">
        <v>299</v>
      </c>
      <c r="F119" s="6">
        <v>62054</v>
      </c>
      <c r="G119" s="43" t="s">
        <v>60</v>
      </c>
      <c r="H119" s="24">
        <f>VLOOKUP(B119,[1]ANNEXURE_B!$B$8:$H$230,7,0)</f>
        <v>87089900</v>
      </c>
      <c r="I119" s="6">
        <v>0</v>
      </c>
      <c r="J119" s="6">
        <v>0</v>
      </c>
      <c r="K119" s="6">
        <v>13574.4</v>
      </c>
      <c r="L119" s="4">
        <v>0</v>
      </c>
      <c r="M119" s="6" t="s">
        <v>19</v>
      </c>
      <c r="N119" s="20">
        <f t="shared" si="6"/>
        <v>13574.4</v>
      </c>
      <c r="O119" s="14"/>
      <c r="P119" s="14"/>
      <c r="Q119" s="21"/>
      <c r="R119" s="14"/>
      <c r="S119" s="14"/>
      <c r="T119" s="14"/>
      <c r="U119" s="14"/>
      <c r="V119" s="22"/>
      <c r="W119" s="14"/>
      <c r="X119" s="14"/>
      <c r="Y119" s="14"/>
      <c r="Z119" s="14"/>
      <c r="AA119" s="22"/>
      <c r="AB119" s="14"/>
    </row>
    <row r="120" spans="1:28">
      <c r="A120" s="12">
        <v>119</v>
      </c>
      <c r="B120" s="3" t="s">
        <v>211</v>
      </c>
      <c r="C120" s="43" t="s">
        <v>212</v>
      </c>
      <c r="D120" s="51" t="s">
        <v>305</v>
      </c>
      <c r="E120" s="43" t="s">
        <v>306</v>
      </c>
      <c r="F120" s="6">
        <v>24</v>
      </c>
      <c r="G120" s="43" t="s">
        <v>18</v>
      </c>
      <c r="H120" s="19">
        <v>9971</v>
      </c>
      <c r="I120" s="6">
        <v>1.84</v>
      </c>
      <c r="J120" s="6">
        <v>1.84</v>
      </c>
      <c r="K120" s="6">
        <v>0</v>
      </c>
      <c r="L120" s="4">
        <v>0</v>
      </c>
      <c r="M120" s="6" t="s">
        <v>19</v>
      </c>
      <c r="N120" s="20">
        <f t="shared" si="6"/>
        <v>3.68</v>
      </c>
      <c r="O120" s="14"/>
      <c r="P120" s="14"/>
      <c r="Q120" s="21"/>
      <c r="R120" s="14"/>
      <c r="S120" s="14"/>
      <c r="T120" s="14"/>
      <c r="U120" s="14"/>
      <c r="V120" s="22"/>
      <c r="W120" s="14"/>
      <c r="X120" s="14"/>
      <c r="Y120" s="14"/>
      <c r="Z120" s="14"/>
      <c r="AA120" s="22"/>
      <c r="AB120" s="14"/>
    </row>
    <row r="121" spans="1:28">
      <c r="A121" s="12">
        <v>120</v>
      </c>
      <c r="B121" s="3" t="s">
        <v>222</v>
      </c>
      <c r="C121" s="43" t="s">
        <v>223</v>
      </c>
      <c r="D121" s="51" t="s">
        <v>307</v>
      </c>
      <c r="E121" s="43" t="s">
        <v>308</v>
      </c>
      <c r="F121" s="6">
        <v>14246</v>
      </c>
      <c r="G121" s="43" t="s">
        <v>60</v>
      </c>
      <c r="H121" s="19">
        <v>8708</v>
      </c>
      <c r="I121" s="6">
        <v>1558.2</v>
      </c>
      <c r="J121" s="6">
        <v>1558.2</v>
      </c>
      <c r="K121" s="6">
        <v>0</v>
      </c>
      <c r="L121" s="4">
        <v>0</v>
      </c>
      <c r="M121" s="6" t="s">
        <v>19</v>
      </c>
      <c r="N121" s="20">
        <f t="shared" si="6"/>
        <v>3116.4</v>
      </c>
      <c r="O121" s="14"/>
      <c r="P121" s="14"/>
      <c r="Q121" s="21"/>
      <c r="R121" s="14"/>
      <c r="S121" s="14"/>
      <c r="T121" s="14"/>
      <c r="U121" s="14"/>
      <c r="V121" s="22"/>
      <c r="W121" s="14"/>
      <c r="X121" s="14"/>
      <c r="Y121" s="14"/>
      <c r="Z121" s="14"/>
      <c r="AA121" s="22"/>
      <c r="AB121" s="14"/>
    </row>
    <row r="122" spans="1:28">
      <c r="A122" s="12">
        <v>121</v>
      </c>
      <c r="B122" s="3" t="s">
        <v>222</v>
      </c>
      <c r="C122" s="43" t="s">
        <v>223</v>
      </c>
      <c r="D122" s="51" t="s">
        <v>309</v>
      </c>
      <c r="E122" s="43" t="s">
        <v>310</v>
      </c>
      <c r="F122" s="6">
        <v>17549</v>
      </c>
      <c r="G122" s="43" t="s">
        <v>60</v>
      </c>
      <c r="H122" s="19">
        <v>8708</v>
      </c>
      <c r="I122" s="6">
        <v>1919.4</v>
      </c>
      <c r="J122" s="6">
        <v>1919.4</v>
      </c>
      <c r="K122" s="6">
        <v>0</v>
      </c>
      <c r="L122" s="4">
        <v>0</v>
      </c>
      <c r="M122" s="6" t="s">
        <v>19</v>
      </c>
      <c r="N122" s="20">
        <f t="shared" si="6"/>
        <v>3838.8</v>
      </c>
      <c r="O122" s="14"/>
      <c r="P122" s="14"/>
      <c r="Q122" s="21"/>
      <c r="R122" s="14"/>
      <c r="S122" s="14"/>
      <c r="T122" s="14"/>
      <c r="U122" s="14"/>
      <c r="V122" s="22"/>
      <c r="W122" s="14"/>
      <c r="X122" s="14"/>
      <c r="Y122" s="14"/>
      <c r="Z122" s="14"/>
      <c r="AA122" s="22"/>
      <c r="AB122" s="14"/>
    </row>
    <row r="123" spans="1:28">
      <c r="A123" s="12">
        <v>122</v>
      </c>
      <c r="B123" s="3" t="s">
        <v>311</v>
      </c>
      <c r="C123" s="43" t="s">
        <v>312</v>
      </c>
      <c r="D123" s="51" t="s">
        <v>313</v>
      </c>
      <c r="E123" s="43" t="s">
        <v>306</v>
      </c>
      <c r="F123" s="6">
        <v>32500</v>
      </c>
      <c r="G123" s="43" t="s">
        <v>60</v>
      </c>
      <c r="H123" s="19">
        <v>85122010</v>
      </c>
      <c r="I123" s="6">
        <v>2478.8200000000002</v>
      </c>
      <c r="J123" s="6">
        <v>2478.8200000000002</v>
      </c>
      <c r="K123" s="6">
        <v>0</v>
      </c>
      <c r="L123" s="4">
        <v>0</v>
      </c>
      <c r="M123" s="6" t="s">
        <v>19</v>
      </c>
      <c r="N123" s="20">
        <f t="shared" si="6"/>
        <v>4957.6400000000003</v>
      </c>
      <c r="O123" s="14"/>
      <c r="P123" s="14"/>
      <c r="Q123" s="21"/>
      <c r="R123" s="14"/>
      <c r="S123" s="14"/>
      <c r="T123" s="14"/>
      <c r="U123" s="14"/>
      <c r="V123" s="22"/>
      <c r="W123" s="14"/>
      <c r="X123" s="14"/>
      <c r="Y123" s="14"/>
      <c r="Z123" s="14"/>
      <c r="AA123" s="22"/>
      <c r="AB123" s="14"/>
    </row>
    <row r="124" spans="1:28">
      <c r="A124" s="12">
        <v>123</v>
      </c>
      <c r="B124" s="3" t="s">
        <v>245</v>
      </c>
      <c r="C124" s="43" t="s">
        <v>246</v>
      </c>
      <c r="D124" s="51" t="s">
        <v>314</v>
      </c>
      <c r="E124" s="43" t="s">
        <v>308</v>
      </c>
      <c r="F124" s="6">
        <v>143360</v>
      </c>
      <c r="G124" s="43" t="s">
        <v>60</v>
      </c>
      <c r="H124" s="24">
        <f>VLOOKUP(B124,[1]ANNEXURE_B!$B$8:$H$230,7,0)</f>
        <v>87089900</v>
      </c>
      <c r="I124" s="6">
        <v>15680</v>
      </c>
      <c r="J124" s="6">
        <v>15680</v>
      </c>
      <c r="K124" s="6">
        <v>0</v>
      </c>
      <c r="L124" s="4">
        <v>0</v>
      </c>
      <c r="M124" s="6" t="s">
        <v>19</v>
      </c>
      <c r="N124" s="20">
        <f t="shared" si="6"/>
        <v>31360</v>
      </c>
      <c r="O124" s="14"/>
      <c r="P124" s="14"/>
      <c r="Q124" s="21"/>
      <c r="R124" s="14"/>
      <c r="S124" s="14"/>
      <c r="T124" s="14"/>
      <c r="U124" s="14"/>
      <c r="V124" s="22"/>
      <c r="W124" s="14"/>
      <c r="X124" s="14"/>
      <c r="Y124" s="14"/>
      <c r="Z124" s="14"/>
      <c r="AA124" s="22"/>
      <c r="AB124" s="14"/>
    </row>
    <row r="125" spans="1:28">
      <c r="A125" s="12">
        <v>124</v>
      </c>
      <c r="B125" s="3" t="s">
        <v>315</v>
      </c>
      <c r="C125" s="43" t="s">
        <v>316</v>
      </c>
      <c r="D125" s="51" t="s">
        <v>317</v>
      </c>
      <c r="E125" s="43" t="s">
        <v>318</v>
      </c>
      <c r="F125" s="6">
        <v>46964</v>
      </c>
      <c r="G125" s="43" t="s">
        <v>60</v>
      </c>
      <c r="H125" s="19">
        <v>8512</v>
      </c>
      <c r="I125" s="6">
        <v>3582</v>
      </c>
      <c r="J125" s="6">
        <v>3582</v>
      </c>
      <c r="K125" s="6">
        <v>0</v>
      </c>
      <c r="L125" s="4">
        <v>0</v>
      </c>
      <c r="M125" s="6" t="s">
        <v>19</v>
      </c>
      <c r="N125" s="20">
        <f t="shared" si="6"/>
        <v>7164</v>
      </c>
      <c r="O125" s="14"/>
      <c r="P125" s="14"/>
      <c r="Q125" s="21"/>
      <c r="R125" s="14"/>
      <c r="S125" s="14"/>
      <c r="T125" s="14"/>
      <c r="U125" s="14"/>
      <c r="V125" s="22"/>
      <c r="W125" s="14"/>
      <c r="X125" s="14"/>
      <c r="Y125" s="14"/>
      <c r="Z125" s="14"/>
      <c r="AA125" s="22"/>
      <c r="AB125" s="14"/>
    </row>
    <row r="126" spans="1:28">
      <c r="A126" s="12">
        <v>125</v>
      </c>
      <c r="B126" s="3" t="s">
        <v>315</v>
      </c>
      <c r="C126" s="43" t="s">
        <v>316</v>
      </c>
      <c r="D126" s="51" t="s">
        <v>319</v>
      </c>
      <c r="E126" s="43" t="s">
        <v>320</v>
      </c>
      <c r="F126" s="6">
        <v>43046</v>
      </c>
      <c r="G126" s="43" t="s">
        <v>60</v>
      </c>
      <c r="H126" s="19">
        <v>8512</v>
      </c>
      <c r="I126" s="6">
        <v>3283.2</v>
      </c>
      <c r="J126" s="6">
        <v>3283.2</v>
      </c>
      <c r="K126" s="6">
        <v>0</v>
      </c>
      <c r="L126" s="4">
        <v>0</v>
      </c>
      <c r="M126" s="6" t="s">
        <v>19</v>
      </c>
      <c r="N126" s="20">
        <f t="shared" si="6"/>
        <v>6566.4</v>
      </c>
      <c r="O126" s="14"/>
      <c r="P126" s="14"/>
      <c r="Q126" s="21"/>
      <c r="R126" s="14"/>
      <c r="S126" s="14"/>
      <c r="T126" s="14"/>
      <c r="U126" s="14"/>
      <c r="V126" s="22"/>
      <c r="W126" s="14"/>
      <c r="X126" s="14"/>
      <c r="Y126" s="14"/>
      <c r="Z126" s="14"/>
      <c r="AA126" s="22"/>
      <c r="AB126" s="14"/>
    </row>
    <row r="127" spans="1:28">
      <c r="A127" s="12">
        <v>126</v>
      </c>
      <c r="B127" s="3" t="s">
        <v>315</v>
      </c>
      <c r="C127" s="43" t="s">
        <v>316</v>
      </c>
      <c r="D127" s="51" t="s">
        <v>321</v>
      </c>
      <c r="E127" s="43" t="s">
        <v>320</v>
      </c>
      <c r="F127" s="6">
        <v>13310</v>
      </c>
      <c r="G127" s="43" t="s">
        <v>60</v>
      </c>
      <c r="H127" s="19">
        <v>8512</v>
      </c>
      <c r="I127" s="6">
        <v>1015.2</v>
      </c>
      <c r="J127" s="6">
        <v>1015.2</v>
      </c>
      <c r="K127" s="6">
        <v>0</v>
      </c>
      <c r="L127" s="4">
        <v>0</v>
      </c>
      <c r="M127" s="6" t="s">
        <v>19</v>
      </c>
      <c r="N127" s="20">
        <f t="shared" si="6"/>
        <v>2030.4</v>
      </c>
      <c r="O127" s="14"/>
      <c r="P127" s="14"/>
      <c r="Q127" s="21"/>
      <c r="R127" s="14"/>
      <c r="S127" s="14"/>
      <c r="T127" s="14"/>
      <c r="U127" s="14"/>
      <c r="V127" s="22"/>
      <c r="W127" s="14"/>
      <c r="X127" s="14"/>
      <c r="Y127" s="14"/>
      <c r="Z127" s="14"/>
      <c r="AA127" s="22"/>
      <c r="AB127" s="14"/>
    </row>
    <row r="128" spans="1:28">
      <c r="A128" s="12">
        <v>127</v>
      </c>
      <c r="B128" s="3" t="s">
        <v>322</v>
      </c>
      <c r="C128" s="43" t="s">
        <v>323</v>
      </c>
      <c r="D128" s="51" t="s">
        <v>324</v>
      </c>
      <c r="E128" s="43" t="s">
        <v>325</v>
      </c>
      <c r="F128" s="6">
        <v>48000</v>
      </c>
      <c r="G128" s="43" t="s">
        <v>60</v>
      </c>
      <c r="H128" s="19">
        <v>8708</v>
      </c>
      <c r="I128" s="6">
        <v>5250</v>
      </c>
      <c r="J128" s="6">
        <v>5250</v>
      </c>
      <c r="K128" s="6">
        <v>0</v>
      </c>
      <c r="L128" s="4">
        <v>0</v>
      </c>
      <c r="M128" s="6" t="s">
        <v>19</v>
      </c>
      <c r="N128" s="20">
        <f t="shared" si="6"/>
        <v>10500</v>
      </c>
      <c r="O128" s="14"/>
      <c r="P128" s="14"/>
      <c r="Q128" s="21"/>
      <c r="R128" s="14"/>
      <c r="S128" s="14"/>
      <c r="T128" s="14"/>
      <c r="U128" s="14"/>
      <c r="V128" s="22"/>
      <c r="W128" s="14"/>
      <c r="X128" s="14"/>
      <c r="Y128" s="14"/>
      <c r="Z128" s="14"/>
      <c r="AA128" s="22"/>
      <c r="AB128" s="14"/>
    </row>
    <row r="129" spans="1:28">
      <c r="A129" s="12">
        <v>128</v>
      </c>
      <c r="B129" s="3" t="s">
        <v>326</v>
      </c>
      <c r="C129" s="43" t="s">
        <v>327</v>
      </c>
      <c r="D129" s="51" t="s">
        <v>328</v>
      </c>
      <c r="E129" s="43" t="s">
        <v>325</v>
      </c>
      <c r="F129" s="6">
        <v>21830</v>
      </c>
      <c r="G129" s="43" t="s">
        <v>60</v>
      </c>
      <c r="H129" s="19">
        <v>40169990</v>
      </c>
      <c r="I129" s="6">
        <v>0</v>
      </c>
      <c r="J129" s="6">
        <v>0</v>
      </c>
      <c r="K129" s="6">
        <v>3330</v>
      </c>
      <c r="L129" s="4">
        <v>0</v>
      </c>
      <c r="M129" s="6" t="s">
        <v>19</v>
      </c>
      <c r="N129" s="20">
        <f t="shared" si="6"/>
        <v>3330</v>
      </c>
      <c r="O129" s="14"/>
      <c r="P129" s="14"/>
      <c r="Q129" s="21"/>
      <c r="R129" s="14"/>
      <c r="S129" s="14"/>
      <c r="T129" s="14"/>
      <c r="U129" s="14"/>
      <c r="V129" s="22"/>
      <c r="W129" s="14"/>
      <c r="X129" s="14"/>
      <c r="Y129" s="14"/>
      <c r="Z129" s="14"/>
      <c r="AA129" s="22"/>
      <c r="AB129" s="14"/>
    </row>
    <row r="130" spans="1:28">
      <c r="A130" s="12">
        <v>129</v>
      </c>
      <c r="B130" s="3" t="s">
        <v>214</v>
      </c>
      <c r="C130" s="43" t="s">
        <v>215</v>
      </c>
      <c r="D130" s="51" t="s">
        <v>329</v>
      </c>
      <c r="E130" s="43" t="s">
        <v>325</v>
      </c>
      <c r="F130" s="6">
        <v>9440</v>
      </c>
      <c r="G130" s="43" t="s">
        <v>60</v>
      </c>
      <c r="H130" s="24">
        <v>38121000</v>
      </c>
      <c r="I130" s="6">
        <v>720</v>
      </c>
      <c r="J130" s="6">
        <v>720</v>
      </c>
      <c r="K130" s="6">
        <v>0</v>
      </c>
      <c r="L130" s="4">
        <v>0</v>
      </c>
      <c r="M130" s="6" t="s">
        <v>19</v>
      </c>
      <c r="N130" s="20">
        <f t="shared" si="6"/>
        <v>1440</v>
      </c>
      <c r="O130" s="14"/>
      <c r="P130" s="14"/>
      <c r="Q130" s="21"/>
      <c r="R130" s="14"/>
      <c r="S130" s="14"/>
      <c r="T130" s="14"/>
      <c r="U130" s="14"/>
      <c r="V130" s="22"/>
      <c r="W130" s="14"/>
      <c r="X130" s="14"/>
      <c r="Y130" s="14"/>
      <c r="Z130" s="14"/>
      <c r="AA130" s="22"/>
      <c r="AB130" s="14"/>
    </row>
    <row r="131" spans="1:28">
      <c r="A131" s="12">
        <v>130</v>
      </c>
      <c r="B131" s="3" t="s">
        <v>214</v>
      </c>
      <c r="C131" s="43" t="s">
        <v>215</v>
      </c>
      <c r="D131" s="51" t="s">
        <v>330</v>
      </c>
      <c r="E131" s="43" t="s">
        <v>325</v>
      </c>
      <c r="F131" s="6">
        <v>3840</v>
      </c>
      <c r="G131" s="43" t="s">
        <v>60</v>
      </c>
      <c r="H131" s="24">
        <v>38121000</v>
      </c>
      <c r="I131" s="6">
        <v>420</v>
      </c>
      <c r="J131" s="6">
        <v>420</v>
      </c>
      <c r="K131" s="6">
        <v>0</v>
      </c>
      <c r="L131" s="4">
        <v>0</v>
      </c>
      <c r="M131" s="6" t="s">
        <v>19</v>
      </c>
      <c r="N131" s="20">
        <f t="shared" si="6"/>
        <v>840</v>
      </c>
      <c r="O131" s="14"/>
      <c r="P131" s="14"/>
      <c r="Q131" s="21"/>
      <c r="R131" s="14"/>
      <c r="S131" s="14"/>
      <c r="T131" s="14"/>
      <c r="U131" s="14"/>
      <c r="V131" s="22"/>
      <c r="W131" s="14"/>
      <c r="X131" s="14"/>
      <c r="Y131" s="14"/>
      <c r="Z131" s="14"/>
      <c r="AA131" s="22"/>
      <c r="AB131" s="14"/>
    </row>
    <row r="132" spans="1:28">
      <c r="A132" s="12">
        <v>131</v>
      </c>
      <c r="B132" s="3" t="s">
        <v>261</v>
      </c>
      <c r="C132" s="43" t="s">
        <v>262</v>
      </c>
      <c r="D132" s="51" t="s">
        <v>331</v>
      </c>
      <c r="E132" s="43" t="s">
        <v>332</v>
      </c>
      <c r="F132" s="6">
        <v>18586</v>
      </c>
      <c r="G132" s="43" t="s">
        <v>60</v>
      </c>
      <c r="H132" s="19">
        <v>8708</v>
      </c>
      <c r="I132" s="6">
        <v>2032.8</v>
      </c>
      <c r="J132" s="6">
        <v>2032.8</v>
      </c>
      <c r="K132" s="6">
        <v>0</v>
      </c>
      <c r="L132" s="4">
        <v>0</v>
      </c>
      <c r="M132" s="6" t="s">
        <v>19</v>
      </c>
      <c r="N132" s="20">
        <f t="shared" si="6"/>
        <v>4065.6</v>
      </c>
      <c r="O132" s="14"/>
      <c r="P132" s="14"/>
      <c r="Q132" s="21"/>
      <c r="R132" s="14"/>
      <c r="S132" s="14"/>
      <c r="T132" s="14"/>
      <c r="U132" s="14"/>
      <c r="V132" s="22"/>
      <c r="W132" s="14"/>
      <c r="X132" s="14"/>
      <c r="Y132" s="14"/>
      <c r="Z132" s="14"/>
      <c r="AA132" s="22"/>
      <c r="AB132" s="14"/>
    </row>
    <row r="133" spans="1:28">
      <c r="A133" s="12">
        <v>132</v>
      </c>
      <c r="B133" s="3" t="s">
        <v>261</v>
      </c>
      <c r="C133" s="43" t="s">
        <v>262</v>
      </c>
      <c r="D133" s="51" t="s">
        <v>333</v>
      </c>
      <c r="E133" s="43" t="s">
        <v>334</v>
      </c>
      <c r="F133" s="6">
        <v>7424</v>
      </c>
      <c r="G133" s="43" t="s">
        <v>60</v>
      </c>
      <c r="H133" s="19">
        <v>8708</v>
      </c>
      <c r="I133" s="6">
        <v>812</v>
      </c>
      <c r="J133" s="6">
        <v>812</v>
      </c>
      <c r="K133" s="6">
        <v>0</v>
      </c>
      <c r="L133" s="4">
        <v>0</v>
      </c>
      <c r="M133" s="6" t="s">
        <v>19</v>
      </c>
      <c r="N133" s="20">
        <f t="shared" si="6"/>
        <v>1624</v>
      </c>
      <c r="O133" s="14"/>
      <c r="P133" s="14"/>
      <c r="Q133" s="21"/>
      <c r="R133" s="14"/>
      <c r="S133" s="14"/>
      <c r="T133" s="14"/>
      <c r="U133" s="14"/>
      <c r="V133" s="22"/>
      <c r="W133" s="14"/>
      <c r="X133" s="14"/>
      <c r="Y133" s="14"/>
      <c r="Z133" s="14"/>
      <c r="AA133" s="22"/>
      <c r="AB133" s="14"/>
    </row>
    <row r="134" spans="1:28">
      <c r="A134" s="12">
        <v>133</v>
      </c>
      <c r="B134" s="3" t="s">
        <v>335</v>
      </c>
      <c r="C134" s="43" t="s">
        <v>336</v>
      </c>
      <c r="D134" s="51" t="s">
        <v>337</v>
      </c>
      <c r="E134" s="43" t="s">
        <v>295</v>
      </c>
      <c r="F134" s="6">
        <v>30097</v>
      </c>
      <c r="G134" s="43" t="s">
        <v>60</v>
      </c>
      <c r="H134" s="19">
        <v>8708</v>
      </c>
      <c r="I134" s="6">
        <v>2295.5</v>
      </c>
      <c r="J134" s="6">
        <v>2295.5</v>
      </c>
      <c r="K134" s="6">
        <v>0</v>
      </c>
      <c r="L134" s="4">
        <v>0</v>
      </c>
      <c r="M134" s="6" t="s">
        <v>19</v>
      </c>
      <c r="N134" s="20">
        <f t="shared" si="6"/>
        <v>4591</v>
      </c>
      <c r="O134" s="14"/>
      <c r="P134" s="14"/>
      <c r="Q134" s="21"/>
      <c r="R134" s="14"/>
      <c r="S134" s="14"/>
      <c r="T134" s="14"/>
      <c r="U134" s="14"/>
      <c r="V134" s="22"/>
      <c r="W134" s="14"/>
      <c r="X134" s="14"/>
      <c r="Y134" s="14"/>
      <c r="Z134" s="14"/>
      <c r="AA134" s="22"/>
      <c r="AB134" s="14"/>
    </row>
    <row r="135" spans="1:28">
      <c r="A135" s="12">
        <v>134</v>
      </c>
      <c r="B135" s="3" t="s">
        <v>338</v>
      </c>
      <c r="C135" s="43" t="s">
        <v>339</v>
      </c>
      <c r="D135" s="51" t="s">
        <v>340</v>
      </c>
      <c r="E135" s="43" t="s">
        <v>341</v>
      </c>
      <c r="F135" s="6">
        <v>47790</v>
      </c>
      <c r="G135" s="43" t="s">
        <v>60</v>
      </c>
      <c r="H135" s="19">
        <v>70091090</v>
      </c>
      <c r="I135" s="6">
        <v>3645</v>
      </c>
      <c r="J135" s="6">
        <v>3645</v>
      </c>
      <c r="K135" s="6">
        <v>0</v>
      </c>
      <c r="L135" s="4">
        <v>0</v>
      </c>
      <c r="M135" s="6" t="s">
        <v>19</v>
      </c>
      <c r="N135" s="20">
        <f t="shared" si="6"/>
        <v>7290</v>
      </c>
      <c r="O135" s="14"/>
      <c r="P135" s="14"/>
      <c r="Q135" s="21"/>
      <c r="R135" s="14"/>
      <c r="S135" s="14"/>
      <c r="T135" s="14"/>
      <c r="U135" s="14"/>
      <c r="V135" s="22"/>
      <c r="W135" s="14"/>
      <c r="X135" s="14"/>
      <c r="Y135" s="14"/>
      <c r="Z135" s="14"/>
      <c r="AA135" s="22"/>
      <c r="AB135" s="14"/>
    </row>
    <row r="136" spans="1:28">
      <c r="A136" s="12">
        <v>135</v>
      </c>
      <c r="B136" s="3" t="s">
        <v>222</v>
      </c>
      <c r="C136" s="43" t="s">
        <v>223</v>
      </c>
      <c r="D136" s="51" t="s">
        <v>342</v>
      </c>
      <c r="E136" s="43" t="s">
        <v>343</v>
      </c>
      <c r="F136" s="6">
        <v>11328</v>
      </c>
      <c r="G136" s="43" t="s">
        <v>60</v>
      </c>
      <c r="H136" s="19">
        <v>8708</v>
      </c>
      <c r="I136" s="6">
        <v>864</v>
      </c>
      <c r="J136" s="6">
        <v>864</v>
      </c>
      <c r="K136" s="6">
        <v>0</v>
      </c>
      <c r="L136" s="4">
        <v>0</v>
      </c>
      <c r="M136" s="6" t="s">
        <v>19</v>
      </c>
      <c r="N136" s="20">
        <f t="shared" si="6"/>
        <v>1728</v>
      </c>
      <c r="O136" s="14"/>
      <c r="P136" s="14"/>
      <c r="Q136" s="21"/>
      <c r="R136" s="14"/>
      <c r="S136" s="14"/>
      <c r="T136" s="14"/>
      <c r="U136" s="14"/>
      <c r="V136" s="22"/>
      <c r="W136" s="14"/>
      <c r="X136" s="14"/>
      <c r="Y136" s="14"/>
      <c r="Z136" s="14"/>
      <c r="AA136" s="22"/>
      <c r="AB136" s="14"/>
    </row>
    <row r="137" spans="1:28">
      <c r="A137" s="12">
        <v>136</v>
      </c>
      <c r="B137" s="3" t="s">
        <v>344</v>
      </c>
      <c r="C137" s="43" t="s">
        <v>345</v>
      </c>
      <c r="D137" s="51" t="s">
        <v>346</v>
      </c>
      <c r="E137" s="43" t="s">
        <v>347</v>
      </c>
      <c r="F137" s="6">
        <v>104141</v>
      </c>
      <c r="G137" s="51" t="s">
        <v>60</v>
      </c>
      <c r="H137" s="19">
        <v>87089900</v>
      </c>
      <c r="I137" s="6">
        <v>11390.4</v>
      </c>
      <c r="J137" s="6">
        <v>11390.4</v>
      </c>
      <c r="K137" s="6">
        <v>0</v>
      </c>
      <c r="L137" s="4">
        <v>0</v>
      </c>
      <c r="M137" s="6" t="s">
        <v>19</v>
      </c>
      <c r="N137" s="20">
        <f t="shared" si="6"/>
        <v>22780.799999999999</v>
      </c>
      <c r="O137" s="14"/>
      <c r="P137" s="3"/>
      <c r="Q137" s="21"/>
      <c r="R137" s="14"/>
      <c r="S137" s="14"/>
      <c r="T137" s="14"/>
      <c r="U137" s="14"/>
      <c r="V137" s="22"/>
      <c r="W137" s="14"/>
      <c r="X137" s="14"/>
      <c r="Y137" s="14"/>
      <c r="Z137" s="14"/>
      <c r="AA137" s="22"/>
      <c r="AB137" s="14"/>
    </row>
    <row r="138" spans="1:28">
      <c r="A138" s="12">
        <v>137</v>
      </c>
      <c r="B138" s="3" t="s">
        <v>234</v>
      </c>
      <c r="C138" s="43" t="s">
        <v>235</v>
      </c>
      <c r="D138" s="51" t="s">
        <v>348</v>
      </c>
      <c r="E138" s="43" t="s">
        <v>349</v>
      </c>
      <c r="F138" s="6">
        <v>1320</v>
      </c>
      <c r="G138" s="43" t="s">
        <v>18</v>
      </c>
      <c r="H138" s="23">
        <v>996791</v>
      </c>
      <c r="I138" s="6">
        <v>0</v>
      </c>
      <c r="J138" s="6">
        <v>0</v>
      </c>
      <c r="K138" s="6">
        <v>66</v>
      </c>
      <c r="L138" s="4">
        <v>0</v>
      </c>
      <c r="M138" s="6" t="s">
        <v>19</v>
      </c>
      <c r="N138" s="20">
        <f t="shared" si="6"/>
        <v>66</v>
      </c>
      <c r="O138" s="14"/>
      <c r="P138" s="3"/>
      <c r="Q138" s="21"/>
      <c r="R138" s="14"/>
      <c r="S138" s="14"/>
      <c r="T138" s="14"/>
      <c r="U138" s="14"/>
      <c r="V138" s="22"/>
      <c r="W138" s="14"/>
      <c r="X138" s="14"/>
      <c r="Y138" s="14"/>
      <c r="Z138" s="14"/>
      <c r="AA138" s="22"/>
      <c r="AB138" s="14"/>
    </row>
    <row r="139" spans="1:28">
      <c r="A139" s="12">
        <v>138</v>
      </c>
      <c r="B139" s="3" t="s">
        <v>230</v>
      </c>
      <c r="C139" s="43" t="s">
        <v>231</v>
      </c>
      <c r="D139" s="51" t="s">
        <v>350</v>
      </c>
      <c r="E139" s="43" t="s">
        <v>351</v>
      </c>
      <c r="F139" s="6">
        <v>700</v>
      </c>
      <c r="G139" s="43" t="s">
        <v>60</v>
      </c>
      <c r="H139" s="24">
        <v>87081090</v>
      </c>
      <c r="I139" s="6">
        <v>76.61</v>
      </c>
      <c r="J139" s="6">
        <v>76.61</v>
      </c>
      <c r="K139" s="6">
        <v>0</v>
      </c>
      <c r="L139" s="4">
        <v>0</v>
      </c>
      <c r="M139" s="6" t="s">
        <v>19</v>
      </c>
      <c r="N139" s="20">
        <f t="shared" si="6"/>
        <v>153.22</v>
      </c>
      <c r="O139" s="14"/>
      <c r="P139" s="3"/>
      <c r="Q139" s="21"/>
      <c r="R139" s="14"/>
      <c r="S139" s="14"/>
      <c r="T139" s="14"/>
      <c r="U139" s="14"/>
      <c r="V139" s="22"/>
      <c r="W139" s="14"/>
      <c r="X139" s="14"/>
      <c r="Y139" s="14"/>
      <c r="Z139" s="14"/>
      <c r="AA139" s="22"/>
      <c r="AB139" s="14"/>
    </row>
    <row r="140" spans="1:28">
      <c r="A140" s="12">
        <v>139</v>
      </c>
      <c r="B140" s="3" t="s">
        <v>352</v>
      </c>
      <c r="C140" s="43" t="s">
        <v>353</v>
      </c>
      <c r="D140" s="51" t="s">
        <v>354</v>
      </c>
      <c r="E140" s="43" t="s">
        <v>355</v>
      </c>
      <c r="F140" s="6">
        <v>5192</v>
      </c>
      <c r="G140" s="43" t="s">
        <v>60</v>
      </c>
      <c r="H140" s="19">
        <v>84314930</v>
      </c>
      <c r="I140" s="6">
        <v>396</v>
      </c>
      <c r="J140" s="6">
        <v>396</v>
      </c>
      <c r="K140" s="6">
        <v>0</v>
      </c>
      <c r="L140" s="4">
        <v>0</v>
      </c>
      <c r="M140" s="6" t="s">
        <v>19</v>
      </c>
      <c r="N140" s="20">
        <f t="shared" si="6"/>
        <v>792</v>
      </c>
      <c r="O140" s="14"/>
      <c r="P140" s="3"/>
      <c r="Q140" s="21"/>
      <c r="R140" s="14"/>
      <c r="S140" s="14"/>
      <c r="T140" s="14"/>
      <c r="U140" s="14"/>
      <c r="V140" s="22"/>
      <c r="W140" s="14"/>
      <c r="X140" s="14"/>
      <c r="Y140" s="14"/>
      <c r="Z140" s="14"/>
      <c r="AA140" s="22"/>
      <c r="AB140" s="14"/>
    </row>
    <row r="141" spans="1:28">
      <c r="A141" s="12">
        <v>140</v>
      </c>
      <c r="B141" s="3" t="s">
        <v>211</v>
      </c>
      <c r="C141" s="43" t="s">
        <v>212</v>
      </c>
      <c r="D141" s="51" t="s">
        <v>356</v>
      </c>
      <c r="E141" s="43" t="s">
        <v>357</v>
      </c>
      <c r="F141" s="6">
        <v>616.99</v>
      </c>
      <c r="G141" s="43" t="s">
        <v>18</v>
      </c>
      <c r="H141" s="19">
        <v>9971</v>
      </c>
      <c r="I141" s="6">
        <v>47.06</v>
      </c>
      <c r="J141" s="6">
        <v>47.06</v>
      </c>
      <c r="K141" s="6">
        <v>0</v>
      </c>
      <c r="L141" s="4">
        <v>0</v>
      </c>
      <c r="M141" s="6" t="s">
        <v>19</v>
      </c>
      <c r="N141" s="20">
        <f t="shared" si="6"/>
        <v>94.12</v>
      </c>
      <c r="O141" s="14"/>
      <c r="P141" s="3"/>
      <c r="Q141" s="21"/>
      <c r="R141" s="14"/>
      <c r="S141" s="14"/>
      <c r="T141" s="14"/>
      <c r="U141" s="14"/>
      <c r="V141" s="22"/>
      <c r="W141" s="14"/>
      <c r="X141" s="14"/>
      <c r="Y141" s="14"/>
      <c r="Z141" s="14"/>
      <c r="AA141" s="22"/>
      <c r="AB141" s="14"/>
    </row>
    <row r="142" spans="1:28">
      <c r="A142" s="12">
        <v>141</v>
      </c>
      <c r="B142" s="3" t="s">
        <v>358</v>
      </c>
      <c r="C142" s="43" t="s">
        <v>359</v>
      </c>
      <c r="D142" s="51" t="s">
        <v>360</v>
      </c>
      <c r="E142" s="43" t="s">
        <v>341</v>
      </c>
      <c r="F142" s="6">
        <v>15817</v>
      </c>
      <c r="G142" s="43" t="s">
        <v>60</v>
      </c>
      <c r="H142" s="19">
        <v>40169990</v>
      </c>
      <c r="I142" s="6">
        <v>1206.3599999999999</v>
      </c>
      <c r="J142" s="6">
        <v>1206.3599999999999</v>
      </c>
      <c r="K142" s="6">
        <v>0</v>
      </c>
      <c r="L142" s="4">
        <v>0</v>
      </c>
      <c r="M142" s="6" t="s">
        <v>19</v>
      </c>
      <c r="N142" s="20">
        <f t="shared" si="6"/>
        <v>2412.7199999999998</v>
      </c>
      <c r="O142" s="14"/>
      <c r="P142" s="3"/>
      <c r="Q142" s="21"/>
      <c r="R142" s="14"/>
      <c r="S142" s="14"/>
      <c r="T142" s="14"/>
      <c r="U142" s="14"/>
      <c r="V142" s="22"/>
      <c r="W142" s="14"/>
      <c r="X142" s="14"/>
      <c r="Y142" s="14"/>
      <c r="Z142" s="14"/>
      <c r="AA142" s="22"/>
      <c r="AB142" s="14"/>
    </row>
    <row r="143" spans="1:28">
      <c r="A143" s="12">
        <v>142</v>
      </c>
      <c r="B143" s="3" t="s">
        <v>358</v>
      </c>
      <c r="C143" s="43" t="s">
        <v>359</v>
      </c>
      <c r="D143" s="51" t="s">
        <v>361</v>
      </c>
      <c r="E143" s="43" t="s">
        <v>362</v>
      </c>
      <c r="F143" s="6">
        <v>19470</v>
      </c>
      <c r="G143" s="43" t="s">
        <v>60</v>
      </c>
      <c r="H143" s="19">
        <v>40169990</v>
      </c>
      <c r="I143" s="6">
        <v>1485</v>
      </c>
      <c r="J143" s="6">
        <v>1485</v>
      </c>
      <c r="K143" s="6">
        <v>0</v>
      </c>
      <c r="L143" s="4">
        <v>0</v>
      </c>
      <c r="M143" s="6" t="s">
        <v>19</v>
      </c>
      <c r="N143" s="20">
        <f t="shared" si="6"/>
        <v>2970</v>
      </c>
      <c r="O143" s="14"/>
      <c r="P143" s="3"/>
      <c r="Q143" s="21"/>
      <c r="R143" s="14"/>
      <c r="S143" s="14"/>
      <c r="T143" s="14"/>
      <c r="U143" s="14"/>
      <c r="V143" s="22"/>
      <c r="W143" s="14"/>
      <c r="X143" s="14"/>
      <c r="Y143" s="14"/>
      <c r="Z143" s="14"/>
      <c r="AA143" s="22"/>
      <c r="AB143" s="14"/>
    </row>
    <row r="144" spans="1:28">
      <c r="A144" s="12">
        <v>143</v>
      </c>
      <c r="B144" s="3" t="s">
        <v>251</v>
      </c>
      <c r="C144" s="43" t="s">
        <v>252</v>
      </c>
      <c r="D144" s="51" t="s">
        <v>363</v>
      </c>
      <c r="E144" s="43" t="s">
        <v>364</v>
      </c>
      <c r="F144" s="6">
        <v>41760</v>
      </c>
      <c r="G144" s="43" t="s">
        <v>60</v>
      </c>
      <c r="H144" s="24">
        <f>VLOOKUP(B144,[1]ANNEXURE_B!$B$8:$H$230,7,0)</f>
        <v>87089900</v>
      </c>
      <c r="I144" s="6">
        <v>0</v>
      </c>
      <c r="J144" s="6">
        <v>0</v>
      </c>
      <c r="K144" s="6">
        <v>9135</v>
      </c>
      <c r="L144" s="4">
        <v>0</v>
      </c>
      <c r="M144" s="6" t="s">
        <v>19</v>
      </c>
      <c r="N144" s="20">
        <f t="shared" ref="N144:N203" si="7">SUM(I144:L144)</f>
        <v>9135</v>
      </c>
      <c r="O144" s="14"/>
      <c r="P144" s="3"/>
      <c r="Q144" s="21"/>
      <c r="R144" s="14"/>
      <c r="S144" s="14"/>
      <c r="T144" s="14"/>
      <c r="U144" s="14"/>
      <c r="V144" s="22"/>
      <c r="W144" s="14"/>
      <c r="X144" s="14"/>
      <c r="Y144" s="14"/>
      <c r="Z144" s="14"/>
      <c r="AA144" s="22"/>
      <c r="AB144" s="14"/>
    </row>
    <row r="145" spans="1:28">
      <c r="A145" s="12">
        <v>144</v>
      </c>
      <c r="B145" s="3" t="s">
        <v>261</v>
      </c>
      <c r="C145" s="43" t="s">
        <v>262</v>
      </c>
      <c r="D145" s="51" t="s">
        <v>365</v>
      </c>
      <c r="E145" s="43" t="s">
        <v>349</v>
      </c>
      <c r="F145" s="6">
        <v>47277</v>
      </c>
      <c r="G145" s="43" t="s">
        <v>60</v>
      </c>
      <c r="H145" s="19">
        <v>8708</v>
      </c>
      <c r="I145" s="6">
        <v>5170.8999999999996</v>
      </c>
      <c r="J145" s="6">
        <v>5170.8999999999996</v>
      </c>
      <c r="K145" s="6">
        <v>0</v>
      </c>
      <c r="L145" s="4">
        <v>0</v>
      </c>
      <c r="M145" s="6" t="s">
        <v>19</v>
      </c>
      <c r="N145" s="20">
        <f t="shared" si="7"/>
        <v>10341.799999999999</v>
      </c>
      <c r="O145" s="14"/>
      <c r="P145" s="3"/>
      <c r="Q145" s="21"/>
      <c r="R145" s="14"/>
      <c r="S145" s="14"/>
      <c r="T145" s="14"/>
      <c r="U145" s="14"/>
      <c r="V145" s="22"/>
      <c r="W145" s="14"/>
      <c r="X145" s="14"/>
      <c r="Y145" s="14"/>
      <c r="Z145" s="14"/>
      <c r="AA145" s="22"/>
      <c r="AB145" s="14"/>
    </row>
    <row r="146" spans="1:28">
      <c r="A146" s="12">
        <v>145</v>
      </c>
      <c r="B146" s="3" t="s">
        <v>261</v>
      </c>
      <c r="C146" s="43" t="s">
        <v>262</v>
      </c>
      <c r="D146" s="51" t="s">
        <v>366</v>
      </c>
      <c r="E146" s="43" t="s">
        <v>367</v>
      </c>
      <c r="F146" s="6">
        <v>28032</v>
      </c>
      <c r="G146" s="43" t="s">
        <v>60</v>
      </c>
      <c r="H146" s="19">
        <v>8708</v>
      </c>
      <c r="I146" s="6">
        <v>3066</v>
      </c>
      <c r="J146" s="6">
        <v>3066</v>
      </c>
      <c r="K146" s="6">
        <v>0</v>
      </c>
      <c r="L146" s="4">
        <v>0</v>
      </c>
      <c r="M146" s="6" t="s">
        <v>19</v>
      </c>
      <c r="N146" s="20">
        <f t="shared" si="7"/>
        <v>6132</v>
      </c>
      <c r="O146" s="14"/>
      <c r="P146" s="3"/>
      <c r="Q146" s="21"/>
      <c r="R146" s="14"/>
      <c r="S146" s="14"/>
      <c r="T146" s="14"/>
      <c r="U146" s="14"/>
      <c r="V146" s="22"/>
      <c r="W146" s="14"/>
      <c r="X146" s="14"/>
      <c r="Y146" s="14"/>
      <c r="Z146" s="14"/>
      <c r="AA146" s="22"/>
      <c r="AB146" s="14"/>
    </row>
    <row r="147" spans="1:28">
      <c r="A147" s="12">
        <v>146</v>
      </c>
      <c r="B147" s="3" t="s">
        <v>261</v>
      </c>
      <c r="C147" s="43" t="s">
        <v>262</v>
      </c>
      <c r="D147" s="51" t="s">
        <v>368</v>
      </c>
      <c r="E147" s="43" t="s">
        <v>369</v>
      </c>
      <c r="F147" s="6">
        <v>27981</v>
      </c>
      <c r="G147" s="43" t="s">
        <v>60</v>
      </c>
      <c r="H147" s="19">
        <v>8708</v>
      </c>
      <c r="I147" s="6">
        <v>3060.4</v>
      </c>
      <c r="J147" s="6">
        <v>3060.4</v>
      </c>
      <c r="K147" s="6">
        <v>0</v>
      </c>
      <c r="L147" s="4">
        <v>0</v>
      </c>
      <c r="M147" s="6" t="s">
        <v>19</v>
      </c>
      <c r="N147" s="20">
        <f t="shared" si="7"/>
        <v>6120.8</v>
      </c>
      <c r="O147" s="14"/>
      <c r="P147" s="3"/>
      <c r="Q147" s="21"/>
      <c r="R147" s="14"/>
      <c r="S147" s="14"/>
      <c r="T147" s="14"/>
      <c r="U147" s="14"/>
      <c r="V147" s="22"/>
      <c r="W147" s="14"/>
      <c r="X147" s="14"/>
      <c r="Y147" s="14"/>
      <c r="Z147" s="14"/>
      <c r="AA147" s="22"/>
      <c r="AB147" s="14"/>
    </row>
    <row r="148" spans="1:28">
      <c r="A148" s="12">
        <v>147</v>
      </c>
      <c r="B148" s="3" t="s">
        <v>261</v>
      </c>
      <c r="C148" s="43" t="s">
        <v>262</v>
      </c>
      <c r="D148" s="51" t="s">
        <v>370</v>
      </c>
      <c r="E148" s="43" t="s">
        <v>371</v>
      </c>
      <c r="F148" s="6">
        <v>2560</v>
      </c>
      <c r="G148" s="43" t="s">
        <v>60</v>
      </c>
      <c r="H148" s="19">
        <v>8708</v>
      </c>
      <c r="I148" s="6">
        <v>280</v>
      </c>
      <c r="J148" s="6">
        <v>280</v>
      </c>
      <c r="K148" s="6">
        <v>0</v>
      </c>
      <c r="L148" s="4">
        <v>0</v>
      </c>
      <c r="M148" s="6" t="s">
        <v>19</v>
      </c>
      <c r="N148" s="20">
        <f t="shared" si="7"/>
        <v>560</v>
      </c>
      <c r="O148" s="14"/>
      <c r="P148" s="3"/>
      <c r="Q148" s="21"/>
      <c r="R148" s="14"/>
      <c r="S148" s="14"/>
      <c r="T148" s="14"/>
      <c r="U148" s="14"/>
      <c r="V148" s="22"/>
      <c r="W148" s="14"/>
      <c r="X148" s="14"/>
      <c r="Y148" s="14"/>
      <c r="Z148" s="14"/>
      <c r="AA148" s="22"/>
      <c r="AB148" s="14"/>
    </row>
    <row r="149" spans="1:28">
      <c r="A149" s="12">
        <v>148</v>
      </c>
      <c r="B149" s="3" t="s">
        <v>216</v>
      </c>
      <c r="C149" s="43" t="s">
        <v>217</v>
      </c>
      <c r="D149" s="51" t="s">
        <v>372</v>
      </c>
      <c r="E149" s="43" t="s">
        <v>371</v>
      </c>
      <c r="F149" s="6">
        <v>4366</v>
      </c>
      <c r="G149" s="43" t="s">
        <v>60</v>
      </c>
      <c r="H149" s="19">
        <v>3812</v>
      </c>
      <c r="I149" s="6">
        <v>333</v>
      </c>
      <c r="J149" s="6">
        <v>333</v>
      </c>
      <c r="K149" s="6">
        <v>0</v>
      </c>
      <c r="L149" s="4">
        <v>0</v>
      </c>
      <c r="M149" s="6" t="s">
        <v>19</v>
      </c>
      <c r="N149" s="20">
        <f t="shared" si="7"/>
        <v>666</v>
      </c>
      <c r="O149" s="14"/>
      <c r="P149" s="3"/>
      <c r="Q149" s="21"/>
      <c r="R149" s="14"/>
      <c r="S149" s="14"/>
      <c r="T149" s="14"/>
      <c r="U149" s="14"/>
      <c r="V149" s="22"/>
      <c r="W149" s="14"/>
      <c r="X149" s="14"/>
      <c r="Y149" s="14"/>
      <c r="Z149" s="14"/>
      <c r="AA149" s="22"/>
      <c r="AB149" s="14"/>
    </row>
    <row r="150" spans="1:28">
      <c r="A150" s="12">
        <v>149</v>
      </c>
      <c r="B150" s="3" t="s">
        <v>373</v>
      </c>
      <c r="C150" s="43" t="s">
        <v>374</v>
      </c>
      <c r="D150" s="51" t="s">
        <v>375</v>
      </c>
      <c r="E150" s="43" t="s">
        <v>376</v>
      </c>
      <c r="F150" s="6">
        <v>10762</v>
      </c>
      <c r="G150" s="43" t="s">
        <v>60</v>
      </c>
      <c r="H150" s="19">
        <v>8512</v>
      </c>
      <c r="I150" s="6">
        <v>821</v>
      </c>
      <c r="J150" s="6">
        <v>821</v>
      </c>
      <c r="K150" s="6">
        <v>0</v>
      </c>
      <c r="L150" s="4">
        <v>0</v>
      </c>
      <c r="M150" s="6" t="s">
        <v>19</v>
      </c>
      <c r="N150" s="20">
        <f t="shared" si="7"/>
        <v>1642</v>
      </c>
      <c r="O150" s="14"/>
      <c r="P150" s="3"/>
      <c r="Q150" s="21"/>
      <c r="R150" s="14"/>
      <c r="S150" s="14"/>
      <c r="T150" s="14"/>
      <c r="U150" s="14"/>
      <c r="V150" s="22"/>
      <c r="W150" s="14"/>
      <c r="X150" s="14"/>
      <c r="Y150" s="14"/>
      <c r="Z150" s="14"/>
      <c r="AA150" s="22"/>
      <c r="AB150" s="14"/>
    </row>
    <row r="151" spans="1:28">
      <c r="A151" s="12">
        <v>150</v>
      </c>
      <c r="B151" s="3" t="s">
        <v>373</v>
      </c>
      <c r="C151" s="43" t="s">
        <v>374</v>
      </c>
      <c r="D151" s="51" t="s">
        <v>377</v>
      </c>
      <c r="E151" s="43" t="s">
        <v>378</v>
      </c>
      <c r="F151" s="6">
        <v>2478</v>
      </c>
      <c r="G151" s="43" t="s">
        <v>60</v>
      </c>
      <c r="H151" s="19">
        <v>8512</v>
      </c>
      <c r="I151" s="6">
        <v>189</v>
      </c>
      <c r="J151" s="6">
        <v>189</v>
      </c>
      <c r="K151" s="6">
        <v>0</v>
      </c>
      <c r="L151" s="4">
        <v>0</v>
      </c>
      <c r="M151" s="6" t="s">
        <v>19</v>
      </c>
      <c r="N151" s="20">
        <f t="shared" si="7"/>
        <v>378</v>
      </c>
      <c r="O151" s="14"/>
      <c r="P151" s="3"/>
      <c r="Q151" s="21"/>
      <c r="R151" s="14"/>
      <c r="S151" s="14"/>
      <c r="T151" s="14"/>
      <c r="U151" s="14"/>
      <c r="V151" s="22"/>
      <c r="W151" s="14"/>
      <c r="X151" s="14"/>
      <c r="Y151" s="14"/>
      <c r="Z151" s="14"/>
      <c r="AA151" s="22"/>
      <c r="AB151" s="14"/>
    </row>
    <row r="152" spans="1:28">
      <c r="A152" s="12">
        <v>151</v>
      </c>
      <c r="B152" s="3" t="s">
        <v>379</v>
      </c>
      <c r="C152" s="43" t="s">
        <v>380</v>
      </c>
      <c r="D152" s="51" t="s">
        <v>381</v>
      </c>
      <c r="E152" s="43" t="s">
        <v>351</v>
      </c>
      <c r="F152" s="6">
        <v>5310</v>
      </c>
      <c r="G152" s="43" t="s">
        <v>18</v>
      </c>
      <c r="H152" s="19">
        <v>997331</v>
      </c>
      <c r="I152" s="6">
        <v>405</v>
      </c>
      <c r="J152" s="6">
        <v>405</v>
      </c>
      <c r="K152" s="6">
        <v>0</v>
      </c>
      <c r="L152" s="4">
        <v>0</v>
      </c>
      <c r="M152" s="6" t="s">
        <v>19</v>
      </c>
      <c r="N152" s="20">
        <f t="shared" si="7"/>
        <v>810</v>
      </c>
      <c r="O152" s="14"/>
      <c r="P152" s="3"/>
      <c r="Q152" s="21"/>
      <c r="R152" s="14"/>
      <c r="S152" s="14"/>
      <c r="T152" s="14"/>
      <c r="U152" s="14"/>
      <c r="V152" s="22"/>
      <c r="W152" s="15"/>
      <c r="X152" s="14"/>
      <c r="Y152" s="14"/>
      <c r="Z152" s="14"/>
      <c r="AA152" s="22"/>
      <c r="AB152" s="14"/>
    </row>
    <row r="153" spans="1:28">
      <c r="A153" s="12">
        <v>152</v>
      </c>
      <c r="B153" s="3" t="s">
        <v>315</v>
      </c>
      <c r="C153" s="43" t="s">
        <v>316</v>
      </c>
      <c r="D153" s="51" t="s">
        <v>382</v>
      </c>
      <c r="E153" s="43" t="s">
        <v>383</v>
      </c>
      <c r="F153" s="6">
        <v>23633</v>
      </c>
      <c r="G153" s="43" t="s">
        <v>60</v>
      </c>
      <c r="H153" s="19">
        <v>8512</v>
      </c>
      <c r="I153" s="6">
        <v>1802.52</v>
      </c>
      <c r="J153" s="6">
        <v>1802.52</v>
      </c>
      <c r="K153" s="6">
        <v>0</v>
      </c>
      <c r="L153" s="4">
        <v>0</v>
      </c>
      <c r="M153" s="6" t="s">
        <v>19</v>
      </c>
      <c r="N153" s="20">
        <f t="shared" si="7"/>
        <v>3605.04</v>
      </c>
      <c r="O153" s="14"/>
      <c r="P153" s="3"/>
      <c r="Q153" s="21"/>
      <c r="R153" s="14"/>
      <c r="S153" s="14"/>
      <c r="T153" s="14"/>
      <c r="U153" s="14"/>
      <c r="V153" s="22"/>
      <c r="W153" s="15"/>
      <c r="X153" s="14"/>
      <c r="Y153" s="14"/>
      <c r="Z153" s="14"/>
      <c r="AA153" s="22"/>
      <c r="AB153" s="14"/>
    </row>
    <row r="154" spans="1:28">
      <c r="A154" s="12">
        <v>153</v>
      </c>
      <c r="B154" s="3" t="s">
        <v>211</v>
      </c>
      <c r="C154" s="43" t="s">
        <v>212</v>
      </c>
      <c r="D154" s="51" t="s">
        <v>384</v>
      </c>
      <c r="E154" s="43" t="s">
        <v>385</v>
      </c>
      <c r="F154" s="6">
        <v>6</v>
      </c>
      <c r="G154" s="43" t="s">
        <v>18</v>
      </c>
      <c r="H154" s="19">
        <v>9971</v>
      </c>
      <c r="I154" s="6">
        <v>0.46</v>
      </c>
      <c r="J154" s="6">
        <v>0.46</v>
      </c>
      <c r="K154" s="6">
        <v>0</v>
      </c>
      <c r="L154" s="4">
        <v>0</v>
      </c>
      <c r="M154" s="6" t="s">
        <v>19</v>
      </c>
      <c r="N154" s="20">
        <f t="shared" si="7"/>
        <v>0.92</v>
      </c>
      <c r="O154" s="14"/>
      <c r="P154" s="3"/>
      <c r="Q154" s="21"/>
      <c r="R154" s="14"/>
      <c r="S154" s="14"/>
      <c r="T154" s="14"/>
      <c r="U154" s="14"/>
      <c r="V154" s="22"/>
      <c r="W154" s="14"/>
      <c r="X154" s="14"/>
      <c r="Y154" s="14"/>
      <c r="Z154" s="14"/>
      <c r="AA154" s="22"/>
      <c r="AB154" s="14"/>
    </row>
    <row r="155" spans="1:28">
      <c r="A155" s="12">
        <v>154</v>
      </c>
      <c r="B155" s="3" t="s">
        <v>386</v>
      </c>
      <c r="C155" s="43" t="s">
        <v>387</v>
      </c>
      <c r="D155" s="51" t="s">
        <v>388</v>
      </c>
      <c r="E155" s="43" t="s">
        <v>389</v>
      </c>
      <c r="F155" s="6">
        <v>7670</v>
      </c>
      <c r="G155" s="43" t="s">
        <v>60</v>
      </c>
      <c r="H155" s="19">
        <v>85124000</v>
      </c>
      <c r="I155" s="6">
        <v>585</v>
      </c>
      <c r="J155" s="6">
        <v>585</v>
      </c>
      <c r="K155" s="6">
        <v>0</v>
      </c>
      <c r="L155" s="4">
        <v>0</v>
      </c>
      <c r="M155" s="6" t="s">
        <v>19</v>
      </c>
      <c r="N155" s="20">
        <f t="shared" si="7"/>
        <v>1170</v>
      </c>
      <c r="O155" s="14"/>
      <c r="P155" s="3"/>
      <c r="Q155" s="21"/>
      <c r="R155" s="14"/>
      <c r="S155" s="14"/>
      <c r="T155" s="14"/>
      <c r="U155" s="14"/>
      <c r="V155" s="22"/>
      <c r="W155" s="14"/>
      <c r="X155" s="14"/>
      <c r="Y155" s="14"/>
      <c r="Z155" s="14"/>
      <c r="AA155" s="22"/>
      <c r="AB155" s="14"/>
    </row>
    <row r="156" spans="1:28">
      <c r="A156" s="12">
        <v>155</v>
      </c>
      <c r="B156" s="3" t="s">
        <v>261</v>
      </c>
      <c r="C156" s="43" t="s">
        <v>262</v>
      </c>
      <c r="D156" s="51" t="s">
        <v>390</v>
      </c>
      <c r="E156" s="43" t="s">
        <v>391</v>
      </c>
      <c r="F156" s="6">
        <v>9984</v>
      </c>
      <c r="G156" s="43" t="s">
        <v>60</v>
      </c>
      <c r="H156" s="19">
        <v>8708</v>
      </c>
      <c r="I156" s="6">
        <v>1092</v>
      </c>
      <c r="J156" s="6">
        <v>1092</v>
      </c>
      <c r="K156" s="6">
        <v>0</v>
      </c>
      <c r="L156" s="4">
        <v>0</v>
      </c>
      <c r="M156" s="6" t="s">
        <v>19</v>
      </c>
      <c r="N156" s="20">
        <f t="shared" si="7"/>
        <v>2184</v>
      </c>
      <c r="O156" s="14"/>
      <c r="P156" s="3"/>
      <c r="Q156" s="21"/>
      <c r="R156" s="14"/>
      <c r="S156" s="14"/>
      <c r="T156" s="14"/>
      <c r="U156" s="14"/>
      <c r="V156" s="22"/>
      <c r="W156" s="14"/>
      <c r="X156" s="14"/>
      <c r="Y156" s="14"/>
      <c r="Z156" s="14"/>
      <c r="AA156" s="22"/>
      <c r="AB156" s="14"/>
    </row>
    <row r="157" spans="1:28">
      <c r="A157" s="12">
        <v>156</v>
      </c>
      <c r="B157" s="3" t="s">
        <v>261</v>
      </c>
      <c r="C157" s="43" t="s">
        <v>262</v>
      </c>
      <c r="D157" s="51" t="s">
        <v>392</v>
      </c>
      <c r="E157" s="43" t="s">
        <v>393</v>
      </c>
      <c r="F157" s="6">
        <v>53056</v>
      </c>
      <c r="G157" s="43" t="s">
        <v>60</v>
      </c>
      <c r="H157" s="19">
        <v>8708</v>
      </c>
      <c r="I157" s="6">
        <v>5803</v>
      </c>
      <c r="J157" s="6">
        <v>5803</v>
      </c>
      <c r="K157" s="6">
        <v>0</v>
      </c>
      <c r="L157" s="4">
        <v>0</v>
      </c>
      <c r="M157" s="6" t="s">
        <v>19</v>
      </c>
      <c r="N157" s="20">
        <f t="shared" si="7"/>
        <v>11606</v>
      </c>
      <c r="O157" s="14"/>
      <c r="P157" s="3"/>
      <c r="Q157" s="21"/>
      <c r="R157" s="14"/>
      <c r="S157" s="14"/>
      <c r="T157" s="14"/>
      <c r="U157" s="14"/>
      <c r="V157" s="22"/>
      <c r="W157" s="14"/>
      <c r="X157" s="14"/>
      <c r="Y157" s="14"/>
      <c r="Z157" s="14"/>
      <c r="AA157" s="22"/>
      <c r="AB157" s="14"/>
    </row>
    <row r="158" spans="1:28">
      <c r="A158" s="12">
        <v>157</v>
      </c>
      <c r="B158" s="3" t="s">
        <v>251</v>
      </c>
      <c r="C158" s="43" t="s">
        <v>252</v>
      </c>
      <c r="D158" s="51" t="s">
        <v>394</v>
      </c>
      <c r="E158" s="43" t="s">
        <v>395</v>
      </c>
      <c r="F158" s="6">
        <v>19200</v>
      </c>
      <c r="G158" s="43" t="s">
        <v>60</v>
      </c>
      <c r="H158" s="24">
        <f>VLOOKUP(B158,[1]ANNEXURE_B!$B$8:$H$230,7,0)</f>
        <v>87089900</v>
      </c>
      <c r="I158" s="6">
        <v>0</v>
      </c>
      <c r="J158" s="6">
        <v>0</v>
      </c>
      <c r="K158" s="6">
        <v>4200</v>
      </c>
      <c r="L158" s="4">
        <v>0</v>
      </c>
      <c r="M158" s="6" t="s">
        <v>19</v>
      </c>
      <c r="N158" s="20">
        <f t="shared" si="7"/>
        <v>4200</v>
      </c>
      <c r="O158" s="14"/>
      <c r="P158" s="3"/>
      <c r="Q158" s="21"/>
      <c r="R158" s="14"/>
      <c r="S158" s="14"/>
      <c r="T158" s="14"/>
      <c r="U158" s="14"/>
      <c r="V158" s="22"/>
      <c r="W158" s="14"/>
      <c r="X158" s="14"/>
      <c r="Y158" s="14"/>
      <c r="Z158" s="14"/>
      <c r="AA158" s="22"/>
      <c r="AB158" s="14"/>
    </row>
    <row r="159" spans="1:28">
      <c r="A159" s="12">
        <v>158</v>
      </c>
      <c r="B159" s="3" t="s">
        <v>251</v>
      </c>
      <c r="C159" s="43" t="s">
        <v>252</v>
      </c>
      <c r="D159" s="51" t="s">
        <v>396</v>
      </c>
      <c r="E159" s="43" t="s">
        <v>397</v>
      </c>
      <c r="F159" s="6">
        <v>75008</v>
      </c>
      <c r="G159" s="43" t="s">
        <v>60</v>
      </c>
      <c r="H159" s="24">
        <f>VLOOKUP(B159,[1]ANNEXURE_B!$B$8:$H$230,7,0)</f>
        <v>87089900</v>
      </c>
      <c r="I159" s="6">
        <v>0</v>
      </c>
      <c r="J159" s="6">
        <v>0</v>
      </c>
      <c r="K159" s="6">
        <v>16408</v>
      </c>
      <c r="L159" s="4">
        <v>0</v>
      </c>
      <c r="M159" s="6" t="s">
        <v>19</v>
      </c>
      <c r="N159" s="20">
        <f t="shared" si="7"/>
        <v>16408</v>
      </c>
      <c r="O159" s="14"/>
      <c r="P159" s="3"/>
      <c r="Q159" s="21"/>
      <c r="R159" s="14"/>
      <c r="S159" s="14"/>
      <c r="T159" s="14"/>
      <c r="U159" s="14"/>
      <c r="V159" s="22"/>
      <c r="W159" s="14"/>
      <c r="X159" s="14"/>
      <c r="Y159" s="14"/>
      <c r="Z159" s="14"/>
      <c r="AA159" s="22"/>
      <c r="AB159" s="14"/>
    </row>
    <row r="160" spans="1:28">
      <c r="A160" s="12">
        <v>159</v>
      </c>
      <c r="B160" s="3" t="s">
        <v>224</v>
      </c>
      <c r="C160" s="43" t="s">
        <v>225</v>
      </c>
      <c r="D160" s="51" t="s">
        <v>398</v>
      </c>
      <c r="E160" s="43" t="s">
        <v>399</v>
      </c>
      <c r="F160" s="6">
        <v>24308</v>
      </c>
      <c r="G160" s="43" t="s">
        <v>60</v>
      </c>
      <c r="H160" s="24">
        <v>40030000</v>
      </c>
      <c r="I160" s="6">
        <v>1854</v>
      </c>
      <c r="J160" s="6">
        <v>1854</v>
      </c>
      <c r="K160" s="6">
        <v>0</v>
      </c>
      <c r="L160" s="4">
        <v>0</v>
      </c>
      <c r="M160" s="6" t="s">
        <v>19</v>
      </c>
      <c r="N160" s="20">
        <f t="shared" si="7"/>
        <v>3708</v>
      </c>
      <c r="O160" s="14"/>
      <c r="P160" s="3"/>
      <c r="Q160" s="21"/>
      <c r="R160" s="14"/>
      <c r="S160" s="14"/>
      <c r="T160" s="14"/>
      <c r="U160" s="14"/>
      <c r="V160" s="22"/>
      <c r="W160" s="14"/>
      <c r="X160" s="14"/>
      <c r="Y160" s="14"/>
      <c r="Z160" s="14"/>
      <c r="AA160" s="22"/>
      <c r="AB160" s="14"/>
    </row>
    <row r="161" spans="1:28">
      <c r="A161" s="12">
        <v>160</v>
      </c>
      <c r="B161" s="3" t="s">
        <v>211</v>
      </c>
      <c r="C161" s="43" t="s">
        <v>212</v>
      </c>
      <c r="D161" s="51" t="s">
        <v>400</v>
      </c>
      <c r="E161" s="43" t="s">
        <v>401</v>
      </c>
      <c r="F161" s="6">
        <v>12</v>
      </c>
      <c r="G161" s="43" t="s">
        <v>18</v>
      </c>
      <c r="H161" s="19">
        <v>9971</v>
      </c>
      <c r="I161" s="6">
        <v>0.92</v>
      </c>
      <c r="J161" s="6">
        <v>0.92</v>
      </c>
      <c r="K161" s="6">
        <v>0</v>
      </c>
      <c r="L161" s="4">
        <v>0</v>
      </c>
      <c r="M161" s="6" t="s">
        <v>19</v>
      </c>
      <c r="N161" s="20">
        <f t="shared" si="7"/>
        <v>1.84</v>
      </c>
      <c r="O161" s="14"/>
      <c r="P161" s="3"/>
      <c r="Q161" s="21"/>
      <c r="R161" s="14"/>
      <c r="S161" s="14"/>
      <c r="T161" s="14"/>
      <c r="U161" s="14"/>
      <c r="V161" s="22"/>
      <c r="W161" s="14"/>
      <c r="X161" s="14"/>
      <c r="Y161" s="14"/>
      <c r="Z161" s="14"/>
      <c r="AA161" s="22"/>
      <c r="AB161" s="14"/>
    </row>
    <row r="162" spans="1:28">
      <c r="A162" s="12">
        <v>161</v>
      </c>
      <c r="B162" s="3" t="s">
        <v>402</v>
      </c>
      <c r="C162" s="43" t="s">
        <v>403</v>
      </c>
      <c r="D162" s="51" t="s">
        <v>404</v>
      </c>
      <c r="E162" s="43" t="s">
        <v>405</v>
      </c>
      <c r="F162" s="6">
        <v>14910</v>
      </c>
      <c r="G162" s="43" t="s">
        <v>60</v>
      </c>
      <c r="H162" s="24">
        <v>85119000</v>
      </c>
      <c r="I162" s="6">
        <v>0</v>
      </c>
      <c r="J162" s="6">
        <v>0</v>
      </c>
      <c r="K162" s="6">
        <v>2274.48</v>
      </c>
      <c r="L162" s="4">
        <v>0</v>
      </c>
      <c r="M162" s="6" t="s">
        <v>19</v>
      </c>
      <c r="N162" s="20">
        <f t="shared" si="7"/>
        <v>2274.48</v>
      </c>
      <c r="O162" s="14"/>
      <c r="P162" s="3"/>
      <c r="Q162" s="21"/>
      <c r="R162" s="14"/>
      <c r="S162" s="14"/>
      <c r="T162" s="14"/>
      <c r="U162" s="14"/>
      <c r="V162" s="22"/>
      <c r="W162" s="14"/>
      <c r="X162" s="14"/>
      <c r="Y162" s="14"/>
      <c r="Z162" s="14"/>
      <c r="AA162" s="22"/>
      <c r="AB162" s="14"/>
    </row>
    <row r="163" spans="1:28">
      <c r="A163" s="12">
        <v>162</v>
      </c>
      <c r="B163" s="3" t="s">
        <v>406</v>
      </c>
      <c r="C163" s="43" t="s">
        <v>407</v>
      </c>
      <c r="D163" s="51" t="s">
        <v>408</v>
      </c>
      <c r="E163" s="43" t="s">
        <v>401</v>
      </c>
      <c r="F163" s="6">
        <v>27140</v>
      </c>
      <c r="G163" s="43" t="s">
        <v>60</v>
      </c>
      <c r="H163" s="19">
        <v>40169990</v>
      </c>
      <c r="I163" s="6">
        <v>2070</v>
      </c>
      <c r="J163" s="6">
        <v>2070</v>
      </c>
      <c r="K163" s="6">
        <v>0</v>
      </c>
      <c r="L163" s="4">
        <v>0</v>
      </c>
      <c r="M163" s="6" t="s">
        <v>19</v>
      </c>
      <c r="N163" s="20">
        <f t="shared" si="7"/>
        <v>4140</v>
      </c>
      <c r="O163" s="14"/>
      <c r="P163" s="3"/>
      <c r="Q163" s="21"/>
      <c r="R163" s="14"/>
      <c r="S163" s="14"/>
      <c r="T163" s="14"/>
      <c r="U163" s="14"/>
      <c r="V163" s="22"/>
      <c r="W163" s="14"/>
      <c r="X163" s="14"/>
      <c r="Y163" s="14"/>
      <c r="Z163" s="14"/>
      <c r="AA163" s="22"/>
      <c r="AB163" s="14"/>
    </row>
    <row r="164" spans="1:28">
      <c r="A164" s="12">
        <v>163</v>
      </c>
      <c r="B164" s="3" t="s">
        <v>265</v>
      </c>
      <c r="C164" s="43" t="s">
        <v>266</v>
      </c>
      <c r="D164" s="51" t="s">
        <v>409</v>
      </c>
      <c r="E164" s="43" t="s">
        <v>405</v>
      </c>
      <c r="F164" s="6">
        <v>11800</v>
      </c>
      <c r="G164" s="43" t="s">
        <v>60</v>
      </c>
      <c r="H164" s="19">
        <v>87089900</v>
      </c>
      <c r="I164" s="6">
        <v>900</v>
      </c>
      <c r="J164" s="6">
        <v>900</v>
      </c>
      <c r="K164" s="6">
        <v>0</v>
      </c>
      <c r="L164" s="4">
        <v>0</v>
      </c>
      <c r="M164" s="6" t="s">
        <v>19</v>
      </c>
      <c r="N164" s="20">
        <f t="shared" si="7"/>
        <v>1800</v>
      </c>
      <c r="O164" s="14"/>
      <c r="P164" s="3"/>
      <c r="Q164" s="21"/>
      <c r="R164" s="14"/>
      <c r="S164" s="14"/>
      <c r="T164" s="14"/>
      <c r="U164" s="14"/>
      <c r="V164" s="22"/>
      <c r="W164" s="14"/>
      <c r="X164" s="14"/>
      <c r="Y164" s="14"/>
      <c r="Z164" s="14"/>
      <c r="AA164" s="22"/>
      <c r="AB164" s="14"/>
    </row>
    <row r="165" spans="1:28">
      <c r="A165" s="12">
        <v>164</v>
      </c>
      <c r="B165" s="3" t="s">
        <v>311</v>
      </c>
      <c r="C165" s="43" t="s">
        <v>312</v>
      </c>
      <c r="D165" s="51" t="s">
        <v>410</v>
      </c>
      <c r="E165" s="43" t="s">
        <v>389</v>
      </c>
      <c r="F165" s="6">
        <v>32500</v>
      </c>
      <c r="G165" s="43" t="s">
        <v>60</v>
      </c>
      <c r="H165" s="19">
        <v>85122010</v>
      </c>
      <c r="I165" s="6">
        <v>2478.8200000000002</v>
      </c>
      <c r="J165" s="6">
        <v>2478.8200000000002</v>
      </c>
      <c r="K165" s="6">
        <v>0</v>
      </c>
      <c r="L165" s="4">
        <v>0</v>
      </c>
      <c r="M165" s="6" t="s">
        <v>19</v>
      </c>
      <c r="N165" s="20">
        <f t="shared" si="7"/>
        <v>4957.6400000000003</v>
      </c>
      <c r="O165" s="14"/>
      <c r="P165" s="3"/>
      <c r="Q165" s="21"/>
      <c r="R165" s="14"/>
      <c r="S165" s="14"/>
      <c r="T165" s="14"/>
      <c r="U165" s="14"/>
      <c r="V165" s="22"/>
      <c r="W165" s="14"/>
      <c r="X165" s="14"/>
      <c r="Y165" s="14"/>
      <c r="Z165" s="14"/>
      <c r="AA165" s="22"/>
      <c r="AB165" s="14"/>
    </row>
    <row r="166" spans="1:28">
      <c r="A166" s="12">
        <v>165</v>
      </c>
      <c r="B166" s="3" t="s">
        <v>411</v>
      </c>
      <c r="C166" s="43" t="s">
        <v>412</v>
      </c>
      <c r="D166" s="51" t="s">
        <v>413</v>
      </c>
      <c r="E166" s="43" t="s">
        <v>414</v>
      </c>
      <c r="F166" s="6">
        <v>17110</v>
      </c>
      <c r="G166" s="43" t="s">
        <v>60</v>
      </c>
      <c r="H166" s="24">
        <v>87083100</v>
      </c>
      <c r="I166" s="6">
        <v>1305</v>
      </c>
      <c r="J166" s="6">
        <v>1305</v>
      </c>
      <c r="K166" s="6">
        <v>0</v>
      </c>
      <c r="L166" s="4">
        <v>0</v>
      </c>
      <c r="M166" s="6" t="s">
        <v>19</v>
      </c>
      <c r="N166" s="20">
        <f t="shared" si="7"/>
        <v>2610</v>
      </c>
      <c r="O166" s="6"/>
      <c r="P166" s="3"/>
      <c r="Q166" s="3"/>
      <c r="R166" s="21"/>
      <c r="S166" s="14"/>
      <c r="T166" s="14"/>
      <c r="U166" s="14"/>
      <c r="V166" s="14"/>
      <c r="W166" s="22"/>
      <c r="X166" s="14"/>
      <c r="Y166" s="14"/>
      <c r="Z166" s="14"/>
      <c r="AA166" s="14"/>
      <c r="AB166" s="22"/>
    </row>
    <row r="167" spans="1:28">
      <c r="A167" s="12">
        <v>166</v>
      </c>
      <c r="B167" s="3" t="s">
        <v>415</v>
      </c>
      <c r="C167" s="43" t="s">
        <v>416</v>
      </c>
      <c r="D167" s="51" t="s">
        <v>417</v>
      </c>
      <c r="E167" s="43" t="s">
        <v>405</v>
      </c>
      <c r="F167" s="6">
        <v>11981</v>
      </c>
      <c r="G167" s="43" t="s">
        <v>60</v>
      </c>
      <c r="H167" s="19">
        <v>87089900</v>
      </c>
      <c r="I167" s="6">
        <v>0</v>
      </c>
      <c r="J167" s="6">
        <v>0</v>
      </c>
      <c r="K167" s="6">
        <v>2620.8000000000002</v>
      </c>
      <c r="L167" s="4">
        <v>0</v>
      </c>
      <c r="M167" s="6" t="s">
        <v>19</v>
      </c>
      <c r="N167" s="20">
        <f t="shared" si="7"/>
        <v>2620.8000000000002</v>
      </c>
      <c r="O167" s="14"/>
      <c r="P167" s="3"/>
      <c r="Q167" s="21"/>
      <c r="R167" s="14"/>
      <c r="S167" s="14"/>
      <c r="T167" s="14"/>
      <c r="U167" s="14"/>
      <c r="V167" s="22"/>
      <c r="W167" s="14"/>
      <c r="X167" s="14"/>
      <c r="Y167" s="14"/>
      <c r="Z167" s="14"/>
      <c r="AA167" s="22"/>
      <c r="AB167" s="14"/>
    </row>
    <row r="168" spans="1:28">
      <c r="A168" s="12">
        <v>167</v>
      </c>
      <c r="B168" s="3" t="s">
        <v>418</v>
      </c>
      <c r="C168" s="43" t="s">
        <v>419</v>
      </c>
      <c r="D168" s="51" t="s">
        <v>420</v>
      </c>
      <c r="E168" s="43" t="s">
        <v>389</v>
      </c>
      <c r="F168" s="6">
        <v>16048</v>
      </c>
      <c r="G168" s="43" t="s">
        <v>60</v>
      </c>
      <c r="H168" s="19">
        <v>39269049</v>
      </c>
      <c r="I168" s="6">
        <v>1224</v>
      </c>
      <c r="J168" s="6">
        <v>1224</v>
      </c>
      <c r="K168" s="6">
        <v>0</v>
      </c>
      <c r="L168" s="4">
        <v>0</v>
      </c>
      <c r="M168" s="6" t="s">
        <v>19</v>
      </c>
      <c r="N168" s="20">
        <f t="shared" si="7"/>
        <v>2448</v>
      </c>
      <c r="O168" s="14"/>
      <c r="P168" s="3"/>
      <c r="Q168" s="21"/>
      <c r="R168" s="14"/>
      <c r="S168" s="14"/>
      <c r="T168" s="14"/>
      <c r="U168" s="14"/>
      <c r="V168" s="22"/>
      <c r="W168" s="14"/>
      <c r="X168" s="14"/>
      <c r="Y168" s="14"/>
      <c r="Z168" s="14"/>
      <c r="AA168" s="22"/>
      <c r="AB168" s="14"/>
    </row>
    <row r="169" spans="1:28">
      <c r="A169" s="12">
        <v>168</v>
      </c>
      <c r="B169" s="3" t="s">
        <v>230</v>
      </c>
      <c r="C169" s="43" t="s">
        <v>231</v>
      </c>
      <c r="D169" s="51" t="s">
        <v>421</v>
      </c>
      <c r="E169" s="43" t="s">
        <v>422</v>
      </c>
      <c r="F169" s="6">
        <v>2858</v>
      </c>
      <c r="G169" s="43" t="s">
        <v>60</v>
      </c>
      <c r="H169" s="24">
        <v>87081090</v>
      </c>
      <c r="I169" s="6">
        <v>312.57</v>
      </c>
      <c r="J169" s="6">
        <v>312.57</v>
      </c>
      <c r="K169" s="6">
        <v>0</v>
      </c>
      <c r="L169" s="4">
        <v>0</v>
      </c>
      <c r="M169" s="6" t="s">
        <v>19</v>
      </c>
      <c r="N169" s="20">
        <f t="shared" si="7"/>
        <v>625.14</v>
      </c>
      <c r="O169" s="14"/>
      <c r="P169" s="3"/>
      <c r="Q169" s="21"/>
      <c r="R169" s="14"/>
      <c r="S169" s="14"/>
      <c r="T169" s="14"/>
      <c r="U169" s="14"/>
      <c r="V169" s="22"/>
      <c r="W169" s="14"/>
      <c r="X169" s="14"/>
      <c r="Y169" s="14"/>
      <c r="Z169" s="14"/>
      <c r="AA169" s="22"/>
      <c r="AB169" s="14"/>
    </row>
    <row r="170" spans="1:28">
      <c r="A170" s="12">
        <v>169</v>
      </c>
      <c r="B170" s="3" t="s">
        <v>230</v>
      </c>
      <c r="C170" s="43" t="s">
        <v>231</v>
      </c>
      <c r="D170" s="51" t="s">
        <v>423</v>
      </c>
      <c r="E170" s="43" t="s">
        <v>424</v>
      </c>
      <c r="F170" s="6">
        <v>1582</v>
      </c>
      <c r="G170" s="43" t="s">
        <v>60</v>
      </c>
      <c r="H170" s="24">
        <v>87081090</v>
      </c>
      <c r="I170" s="6">
        <v>120.66</v>
      </c>
      <c r="J170" s="6">
        <v>120.66</v>
      </c>
      <c r="K170" s="6">
        <v>0</v>
      </c>
      <c r="L170" s="4">
        <v>0</v>
      </c>
      <c r="M170" s="6" t="s">
        <v>19</v>
      </c>
      <c r="N170" s="20">
        <f t="shared" si="7"/>
        <v>241.32</v>
      </c>
      <c r="O170" s="14"/>
      <c r="P170" s="3"/>
      <c r="Q170" s="21"/>
      <c r="R170" s="14"/>
      <c r="S170" s="14"/>
      <c r="T170" s="14"/>
      <c r="U170" s="14"/>
      <c r="V170" s="22"/>
      <c r="W170" s="14"/>
      <c r="X170" s="14"/>
      <c r="Y170" s="14"/>
      <c r="Z170" s="14"/>
      <c r="AA170" s="22"/>
      <c r="AB170" s="14"/>
    </row>
    <row r="171" spans="1:28">
      <c r="A171" s="12">
        <v>170</v>
      </c>
      <c r="B171" s="3" t="s">
        <v>251</v>
      </c>
      <c r="C171" s="43" t="s">
        <v>252</v>
      </c>
      <c r="D171" s="51" t="s">
        <v>425</v>
      </c>
      <c r="E171" s="43" t="s">
        <v>17</v>
      </c>
      <c r="F171" s="6">
        <v>36941</v>
      </c>
      <c r="G171" s="43" t="s">
        <v>60</v>
      </c>
      <c r="H171" s="24">
        <f>VLOOKUP(B171,[1]ANNEXURE_B!$B$8:$H$230,7,0)</f>
        <v>87089900</v>
      </c>
      <c r="I171" s="6">
        <v>0</v>
      </c>
      <c r="J171" s="6">
        <v>0</v>
      </c>
      <c r="K171" s="6">
        <v>8080.8</v>
      </c>
      <c r="L171" s="4">
        <v>0</v>
      </c>
      <c r="M171" s="6" t="s">
        <v>19</v>
      </c>
      <c r="N171" s="20">
        <f t="shared" si="7"/>
        <v>8080.8</v>
      </c>
      <c r="O171" s="14"/>
      <c r="P171" s="3"/>
      <c r="Q171" s="21"/>
      <c r="R171" s="14"/>
      <c r="S171" s="14"/>
      <c r="T171" s="14"/>
      <c r="U171" s="14"/>
      <c r="V171" s="22"/>
      <c r="W171" s="14"/>
      <c r="X171" s="14"/>
      <c r="Y171" s="14"/>
      <c r="Z171" s="14"/>
      <c r="AA171" s="22"/>
      <c r="AB171" s="14"/>
    </row>
    <row r="172" spans="1:28">
      <c r="A172" s="12">
        <v>171</v>
      </c>
      <c r="B172" s="3" t="s">
        <v>216</v>
      </c>
      <c r="C172" s="43" t="s">
        <v>217</v>
      </c>
      <c r="D172" s="51" t="s">
        <v>426</v>
      </c>
      <c r="E172" s="43" t="s">
        <v>427</v>
      </c>
      <c r="F172" s="6">
        <v>44555.41</v>
      </c>
      <c r="G172" s="43" t="s">
        <v>60</v>
      </c>
      <c r="H172" s="19">
        <v>3812</v>
      </c>
      <c r="I172" s="6">
        <v>3651.75</v>
      </c>
      <c r="J172" s="6">
        <v>3651.75</v>
      </c>
      <c r="K172" s="6">
        <v>0</v>
      </c>
      <c r="L172" s="4">
        <v>0</v>
      </c>
      <c r="M172" s="6" t="s">
        <v>19</v>
      </c>
      <c r="N172" s="20">
        <f t="shared" si="7"/>
        <v>7303.5</v>
      </c>
      <c r="O172" s="14"/>
      <c r="P172" s="3"/>
      <c r="Q172" s="21"/>
      <c r="R172" s="14"/>
      <c r="S172" s="14"/>
      <c r="T172" s="14"/>
      <c r="U172" s="14"/>
      <c r="V172" s="22"/>
      <c r="W172" s="14"/>
      <c r="X172" s="14"/>
      <c r="Y172" s="14"/>
      <c r="Z172" s="14"/>
      <c r="AA172" s="22"/>
      <c r="AB172" s="14"/>
    </row>
    <row r="173" spans="1:28">
      <c r="A173" s="12">
        <v>172</v>
      </c>
      <c r="B173" s="3" t="s">
        <v>428</v>
      </c>
      <c r="C173" s="43" t="s">
        <v>429</v>
      </c>
      <c r="D173" s="51" t="s">
        <v>430</v>
      </c>
      <c r="E173" s="43" t="s">
        <v>414</v>
      </c>
      <c r="F173" s="6">
        <v>33280</v>
      </c>
      <c r="G173" s="43" t="s">
        <v>60</v>
      </c>
      <c r="H173" s="19">
        <v>8708</v>
      </c>
      <c r="I173" s="6">
        <v>3640</v>
      </c>
      <c r="J173" s="6">
        <v>3640</v>
      </c>
      <c r="K173" s="6">
        <v>0</v>
      </c>
      <c r="L173" s="4">
        <v>0</v>
      </c>
      <c r="M173" s="6" t="s">
        <v>19</v>
      </c>
      <c r="N173" s="20">
        <f t="shared" si="7"/>
        <v>7280</v>
      </c>
      <c r="O173" s="14"/>
      <c r="P173" s="3"/>
      <c r="Q173" s="21"/>
      <c r="R173" s="14"/>
      <c r="S173" s="14"/>
      <c r="T173" s="14"/>
      <c r="U173" s="14"/>
      <c r="V173" s="22"/>
      <c r="W173" s="14"/>
      <c r="X173" s="14"/>
      <c r="Y173" s="14"/>
      <c r="Z173" s="14"/>
      <c r="AA173" s="22"/>
      <c r="AB173" s="14"/>
    </row>
    <row r="174" spans="1:28">
      <c r="A174" s="12">
        <v>173</v>
      </c>
      <c r="B174" s="3" t="s">
        <v>211</v>
      </c>
      <c r="C174" s="43" t="s">
        <v>212</v>
      </c>
      <c r="D174" s="51" t="s">
        <v>431</v>
      </c>
      <c r="E174" s="43" t="s">
        <v>432</v>
      </c>
      <c r="F174" s="6">
        <v>17</v>
      </c>
      <c r="G174" s="43" t="s">
        <v>18</v>
      </c>
      <c r="H174" s="19">
        <v>9971</v>
      </c>
      <c r="I174" s="6">
        <v>1.3</v>
      </c>
      <c r="J174" s="6">
        <v>1.3</v>
      </c>
      <c r="K174" s="6">
        <v>0</v>
      </c>
      <c r="L174" s="4">
        <v>0</v>
      </c>
      <c r="M174" s="6" t="s">
        <v>19</v>
      </c>
      <c r="N174" s="20">
        <f t="shared" si="7"/>
        <v>2.6</v>
      </c>
      <c r="O174" s="14"/>
      <c r="P174" s="3"/>
      <c r="Q174" s="21"/>
      <c r="R174" s="14"/>
      <c r="S174" s="14"/>
      <c r="T174" s="14"/>
      <c r="U174" s="14"/>
      <c r="V174" s="22"/>
      <c r="W174" s="14"/>
      <c r="X174" s="14"/>
      <c r="Y174" s="14"/>
      <c r="Z174" s="14"/>
      <c r="AA174" s="22"/>
      <c r="AB174" s="14"/>
    </row>
    <row r="175" spans="1:28">
      <c r="A175" s="12">
        <v>174</v>
      </c>
      <c r="B175" s="3" t="s">
        <v>433</v>
      </c>
      <c r="C175" s="43" t="s">
        <v>434</v>
      </c>
      <c r="D175" s="51" t="s">
        <v>435</v>
      </c>
      <c r="E175" s="43" t="s">
        <v>397</v>
      </c>
      <c r="F175" s="6">
        <v>34576</v>
      </c>
      <c r="G175" s="43" t="s">
        <v>60</v>
      </c>
      <c r="H175" s="19">
        <v>85124000</v>
      </c>
      <c r="I175" s="6">
        <v>2637.18</v>
      </c>
      <c r="J175" s="6">
        <v>2637.18</v>
      </c>
      <c r="K175" s="6">
        <v>0</v>
      </c>
      <c r="L175" s="4">
        <v>0</v>
      </c>
      <c r="M175" s="6" t="s">
        <v>19</v>
      </c>
      <c r="N175" s="20">
        <f t="shared" si="7"/>
        <v>5274.36</v>
      </c>
      <c r="O175" s="14"/>
      <c r="P175" s="3"/>
      <c r="Q175" s="21"/>
      <c r="R175" s="14"/>
      <c r="S175" s="14"/>
      <c r="T175" s="14"/>
      <c r="U175" s="14"/>
      <c r="V175" s="22"/>
      <c r="W175" s="15"/>
      <c r="X175" s="14"/>
      <c r="Y175" s="14"/>
      <c r="Z175" s="14"/>
      <c r="AA175" s="22"/>
      <c r="AB175" s="14"/>
    </row>
    <row r="176" spans="1:28">
      <c r="A176" s="12">
        <v>175</v>
      </c>
      <c r="B176" s="3" t="s">
        <v>211</v>
      </c>
      <c r="C176" s="43" t="s">
        <v>212</v>
      </c>
      <c r="D176" s="51" t="s">
        <v>436</v>
      </c>
      <c r="E176" s="43" t="s">
        <v>30</v>
      </c>
      <c r="F176" s="6">
        <v>12</v>
      </c>
      <c r="G176" s="43" t="s">
        <v>18</v>
      </c>
      <c r="H176" s="19">
        <v>9971</v>
      </c>
      <c r="I176" s="6">
        <v>0.92</v>
      </c>
      <c r="J176" s="6">
        <v>0.92</v>
      </c>
      <c r="K176" s="6">
        <v>0</v>
      </c>
      <c r="L176" s="4">
        <v>0</v>
      </c>
      <c r="M176" s="6" t="s">
        <v>19</v>
      </c>
      <c r="N176" s="20">
        <f t="shared" si="7"/>
        <v>1.84</v>
      </c>
      <c r="O176" s="14"/>
      <c r="P176" s="3"/>
      <c r="Q176" s="21"/>
      <c r="R176" s="14"/>
      <c r="S176" s="14"/>
      <c r="T176" s="14"/>
      <c r="U176" s="14"/>
      <c r="V176" s="22"/>
      <c r="W176" s="14"/>
      <c r="X176" s="14"/>
      <c r="Y176" s="14"/>
      <c r="Z176" s="14"/>
      <c r="AA176" s="22"/>
      <c r="AB176" s="14"/>
    </row>
    <row r="177" spans="1:28">
      <c r="A177" s="12">
        <v>176</v>
      </c>
      <c r="B177" s="3" t="s">
        <v>315</v>
      </c>
      <c r="C177" s="43" t="s">
        <v>316</v>
      </c>
      <c r="D177" s="51" t="s">
        <v>437</v>
      </c>
      <c r="E177" s="43" t="s">
        <v>438</v>
      </c>
      <c r="F177" s="6">
        <v>16378</v>
      </c>
      <c r="G177" s="43" t="s">
        <v>60</v>
      </c>
      <c r="H177" s="19">
        <v>8512</v>
      </c>
      <c r="I177" s="6">
        <v>1249.2</v>
      </c>
      <c r="J177" s="6">
        <v>1249.2</v>
      </c>
      <c r="K177" s="6">
        <v>0</v>
      </c>
      <c r="L177" s="4">
        <v>0</v>
      </c>
      <c r="M177" s="6" t="s">
        <v>19</v>
      </c>
      <c r="N177" s="20">
        <f t="shared" si="7"/>
        <v>2498.4</v>
      </c>
      <c r="O177" s="14"/>
      <c r="P177" s="3"/>
      <c r="Q177" s="21"/>
      <c r="R177" s="14"/>
      <c r="S177" s="14"/>
      <c r="T177" s="14"/>
      <c r="U177" s="14"/>
      <c r="V177" s="22"/>
      <c r="W177" s="14"/>
      <c r="X177" s="14"/>
      <c r="Y177" s="14"/>
      <c r="Z177" s="14"/>
      <c r="AA177" s="22"/>
      <c r="AB177" s="14"/>
    </row>
    <row r="178" spans="1:28">
      <c r="A178" s="12">
        <v>177</v>
      </c>
      <c r="B178" s="3" t="s">
        <v>261</v>
      </c>
      <c r="C178" s="43" t="s">
        <v>262</v>
      </c>
      <c r="D178" s="51" t="s">
        <v>439</v>
      </c>
      <c r="E178" s="43" t="s">
        <v>438</v>
      </c>
      <c r="F178" s="6">
        <v>7680</v>
      </c>
      <c r="G178" s="43" t="s">
        <v>60</v>
      </c>
      <c r="H178" s="19">
        <v>8708</v>
      </c>
      <c r="I178" s="6">
        <v>840</v>
      </c>
      <c r="J178" s="6">
        <v>840</v>
      </c>
      <c r="K178" s="6">
        <v>0</v>
      </c>
      <c r="L178" s="4">
        <v>0</v>
      </c>
      <c r="M178" s="6" t="s">
        <v>19</v>
      </c>
      <c r="N178" s="20">
        <f t="shared" si="7"/>
        <v>1680</v>
      </c>
      <c r="O178" s="14"/>
      <c r="P178" s="3"/>
      <c r="Q178" s="21"/>
      <c r="R178" s="14"/>
      <c r="S178" s="14"/>
      <c r="T178" s="14"/>
      <c r="U178" s="14"/>
      <c r="V178" s="22"/>
      <c r="W178" s="14"/>
      <c r="X178" s="14"/>
      <c r="Y178" s="14"/>
      <c r="Z178" s="14"/>
      <c r="AA178" s="22"/>
      <c r="AB178" s="14"/>
    </row>
    <row r="179" spans="1:28">
      <c r="A179" s="12">
        <v>178</v>
      </c>
      <c r="B179" s="3" t="s">
        <v>230</v>
      </c>
      <c r="C179" s="43" t="s">
        <v>231</v>
      </c>
      <c r="D179" s="51" t="s">
        <v>440</v>
      </c>
      <c r="E179" s="43" t="s">
        <v>438</v>
      </c>
      <c r="F179" s="6">
        <v>700</v>
      </c>
      <c r="G179" s="43" t="s">
        <v>60</v>
      </c>
      <c r="H179" s="24">
        <v>87081090</v>
      </c>
      <c r="I179" s="6">
        <v>76.61</v>
      </c>
      <c r="J179" s="6">
        <v>76.61</v>
      </c>
      <c r="K179" s="6">
        <v>0</v>
      </c>
      <c r="L179" s="4">
        <v>0</v>
      </c>
      <c r="M179" s="6" t="s">
        <v>19</v>
      </c>
      <c r="N179" s="20">
        <f t="shared" si="7"/>
        <v>153.22</v>
      </c>
      <c r="O179" s="14"/>
      <c r="P179" s="3"/>
      <c r="Q179" s="21"/>
      <c r="R179" s="14"/>
      <c r="S179" s="14"/>
      <c r="T179" s="14"/>
      <c r="U179" s="14"/>
      <c r="V179" s="22"/>
      <c r="W179" s="14"/>
      <c r="X179" s="14"/>
      <c r="Y179" s="14"/>
      <c r="Z179" s="14"/>
      <c r="AA179" s="22"/>
      <c r="AB179" s="14"/>
    </row>
    <row r="180" spans="1:28">
      <c r="A180" s="12">
        <v>179</v>
      </c>
      <c r="B180" s="3" t="s">
        <v>230</v>
      </c>
      <c r="C180" s="43" t="s">
        <v>231</v>
      </c>
      <c r="D180" s="51" t="s">
        <v>441</v>
      </c>
      <c r="E180" s="43" t="s">
        <v>46</v>
      </c>
      <c r="F180" s="6">
        <v>3035</v>
      </c>
      <c r="G180" s="43" t="s">
        <v>60</v>
      </c>
      <c r="H180" s="24">
        <v>87081090</v>
      </c>
      <c r="I180" s="6">
        <v>331.97</v>
      </c>
      <c r="J180" s="6">
        <v>331.97</v>
      </c>
      <c r="K180" s="6">
        <v>0</v>
      </c>
      <c r="L180" s="4">
        <v>0</v>
      </c>
      <c r="M180" s="6" t="s">
        <v>19</v>
      </c>
      <c r="N180" s="20">
        <f t="shared" si="7"/>
        <v>663.94</v>
      </c>
      <c r="O180" s="14"/>
      <c r="P180" s="3"/>
      <c r="Q180" s="21"/>
      <c r="R180" s="14"/>
      <c r="S180" s="14"/>
      <c r="T180" s="14"/>
      <c r="U180" s="14"/>
      <c r="V180" s="22"/>
      <c r="W180" s="14"/>
      <c r="X180" s="14"/>
      <c r="Y180" s="14"/>
      <c r="Z180" s="14"/>
      <c r="AA180" s="22"/>
      <c r="AB180" s="14"/>
    </row>
    <row r="181" spans="1:28">
      <c r="A181" s="12">
        <v>180</v>
      </c>
      <c r="B181" s="3" t="s">
        <v>230</v>
      </c>
      <c r="C181" s="43" t="s">
        <v>231</v>
      </c>
      <c r="D181" s="51" t="s">
        <v>442</v>
      </c>
      <c r="E181" s="43" t="s">
        <v>30</v>
      </c>
      <c r="F181" s="6">
        <v>1401</v>
      </c>
      <c r="G181" s="43" t="s">
        <v>60</v>
      </c>
      <c r="H181" s="24">
        <v>87081090</v>
      </c>
      <c r="I181" s="6">
        <v>153.22</v>
      </c>
      <c r="J181" s="6">
        <v>153.22</v>
      </c>
      <c r="K181" s="6">
        <v>0</v>
      </c>
      <c r="L181" s="4">
        <v>0</v>
      </c>
      <c r="M181" s="6" t="s">
        <v>19</v>
      </c>
      <c r="N181" s="20">
        <f t="shared" si="7"/>
        <v>306.44</v>
      </c>
      <c r="O181" s="14"/>
      <c r="P181" s="3"/>
      <c r="Q181" s="21"/>
      <c r="R181" s="14"/>
      <c r="S181" s="14"/>
      <c r="T181" s="14"/>
      <c r="U181" s="14"/>
      <c r="V181" s="22"/>
      <c r="W181" s="14"/>
      <c r="X181" s="14"/>
      <c r="Y181" s="14"/>
      <c r="Z181" s="14"/>
      <c r="AA181" s="22"/>
      <c r="AB181" s="14"/>
    </row>
    <row r="182" spans="1:28">
      <c r="A182" s="12">
        <v>181</v>
      </c>
      <c r="B182" s="3" t="s">
        <v>344</v>
      </c>
      <c r="C182" s="43" t="s">
        <v>345</v>
      </c>
      <c r="D182" s="51" t="s">
        <v>443</v>
      </c>
      <c r="E182" s="43" t="s">
        <v>444</v>
      </c>
      <c r="F182" s="6">
        <v>66995.199999999997</v>
      </c>
      <c r="G182" s="43" t="s">
        <v>60</v>
      </c>
      <c r="H182" s="19">
        <v>87089900</v>
      </c>
      <c r="I182" s="6">
        <v>7327.6</v>
      </c>
      <c r="J182" s="6">
        <v>7327.6</v>
      </c>
      <c r="K182" s="6">
        <v>0</v>
      </c>
      <c r="L182" s="4">
        <v>0</v>
      </c>
      <c r="M182" s="6" t="s">
        <v>19</v>
      </c>
      <c r="N182" s="20">
        <f t="shared" si="7"/>
        <v>14655.2</v>
      </c>
      <c r="O182" s="14"/>
      <c r="P182" s="3"/>
      <c r="Q182" s="21"/>
      <c r="R182" s="14"/>
      <c r="S182" s="14"/>
      <c r="T182" s="14"/>
      <c r="U182" s="14"/>
      <c r="V182" s="22"/>
      <c r="W182" s="14"/>
      <c r="X182" s="14"/>
      <c r="Y182" s="14"/>
      <c r="Z182" s="14"/>
      <c r="AA182" s="22"/>
      <c r="AB182" s="14"/>
    </row>
    <row r="183" spans="1:28">
      <c r="A183" s="12">
        <v>182</v>
      </c>
      <c r="B183" s="3" t="s">
        <v>344</v>
      </c>
      <c r="C183" s="43" t="s">
        <v>345</v>
      </c>
      <c r="D183" s="51" t="s">
        <v>445</v>
      </c>
      <c r="E183" s="43" t="s">
        <v>46</v>
      </c>
      <c r="F183" s="6">
        <v>38208</v>
      </c>
      <c r="G183" s="43" t="s">
        <v>60</v>
      </c>
      <c r="H183" s="19">
        <v>87089900</v>
      </c>
      <c r="I183" s="6">
        <v>4179</v>
      </c>
      <c r="J183" s="6">
        <v>4179</v>
      </c>
      <c r="K183" s="6">
        <v>0</v>
      </c>
      <c r="L183" s="4">
        <v>0</v>
      </c>
      <c r="M183" s="6" t="s">
        <v>19</v>
      </c>
      <c r="N183" s="20">
        <f t="shared" si="7"/>
        <v>8358</v>
      </c>
      <c r="O183" s="14"/>
      <c r="P183" s="3"/>
      <c r="Q183" s="21"/>
      <c r="R183" s="14"/>
      <c r="S183" s="14"/>
      <c r="T183" s="14"/>
      <c r="U183" s="14"/>
      <c r="V183" s="22"/>
      <c r="W183" s="14"/>
      <c r="X183" s="14"/>
      <c r="Y183" s="14"/>
      <c r="Z183" s="14"/>
      <c r="AA183" s="22"/>
      <c r="AB183" s="14"/>
    </row>
    <row r="184" spans="1:28">
      <c r="A184" s="12">
        <v>183</v>
      </c>
      <c r="B184" s="3" t="s">
        <v>222</v>
      </c>
      <c r="C184" s="43" t="s">
        <v>223</v>
      </c>
      <c r="D184" s="51" t="s">
        <v>446</v>
      </c>
      <c r="E184" s="43" t="s">
        <v>447</v>
      </c>
      <c r="F184" s="6">
        <v>7296</v>
      </c>
      <c r="G184" s="43" t="s">
        <v>60</v>
      </c>
      <c r="H184" s="19">
        <v>8708</v>
      </c>
      <c r="I184" s="6">
        <v>798</v>
      </c>
      <c r="J184" s="6">
        <v>798</v>
      </c>
      <c r="K184" s="6">
        <v>0</v>
      </c>
      <c r="L184" s="4">
        <v>0</v>
      </c>
      <c r="M184" s="6" t="s">
        <v>19</v>
      </c>
      <c r="N184" s="20">
        <f t="shared" si="7"/>
        <v>1596</v>
      </c>
      <c r="O184" s="14"/>
      <c r="P184" s="3"/>
      <c r="Q184" s="21"/>
      <c r="R184" s="14"/>
      <c r="S184" s="14"/>
      <c r="T184" s="14"/>
      <c r="U184" s="14"/>
      <c r="V184" s="22"/>
      <c r="W184" s="14"/>
      <c r="X184" s="14"/>
      <c r="Y184" s="14"/>
      <c r="Z184" s="14"/>
      <c r="AA184" s="22"/>
      <c r="AB184" s="14"/>
    </row>
    <row r="185" spans="1:28">
      <c r="A185" s="12">
        <v>184</v>
      </c>
      <c r="B185" s="3" t="s">
        <v>245</v>
      </c>
      <c r="C185" s="43" t="s">
        <v>246</v>
      </c>
      <c r="D185" s="51" t="s">
        <v>448</v>
      </c>
      <c r="E185" s="43" t="s">
        <v>449</v>
      </c>
      <c r="F185" s="6">
        <v>66080</v>
      </c>
      <c r="G185" s="43" t="s">
        <v>60</v>
      </c>
      <c r="H185" s="24">
        <f>VLOOKUP(B185,[1]ANNEXURE_B!$B$8:$H$230,7,0)</f>
        <v>87089900</v>
      </c>
      <c r="I185" s="6">
        <v>5040</v>
      </c>
      <c r="J185" s="6">
        <v>5040</v>
      </c>
      <c r="K185" s="6">
        <v>0</v>
      </c>
      <c r="L185" s="4">
        <v>0</v>
      </c>
      <c r="M185" s="6" t="s">
        <v>19</v>
      </c>
      <c r="N185" s="20">
        <f t="shared" si="7"/>
        <v>10080</v>
      </c>
      <c r="O185" s="14"/>
      <c r="P185" s="3"/>
      <c r="Q185" s="21"/>
      <c r="R185" s="14"/>
      <c r="S185" s="14"/>
      <c r="T185" s="14"/>
      <c r="U185" s="14"/>
      <c r="V185" s="22"/>
      <c r="W185" s="14"/>
      <c r="X185" s="14"/>
      <c r="Y185" s="14"/>
      <c r="Z185" s="14"/>
      <c r="AA185" s="22"/>
      <c r="AB185" s="14"/>
    </row>
    <row r="186" spans="1:28">
      <c r="A186" s="12">
        <v>185</v>
      </c>
      <c r="B186" s="3" t="s">
        <v>245</v>
      </c>
      <c r="C186" s="43" t="s">
        <v>246</v>
      </c>
      <c r="D186" s="51" t="s">
        <v>450</v>
      </c>
      <c r="E186" s="43" t="s">
        <v>451</v>
      </c>
      <c r="F186" s="6">
        <v>28320</v>
      </c>
      <c r="G186" s="43" t="s">
        <v>60</v>
      </c>
      <c r="H186" s="24">
        <f>VLOOKUP(B186,[1]ANNEXURE_B!$B$8:$H$230,7,0)</f>
        <v>87089900</v>
      </c>
      <c r="I186" s="6">
        <v>2160</v>
      </c>
      <c r="J186" s="6">
        <v>2160</v>
      </c>
      <c r="K186" s="6">
        <v>0</v>
      </c>
      <c r="L186" s="4">
        <v>0</v>
      </c>
      <c r="M186" s="6" t="s">
        <v>19</v>
      </c>
      <c r="N186" s="20">
        <f t="shared" si="7"/>
        <v>4320</v>
      </c>
      <c r="O186" s="14"/>
      <c r="P186" s="3"/>
      <c r="Q186" s="21"/>
      <c r="R186" s="14"/>
      <c r="S186" s="14"/>
      <c r="T186" s="14"/>
      <c r="U186" s="14"/>
      <c r="V186" s="22"/>
      <c r="W186" s="14"/>
      <c r="X186" s="14"/>
      <c r="Y186" s="14"/>
      <c r="Z186" s="14"/>
      <c r="AA186" s="22"/>
      <c r="AB186" s="14"/>
    </row>
    <row r="187" spans="1:28">
      <c r="A187" s="12">
        <v>186</v>
      </c>
      <c r="B187" s="3" t="s">
        <v>428</v>
      </c>
      <c r="C187" s="43" t="s">
        <v>429</v>
      </c>
      <c r="D187" s="51" t="s">
        <v>452</v>
      </c>
      <c r="E187" s="43" t="s">
        <v>414</v>
      </c>
      <c r="F187" s="6">
        <v>-33280</v>
      </c>
      <c r="G187" s="43" t="s">
        <v>60</v>
      </c>
      <c r="H187" s="19">
        <v>8708</v>
      </c>
      <c r="I187" s="15">
        <v>-3640</v>
      </c>
      <c r="J187" s="15">
        <v>-3640</v>
      </c>
      <c r="K187" s="15">
        <v>0</v>
      </c>
      <c r="L187" s="4">
        <v>0</v>
      </c>
      <c r="M187" s="6" t="s">
        <v>19</v>
      </c>
      <c r="N187" s="20">
        <f t="shared" si="7"/>
        <v>-7280</v>
      </c>
      <c r="O187" s="14"/>
      <c r="P187" s="3"/>
      <c r="Q187" s="21"/>
      <c r="R187" s="14"/>
      <c r="S187" s="14"/>
      <c r="T187" s="14"/>
      <c r="U187" s="14"/>
      <c r="V187" s="22"/>
      <c r="W187" s="14"/>
      <c r="X187" s="14"/>
      <c r="Y187" s="14"/>
      <c r="Z187" s="14"/>
      <c r="AA187" s="22"/>
      <c r="AB187" s="14"/>
    </row>
    <row r="188" spans="1:28">
      <c r="A188" s="12">
        <v>187</v>
      </c>
      <c r="B188" s="3" t="s">
        <v>251</v>
      </c>
      <c r="C188" s="43" t="s">
        <v>252</v>
      </c>
      <c r="D188" s="51" t="s">
        <v>453</v>
      </c>
      <c r="E188" s="43" t="s">
        <v>454</v>
      </c>
      <c r="F188" s="6">
        <v>65408</v>
      </c>
      <c r="G188" s="43" t="s">
        <v>60</v>
      </c>
      <c r="H188" s="24">
        <f>VLOOKUP(B188,[1]ANNEXURE_B!$B$8:$H$230,7,0)</f>
        <v>87089900</v>
      </c>
      <c r="I188" s="6">
        <v>0</v>
      </c>
      <c r="J188" s="6">
        <v>0</v>
      </c>
      <c r="K188" s="6">
        <v>14308</v>
      </c>
      <c r="L188" s="4">
        <v>0</v>
      </c>
      <c r="M188" s="6" t="s">
        <v>19</v>
      </c>
      <c r="N188" s="20">
        <f t="shared" si="7"/>
        <v>14308</v>
      </c>
      <c r="O188" s="14"/>
      <c r="P188" s="3"/>
      <c r="Q188" s="21"/>
      <c r="R188" s="14"/>
      <c r="S188" s="14"/>
      <c r="T188" s="14"/>
      <c r="U188" s="14"/>
      <c r="V188" s="22"/>
      <c r="W188" s="14"/>
      <c r="X188" s="14"/>
      <c r="Y188" s="14"/>
      <c r="Z188" s="14"/>
      <c r="AA188" s="22"/>
      <c r="AB188" s="14"/>
    </row>
    <row r="189" spans="1:28">
      <c r="A189" s="12">
        <v>188</v>
      </c>
      <c r="B189" s="3" t="s">
        <v>245</v>
      </c>
      <c r="C189" s="43" t="s">
        <v>246</v>
      </c>
      <c r="D189" s="51" t="s">
        <v>455</v>
      </c>
      <c r="E189" s="43" t="s">
        <v>456</v>
      </c>
      <c r="F189" s="6">
        <v>18880</v>
      </c>
      <c r="G189" s="43" t="s">
        <v>60</v>
      </c>
      <c r="H189" s="24">
        <f>VLOOKUP(B189,[1]ANNEXURE_B!$B$8:$H$230,7,0)</f>
        <v>87089900</v>
      </c>
      <c r="I189" s="6">
        <v>1440</v>
      </c>
      <c r="J189" s="6">
        <v>1440</v>
      </c>
      <c r="K189" s="6">
        <v>0</v>
      </c>
      <c r="L189" s="4">
        <v>0</v>
      </c>
      <c r="M189" s="6" t="s">
        <v>19</v>
      </c>
      <c r="N189" s="20">
        <f t="shared" si="7"/>
        <v>2880</v>
      </c>
      <c r="O189" s="14"/>
      <c r="P189" s="3"/>
      <c r="Q189" s="21"/>
      <c r="R189" s="14"/>
      <c r="S189" s="14"/>
      <c r="T189" s="14"/>
      <c r="U189" s="14"/>
      <c r="V189" s="22"/>
      <c r="W189" s="14"/>
      <c r="X189" s="14"/>
      <c r="Y189" s="14"/>
      <c r="Z189" s="14"/>
      <c r="AA189" s="22"/>
      <c r="AB189" s="14"/>
    </row>
    <row r="190" spans="1:28">
      <c r="A190" s="12">
        <v>189</v>
      </c>
      <c r="B190" s="3" t="s">
        <v>211</v>
      </c>
      <c r="C190" s="43" t="s">
        <v>212</v>
      </c>
      <c r="D190" s="51" t="s">
        <v>457</v>
      </c>
      <c r="E190" s="43" t="s">
        <v>63</v>
      </c>
      <c r="F190" s="6">
        <v>12301.5</v>
      </c>
      <c r="G190" s="43" t="s">
        <v>18</v>
      </c>
      <c r="H190" s="19">
        <v>9971</v>
      </c>
      <c r="I190" s="6">
        <v>939.5</v>
      </c>
      <c r="J190" s="6">
        <v>939.5</v>
      </c>
      <c r="K190" s="6">
        <v>0</v>
      </c>
      <c r="L190" s="4">
        <v>0</v>
      </c>
      <c r="M190" s="6" t="s">
        <v>19</v>
      </c>
      <c r="N190" s="20">
        <f t="shared" si="7"/>
        <v>1879</v>
      </c>
      <c r="O190" s="14"/>
      <c r="P190" s="3"/>
      <c r="Q190" s="21"/>
      <c r="R190" s="14"/>
      <c r="S190" s="14"/>
      <c r="T190" s="14"/>
      <c r="U190" s="14"/>
      <c r="V190" s="22"/>
      <c r="W190" s="14"/>
      <c r="X190" s="14"/>
      <c r="Y190" s="14"/>
      <c r="Z190" s="14"/>
      <c r="AA190" s="22"/>
      <c r="AB190" s="14"/>
    </row>
    <row r="191" spans="1:28">
      <c r="A191" s="12">
        <v>190</v>
      </c>
      <c r="B191" s="3" t="s">
        <v>216</v>
      </c>
      <c r="C191" s="43" t="s">
        <v>217</v>
      </c>
      <c r="D191" s="51" t="s">
        <v>458</v>
      </c>
      <c r="E191" s="43" t="s">
        <v>459</v>
      </c>
      <c r="F191" s="6">
        <v>10620</v>
      </c>
      <c r="G191" s="43" t="s">
        <v>60</v>
      </c>
      <c r="H191" s="19">
        <v>3812</v>
      </c>
      <c r="I191" s="6">
        <v>810</v>
      </c>
      <c r="J191" s="6">
        <v>810</v>
      </c>
      <c r="K191" s="6">
        <v>0</v>
      </c>
      <c r="L191" s="4">
        <v>0</v>
      </c>
      <c r="M191" s="6" t="s">
        <v>19</v>
      </c>
      <c r="N191" s="20">
        <f t="shared" si="7"/>
        <v>1620</v>
      </c>
      <c r="O191" s="14"/>
      <c r="P191" s="3"/>
      <c r="Q191" s="21"/>
      <c r="R191" s="14"/>
      <c r="S191" s="14"/>
      <c r="T191" s="14"/>
      <c r="U191" s="14"/>
      <c r="V191" s="22"/>
      <c r="W191" s="14"/>
      <c r="X191" s="14"/>
      <c r="Y191" s="14"/>
      <c r="Z191" s="14"/>
      <c r="AA191" s="22"/>
      <c r="AB191" s="14"/>
    </row>
    <row r="192" spans="1:28">
      <c r="A192" s="12">
        <v>191</v>
      </c>
      <c r="B192" s="3" t="s">
        <v>460</v>
      </c>
      <c r="C192" s="43" t="s">
        <v>461</v>
      </c>
      <c r="D192" s="51" t="s">
        <v>462</v>
      </c>
      <c r="E192" s="43" t="s">
        <v>463</v>
      </c>
      <c r="F192" s="6">
        <v>38940</v>
      </c>
      <c r="G192" s="43" t="s">
        <v>60</v>
      </c>
      <c r="H192" s="19">
        <v>40169990</v>
      </c>
      <c r="I192" s="6">
        <v>2970</v>
      </c>
      <c r="J192" s="6">
        <v>2970</v>
      </c>
      <c r="K192" s="6">
        <v>0</v>
      </c>
      <c r="L192" s="4">
        <v>0</v>
      </c>
      <c r="M192" s="6" t="s">
        <v>19</v>
      </c>
      <c r="N192" s="20">
        <f t="shared" si="7"/>
        <v>5940</v>
      </c>
      <c r="O192" s="14"/>
      <c r="P192" s="3"/>
      <c r="Q192" s="21"/>
      <c r="R192" s="14"/>
      <c r="S192" s="14"/>
      <c r="T192" s="14"/>
      <c r="U192" s="14"/>
      <c r="V192" s="22"/>
      <c r="W192" s="14"/>
      <c r="X192" s="14"/>
      <c r="Y192" s="14"/>
      <c r="Z192" s="14"/>
      <c r="AA192" s="22"/>
      <c r="AB192" s="14"/>
    </row>
    <row r="193" spans="1:28">
      <c r="A193" s="12">
        <v>192</v>
      </c>
      <c r="B193" s="3" t="s">
        <v>464</v>
      </c>
      <c r="C193" s="43" t="s">
        <v>465</v>
      </c>
      <c r="D193" s="51" t="s">
        <v>466</v>
      </c>
      <c r="E193" s="43" t="s">
        <v>467</v>
      </c>
      <c r="F193" s="6">
        <v>7283</v>
      </c>
      <c r="G193" s="43" t="s">
        <v>60</v>
      </c>
      <c r="H193" s="19">
        <v>4005</v>
      </c>
      <c r="I193" s="6">
        <v>0</v>
      </c>
      <c r="J193" s="6">
        <v>0</v>
      </c>
      <c r="K193" s="6">
        <v>346.8</v>
      </c>
      <c r="L193" s="4">
        <v>0</v>
      </c>
      <c r="M193" s="6" t="s">
        <v>19</v>
      </c>
      <c r="N193" s="20">
        <f>SUM(I193:K193)</f>
        <v>346.8</v>
      </c>
      <c r="O193" s="14"/>
      <c r="P193" s="3"/>
      <c r="Q193" s="21"/>
      <c r="R193" s="14"/>
      <c r="S193" s="14"/>
      <c r="T193" s="14"/>
      <c r="U193" s="14"/>
      <c r="V193" s="22"/>
      <c r="W193" s="14"/>
      <c r="X193" s="14"/>
      <c r="Y193" s="14"/>
      <c r="Z193" s="14"/>
      <c r="AA193" s="22"/>
      <c r="AB193" s="14"/>
    </row>
    <row r="194" spans="1:28">
      <c r="A194" s="12">
        <v>193</v>
      </c>
      <c r="B194" s="3" t="s">
        <v>261</v>
      </c>
      <c r="C194" s="43" t="s">
        <v>262</v>
      </c>
      <c r="D194" s="51" t="s">
        <v>468</v>
      </c>
      <c r="E194" s="43" t="s">
        <v>459</v>
      </c>
      <c r="F194" s="6">
        <v>2950</v>
      </c>
      <c r="G194" s="43" t="s">
        <v>60</v>
      </c>
      <c r="H194" s="19">
        <v>8708</v>
      </c>
      <c r="I194" s="6">
        <v>225</v>
      </c>
      <c r="J194" s="6">
        <v>225</v>
      </c>
      <c r="K194" s="6">
        <v>0</v>
      </c>
      <c r="L194" s="4">
        <v>0</v>
      </c>
      <c r="M194" s="6" t="s">
        <v>19</v>
      </c>
      <c r="N194" s="20">
        <f t="shared" si="7"/>
        <v>450</v>
      </c>
      <c r="O194" s="14"/>
      <c r="P194" s="3"/>
      <c r="Q194" s="21"/>
      <c r="R194" s="14"/>
      <c r="S194" s="14"/>
      <c r="T194" s="14"/>
      <c r="U194" s="14"/>
      <c r="V194" s="22"/>
      <c r="W194" s="14"/>
      <c r="X194" s="14"/>
      <c r="Y194" s="14"/>
      <c r="Z194" s="14"/>
      <c r="AA194" s="22"/>
      <c r="AB194" s="14"/>
    </row>
    <row r="195" spans="1:28">
      <c r="A195" s="12">
        <v>194</v>
      </c>
      <c r="B195" s="3" t="s">
        <v>261</v>
      </c>
      <c r="C195" s="43" t="s">
        <v>262</v>
      </c>
      <c r="D195" s="51" t="s">
        <v>354</v>
      </c>
      <c r="E195" s="43" t="s">
        <v>469</v>
      </c>
      <c r="F195" s="6">
        <v>109440</v>
      </c>
      <c r="G195" s="43" t="s">
        <v>60</v>
      </c>
      <c r="H195" s="19">
        <v>8708</v>
      </c>
      <c r="I195" s="6">
        <v>11970</v>
      </c>
      <c r="J195" s="6">
        <v>11970</v>
      </c>
      <c r="K195" s="6">
        <v>0</v>
      </c>
      <c r="L195" s="4">
        <v>0</v>
      </c>
      <c r="M195" s="6" t="s">
        <v>19</v>
      </c>
      <c r="N195" s="20">
        <f t="shared" si="7"/>
        <v>23940</v>
      </c>
      <c r="O195" s="14"/>
      <c r="P195" s="3"/>
      <c r="Q195" s="21"/>
      <c r="R195" s="14"/>
      <c r="S195" s="14"/>
      <c r="T195" s="14"/>
      <c r="U195" s="14"/>
      <c r="V195" s="22"/>
      <c r="W195" s="14"/>
      <c r="X195" s="14"/>
      <c r="Y195" s="14"/>
      <c r="Z195" s="14"/>
      <c r="AA195" s="22"/>
      <c r="AB195" s="14"/>
    </row>
    <row r="196" spans="1:28">
      <c r="A196" s="12">
        <v>195</v>
      </c>
      <c r="B196" s="3" t="s">
        <v>261</v>
      </c>
      <c r="C196" s="43" t="s">
        <v>262</v>
      </c>
      <c r="D196" s="51" t="s">
        <v>470</v>
      </c>
      <c r="E196" s="43" t="s">
        <v>471</v>
      </c>
      <c r="F196" s="6">
        <v>33050</v>
      </c>
      <c r="G196" s="43" t="s">
        <v>60</v>
      </c>
      <c r="H196" s="19">
        <v>8708</v>
      </c>
      <c r="I196" s="6">
        <v>3614.8</v>
      </c>
      <c r="J196" s="6">
        <v>3614.8</v>
      </c>
      <c r="K196" s="6">
        <v>0</v>
      </c>
      <c r="L196" s="4">
        <v>0</v>
      </c>
      <c r="M196" s="6" t="s">
        <v>19</v>
      </c>
      <c r="N196" s="20">
        <f t="shared" si="7"/>
        <v>7229.6</v>
      </c>
      <c r="O196" s="14"/>
      <c r="P196" s="3"/>
      <c r="Q196" s="21"/>
      <c r="R196" s="14"/>
      <c r="S196" s="14"/>
      <c r="T196" s="14"/>
      <c r="U196" s="14"/>
      <c r="V196" s="22"/>
      <c r="W196" s="14"/>
      <c r="X196" s="14"/>
      <c r="Y196" s="14"/>
      <c r="Z196" s="14"/>
      <c r="AA196" s="22"/>
      <c r="AB196" s="14"/>
    </row>
    <row r="197" spans="1:28">
      <c r="A197" s="12">
        <v>196</v>
      </c>
      <c r="B197" s="3" t="s">
        <v>472</v>
      </c>
      <c r="C197" s="43" t="s">
        <v>473</v>
      </c>
      <c r="D197" s="51" t="s">
        <v>474</v>
      </c>
      <c r="E197" s="43" t="s">
        <v>475</v>
      </c>
      <c r="F197" s="6">
        <v>24448</v>
      </c>
      <c r="G197" s="43" t="s">
        <v>60</v>
      </c>
      <c r="H197" s="24">
        <v>87089400</v>
      </c>
      <c r="I197" s="6">
        <v>2674</v>
      </c>
      <c r="J197" s="6">
        <v>2674</v>
      </c>
      <c r="K197" s="6">
        <v>0</v>
      </c>
      <c r="L197" s="4">
        <v>0</v>
      </c>
      <c r="M197" s="6" t="s">
        <v>19</v>
      </c>
      <c r="N197" s="20">
        <f t="shared" si="7"/>
        <v>5348</v>
      </c>
      <c r="O197" s="14"/>
      <c r="P197" s="3"/>
      <c r="Q197" s="21"/>
      <c r="R197" s="14"/>
      <c r="S197" s="14"/>
      <c r="T197" s="14"/>
      <c r="U197" s="14"/>
      <c r="V197" s="22"/>
      <c r="W197" s="14"/>
      <c r="X197" s="14"/>
      <c r="Y197" s="14"/>
      <c r="Z197" s="14"/>
      <c r="AA197" s="22"/>
      <c r="AB197" s="14"/>
    </row>
    <row r="198" spans="1:28">
      <c r="A198" s="12">
        <v>197</v>
      </c>
      <c r="B198" s="3" t="s">
        <v>472</v>
      </c>
      <c r="C198" s="43" t="s">
        <v>473</v>
      </c>
      <c r="D198" s="51" t="s">
        <v>476</v>
      </c>
      <c r="E198" s="43" t="s">
        <v>477</v>
      </c>
      <c r="F198" s="6">
        <v>47360</v>
      </c>
      <c r="G198" s="43" t="s">
        <v>60</v>
      </c>
      <c r="H198" s="24">
        <v>87089400</v>
      </c>
      <c r="I198" s="6">
        <v>5180</v>
      </c>
      <c r="J198" s="6">
        <v>5180</v>
      </c>
      <c r="K198" s="6">
        <v>0</v>
      </c>
      <c r="L198" s="4">
        <v>0</v>
      </c>
      <c r="M198" s="6" t="s">
        <v>19</v>
      </c>
      <c r="N198" s="20">
        <f t="shared" si="7"/>
        <v>10360</v>
      </c>
      <c r="O198" s="14"/>
      <c r="P198" s="3"/>
      <c r="Q198" s="21"/>
      <c r="R198" s="14"/>
      <c r="S198" s="14"/>
      <c r="T198" s="14"/>
      <c r="U198" s="14"/>
      <c r="V198" s="22"/>
      <c r="W198" s="14"/>
      <c r="X198" s="14"/>
      <c r="Y198" s="14"/>
      <c r="Z198" s="14"/>
      <c r="AA198" s="22"/>
      <c r="AB198" s="14"/>
    </row>
    <row r="199" spans="1:28">
      <c r="A199" s="12">
        <v>198</v>
      </c>
      <c r="B199" s="3" t="s">
        <v>478</v>
      </c>
      <c r="C199" s="43" t="s">
        <v>479</v>
      </c>
      <c r="D199" s="51" t="s">
        <v>480</v>
      </c>
      <c r="E199" s="43" t="s">
        <v>469</v>
      </c>
      <c r="F199" s="6">
        <v>24072</v>
      </c>
      <c r="G199" s="43" t="s">
        <v>60</v>
      </c>
      <c r="H199" s="19">
        <v>40169990</v>
      </c>
      <c r="I199" s="6">
        <v>1836</v>
      </c>
      <c r="J199" s="6">
        <v>1836</v>
      </c>
      <c r="K199" s="6">
        <v>0</v>
      </c>
      <c r="L199" s="4">
        <v>0</v>
      </c>
      <c r="M199" s="6" t="s">
        <v>19</v>
      </c>
      <c r="N199" s="20">
        <f t="shared" si="7"/>
        <v>3672</v>
      </c>
      <c r="O199" s="14"/>
      <c r="P199" s="3"/>
      <c r="Q199" s="21"/>
      <c r="R199" s="14"/>
      <c r="S199" s="14"/>
      <c r="T199" s="14"/>
      <c r="U199" s="14"/>
      <c r="V199" s="22"/>
      <c r="W199" s="14"/>
      <c r="X199" s="14"/>
      <c r="Y199" s="14"/>
      <c r="Z199" s="14"/>
      <c r="AA199" s="22"/>
      <c r="AB199" s="14"/>
    </row>
    <row r="200" spans="1:28">
      <c r="A200" s="12">
        <v>199</v>
      </c>
      <c r="B200" s="3" t="s">
        <v>251</v>
      </c>
      <c r="C200" s="43" t="s">
        <v>252</v>
      </c>
      <c r="D200" s="51" t="s">
        <v>481</v>
      </c>
      <c r="E200" s="43" t="s">
        <v>477</v>
      </c>
      <c r="F200" s="6">
        <v>64512</v>
      </c>
      <c r="G200" s="43" t="s">
        <v>60</v>
      </c>
      <c r="H200" s="24">
        <f>VLOOKUP(B200,[1]ANNEXURE_B!$B$8:$H$230,7,0)</f>
        <v>87089900</v>
      </c>
      <c r="I200" s="6">
        <v>0</v>
      </c>
      <c r="J200" s="6">
        <v>0</v>
      </c>
      <c r="K200" s="6">
        <v>14112</v>
      </c>
      <c r="L200" s="4">
        <v>0</v>
      </c>
      <c r="M200" s="6" t="s">
        <v>19</v>
      </c>
      <c r="N200" s="20">
        <f t="shared" si="7"/>
        <v>14112</v>
      </c>
      <c r="O200" s="14"/>
      <c r="P200" s="3"/>
      <c r="Q200" s="21"/>
      <c r="R200" s="14"/>
      <c r="S200" s="14"/>
      <c r="T200" s="14"/>
      <c r="U200" s="14"/>
      <c r="V200" s="22"/>
      <c r="W200" s="14"/>
      <c r="X200" s="14"/>
      <c r="Y200" s="14"/>
      <c r="Z200" s="14"/>
      <c r="AA200" s="22"/>
      <c r="AB200" s="14"/>
    </row>
    <row r="201" spans="1:28">
      <c r="A201" s="12">
        <v>200</v>
      </c>
      <c r="B201" s="3" t="s">
        <v>230</v>
      </c>
      <c r="C201" s="43" t="s">
        <v>231</v>
      </c>
      <c r="D201" s="51" t="s">
        <v>482</v>
      </c>
      <c r="E201" s="43" t="s">
        <v>483</v>
      </c>
      <c r="F201" s="6">
        <v>2335</v>
      </c>
      <c r="G201" s="43" t="s">
        <v>60</v>
      </c>
      <c r="H201" s="24">
        <v>87081090</v>
      </c>
      <c r="I201" s="6">
        <v>255.36</v>
      </c>
      <c r="J201" s="6">
        <v>255.36</v>
      </c>
      <c r="K201" s="6">
        <v>0</v>
      </c>
      <c r="L201" s="4">
        <v>0</v>
      </c>
      <c r="M201" s="6" t="s">
        <v>19</v>
      </c>
      <c r="N201" s="20">
        <f t="shared" si="7"/>
        <v>510.72</v>
      </c>
      <c r="O201" s="14"/>
      <c r="P201" s="3"/>
      <c r="Q201" s="21"/>
      <c r="R201" s="14"/>
      <c r="S201" s="14"/>
      <c r="T201" s="14"/>
      <c r="U201" s="14"/>
      <c r="V201" s="22"/>
      <c r="W201" s="14"/>
      <c r="X201" s="14"/>
      <c r="Y201" s="14"/>
      <c r="Z201" s="14"/>
      <c r="AA201" s="22"/>
      <c r="AB201" s="14"/>
    </row>
    <row r="202" spans="1:28">
      <c r="A202" s="12">
        <v>201</v>
      </c>
      <c r="B202" s="3" t="s">
        <v>211</v>
      </c>
      <c r="C202" s="43" t="s">
        <v>212</v>
      </c>
      <c r="D202" s="51" t="s">
        <v>484</v>
      </c>
      <c r="E202" s="43" t="s">
        <v>59</v>
      </c>
      <c r="F202" s="6">
        <v>14185</v>
      </c>
      <c r="G202" s="43" t="s">
        <v>18</v>
      </c>
      <c r="H202" s="19">
        <v>9971</v>
      </c>
      <c r="I202" s="6">
        <v>1082.4100000000001</v>
      </c>
      <c r="J202" s="6">
        <v>1082.4100000000001</v>
      </c>
      <c r="K202" s="6">
        <v>0</v>
      </c>
      <c r="L202" s="4">
        <v>0</v>
      </c>
      <c r="M202" s="6" t="s">
        <v>19</v>
      </c>
      <c r="N202" s="20">
        <f t="shared" si="7"/>
        <v>2164.8200000000002</v>
      </c>
      <c r="O202" s="14"/>
      <c r="P202" s="3"/>
      <c r="Q202" s="21"/>
      <c r="R202" s="14"/>
      <c r="S202" s="14"/>
      <c r="T202" s="14"/>
      <c r="U202" s="14"/>
      <c r="V202" s="22"/>
      <c r="W202" s="14"/>
      <c r="X202" s="14"/>
      <c r="Y202" s="14"/>
      <c r="Z202" s="14"/>
      <c r="AA202" s="22"/>
      <c r="AB202" s="14"/>
    </row>
    <row r="203" spans="1:28">
      <c r="A203" s="12">
        <v>202</v>
      </c>
      <c r="B203" s="3" t="s">
        <v>485</v>
      </c>
      <c r="C203" s="43" t="s">
        <v>486</v>
      </c>
      <c r="D203" s="51" t="s">
        <v>487</v>
      </c>
      <c r="E203" s="43" t="s">
        <v>488</v>
      </c>
      <c r="F203" s="6">
        <v>101913</v>
      </c>
      <c r="G203" s="43" t="s">
        <v>60</v>
      </c>
      <c r="H203" s="19">
        <v>87089900</v>
      </c>
      <c r="I203" s="6">
        <v>10631.86</v>
      </c>
      <c r="J203" s="6">
        <v>10631.86</v>
      </c>
      <c r="K203" s="6">
        <v>0</v>
      </c>
      <c r="L203" s="4">
        <v>0</v>
      </c>
      <c r="M203" s="6" t="s">
        <v>19</v>
      </c>
      <c r="N203" s="20">
        <f t="shared" si="7"/>
        <v>21263.72</v>
      </c>
      <c r="O203" s="14"/>
      <c r="P203" s="3"/>
      <c r="Q203" s="21"/>
      <c r="R203" s="14"/>
      <c r="S203" s="14"/>
      <c r="T203" s="14"/>
      <c r="U203" s="14"/>
      <c r="V203" s="22"/>
      <c r="W203" s="14"/>
      <c r="X203" s="14"/>
      <c r="Y203" s="14"/>
      <c r="Z203" s="14"/>
      <c r="AA203" s="22"/>
      <c r="AB203" s="14"/>
    </row>
    <row r="204" spans="1:28">
      <c r="A204" s="12">
        <v>203</v>
      </c>
      <c r="B204" s="1" t="s">
        <v>489</v>
      </c>
      <c r="C204" s="42" t="s">
        <v>490</v>
      </c>
      <c r="D204" s="53" t="s">
        <v>491</v>
      </c>
      <c r="E204" s="42" t="s">
        <v>492</v>
      </c>
      <c r="F204" s="4">
        <v>553924</v>
      </c>
      <c r="G204" s="56" t="s">
        <v>493</v>
      </c>
      <c r="H204" s="26">
        <v>9964</v>
      </c>
      <c r="I204" s="27">
        <v>29674.5</v>
      </c>
      <c r="J204" s="27">
        <v>29674.5</v>
      </c>
      <c r="K204" s="27">
        <v>0</v>
      </c>
      <c r="L204" s="4">
        <v>0</v>
      </c>
      <c r="M204" s="14" t="s">
        <v>157</v>
      </c>
      <c r="N204" s="15" t="s">
        <v>202</v>
      </c>
    </row>
    <row r="205" spans="1:28">
      <c r="A205" s="12">
        <v>204</v>
      </c>
      <c r="B205" s="1" t="s">
        <v>494</v>
      </c>
      <c r="C205" s="42" t="s">
        <v>495</v>
      </c>
      <c r="D205" s="53" t="s">
        <v>496</v>
      </c>
      <c r="E205" s="42" t="s">
        <v>497</v>
      </c>
      <c r="F205" s="4">
        <v>4195</v>
      </c>
      <c r="G205" s="56" t="s">
        <v>498</v>
      </c>
      <c r="H205" s="12">
        <v>85176290</v>
      </c>
      <c r="I205" s="27">
        <v>0</v>
      </c>
      <c r="J205" s="27">
        <v>0</v>
      </c>
      <c r="K205" s="27">
        <v>639.91</v>
      </c>
      <c r="L205" s="4">
        <v>0</v>
      </c>
      <c r="M205" s="14" t="s">
        <v>157</v>
      </c>
      <c r="N205" s="15" t="s">
        <v>202</v>
      </c>
    </row>
    <row r="206" spans="1:28">
      <c r="A206" s="12">
        <v>205</v>
      </c>
      <c r="B206" s="1" t="s">
        <v>499</v>
      </c>
      <c r="C206" s="42" t="s">
        <v>500</v>
      </c>
      <c r="D206" s="53" t="s">
        <v>501</v>
      </c>
      <c r="E206" s="42" t="s">
        <v>201</v>
      </c>
      <c r="F206" s="4">
        <v>4571.4399999999996</v>
      </c>
      <c r="G206" s="56" t="s">
        <v>493</v>
      </c>
      <c r="H206" s="1">
        <v>9971</v>
      </c>
      <c r="I206" s="27">
        <v>0</v>
      </c>
      <c r="J206" s="27">
        <v>0</v>
      </c>
      <c r="K206" s="27">
        <v>697.34</v>
      </c>
      <c r="L206" s="4">
        <v>0</v>
      </c>
      <c r="M206" s="4" t="s">
        <v>19</v>
      </c>
      <c r="N206" s="28">
        <v>697.34</v>
      </c>
    </row>
    <row r="207" spans="1:28">
      <c r="A207" s="12">
        <v>206</v>
      </c>
      <c r="B207" s="1" t="s">
        <v>499</v>
      </c>
      <c r="C207" s="42" t="s">
        <v>500</v>
      </c>
      <c r="D207" s="53" t="s">
        <v>502</v>
      </c>
      <c r="E207" s="42" t="s">
        <v>503</v>
      </c>
      <c r="F207" s="4">
        <v>3908.28</v>
      </c>
      <c r="G207" s="56" t="s">
        <v>493</v>
      </c>
      <c r="H207" s="1">
        <v>9971</v>
      </c>
      <c r="I207" s="27">
        <v>0</v>
      </c>
      <c r="J207" s="27">
        <v>0</v>
      </c>
      <c r="K207" s="27">
        <v>596.17999999999995</v>
      </c>
      <c r="L207" s="4">
        <v>0</v>
      </c>
      <c r="M207" s="4" t="s">
        <v>19</v>
      </c>
      <c r="N207" s="28">
        <v>596.17999999999995</v>
      </c>
    </row>
    <row r="208" spans="1:28">
      <c r="A208" s="12">
        <v>207</v>
      </c>
      <c r="B208" s="1" t="s">
        <v>499</v>
      </c>
      <c r="C208" s="42" t="s">
        <v>500</v>
      </c>
      <c r="D208" s="53" t="s">
        <v>504</v>
      </c>
      <c r="E208" s="42" t="s">
        <v>206</v>
      </c>
      <c r="F208" s="4">
        <v>4597.03</v>
      </c>
      <c r="G208" s="56" t="s">
        <v>493</v>
      </c>
      <c r="H208" s="1">
        <v>9971</v>
      </c>
      <c r="I208" s="27">
        <v>0</v>
      </c>
      <c r="J208" s="27">
        <v>0</v>
      </c>
      <c r="K208" s="27">
        <v>701.24</v>
      </c>
      <c r="L208" s="4">
        <v>0</v>
      </c>
      <c r="M208" s="4" t="s">
        <v>19</v>
      </c>
      <c r="N208" s="28">
        <v>701.24</v>
      </c>
    </row>
    <row r="209" spans="1:14">
      <c r="A209" s="12">
        <v>208</v>
      </c>
      <c r="B209" s="1" t="s">
        <v>499</v>
      </c>
      <c r="C209" s="42" t="s">
        <v>500</v>
      </c>
      <c r="D209" s="53" t="s">
        <v>505</v>
      </c>
      <c r="E209" s="42" t="s">
        <v>506</v>
      </c>
      <c r="F209" s="4">
        <v>4605.76</v>
      </c>
      <c r="G209" s="56" t="s">
        <v>493</v>
      </c>
      <c r="H209" s="1">
        <v>9971</v>
      </c>
      <c r="I209" s="27">
        <v>0</v>
      </c>
      <c r="J209" s="27">
        <v>0</v>
      </c>
      <c r="K209" s="27">
        <v>702.57</v>
      </c>
      <c r="L209" s="4">
        <v>0</v>
      </c>
      <c r="M209" s="4" t="s">
        <v>19</v>
      </c>
      <c r="N209" s="28">
        <v>702.57</v>
      </c>
    </row>
    <row r="210" spans="1:14">
      <c r="A210" s="12">
        <v>209</v>
      </c>
      <c r="B210" s="1" t="s">
        <v>499</v>
      </c>
      <c r="C210" s="42" t="s">
        <v>500</v>
      </c>
      <c r="D210" s="53" t="s">
        <v>507</v>
      </c>
      <c r="E210" s="42" t="s">
        <v>508</v>
      </c>
      <c r="F210" s="4">
        <v>4596.0600000000004</v>
      </c>
      <c r="G210" s="56" t="s">
        <v>493</v>
      </c>
      <c r="H210" s="1">
        <v>9971</v>
      </c>
      <c r="I210" s="27">
        <v>0</v>
      </c>
      <c r="J210" s="27">
        <v>0</v>
      </c>
      <c r="K210" s="27">
        <v>701.09</v>
      </c>
      <c r="L210" s="4">
        <v>0</v>
      </c>
      <c r="M210" s="4" t="s">
        <v>19</v>
      </c>
      <c r="N210" s="28">
        <v>701.09</v>
      </c>
    </row>
    <row r="211" spans="1:14">
      <c r="A211" s="12">
        <v>210</v>
      </c>
      <c r="B211" s="1" t="s">
        <v>509</v>
      </c>
      <c r="C211" s="42" t="s">
        <v>510</v>
      </c>
      <c r="D211" s="53" t="s">
        <v>511</v>
      </c>
      <c r="E211" s="42" t="s">
        <v>512</v>
      </c>
      <c r="F211" s="4">
        <v>265500</v>
      </c>
      <c r="G211" s="56" t="s">
        <v>493</v>
      </c>
      <c r="H211" s="1">
        <v>998314</v>
      </c>
      <c r="I211" s="27">
        <v>0</v>
      </c>
      <c r="J211" s="27">
        <v>0</v>
      </c>
      <c r="K211" s="27">
        <v>40500</v>
      </c>
      <c r="L211" s="4">
        <v>0</v>
      </c>
      <c r="M211" s="4" t="s">
        <v>19</v>
      </c>
      <c r="N211" s="28">
        <v>40500</v>
      </c>
    </row>
    <row r="212" spans="1:14">
      <c r="A212" s="12">
        <v>211</v>
      </c>
      <c r="B212" s="1" t="s">
        <v>509</v>
      </c>
      <c r="C212" s="42" t="s">
        <v>510</v>
      </c>
      <c r="D212" s="53" t="s">
        <v>513</v>
      </c>
      <c r="E212" s="42" t="s">
        <v>514</v>
      </c>
      <c r="F212" s="4">
        <v>265500</v>
      </c>
      <c r="G212" s="56" t="s">
        <v>493</v>
      </c>
      <c r="H212" s="1">
        <v>998314</v>
      </c>
      <c r="I212" s="27">
        <v>0</v>
      </c>
      <c r="J212" s="27">
        <v>0</v>
      </c>
      <c r="K212" s="27">
        <v>40500</v>
      </c>
      <c r="L212" s="4">
        <v>0</v>
      </c>
      <c r="M212" s="4" t="s">
        <v>19</v>
      </c>
      <c r="N212" s="28">
        <v>40500</v>
      </c>
    </row>
    <row r="213" spans="1:14">
      <c r="A213" s="12">
        <v>212</v>
      </c>
      <c r="B213" s="1" t="s">
        <v>509</v>
      </c>
      <c r="C213" s="42" t="s">
        <v>510</v>
      </c>
      <c r="D213" s="53" t="s">
        <v>515</v>
      </c>
      <c r="E213" s="42" t="s">
        <v>514</v>
      </c>
      <c r="F213" s="4">
        <v>88500</v>
      </c>
      <c r="G213" s="56" t="s">
        <v>493</v>
      </c>
      <c r="H213" s="1">
        <v>998314</v>
      </c>
      <c r="I213" s="27">
        <v>0</v>
      </c>
      <c r="J213" s="27">
        <v>0</v>
      </c>
      <c r="K213" s="27">
        <v>13500</v>
      </c>
      <c r="L213" s="4">
        <v>0</v>
      </c>
      <c r="M213" s="4" t="s">
        <v>19</v>
      </c>
      <c r="N213" s="28">
        <v>13500</v>
      </c>
    </row>
    <row r="214" spans="1:14">
      <c r="A214" s="12">
        <v>213</v>
      </c>
      <c r="B214" s="1" t="s">
        <v>509</v>
      </c>
      <c r="C214" s="42" t="s">
        <v>510</v>
      </c>
      <c r="D214" s="53" t="s">
        <v>516</v>
      </c>
      <c r="E214" s="42" t="s">
        <v>517</v>
      </c>
      <c r="F214" s="4">
        <v>1416000</v>
      </c>
      <c r="G214" s="56" t="s">
        <v>493</v>
      </c>
      <c r="H214" s="1">
        <v>998314</v>
      </c>
      <c r="I214" s="27">
        <v>0</v>
      </c>
      <c r="J214" s="27">
        <v>0</v>
      </c>
      <c r="K214" s="27">
        <v>216000</v>
      </c>
      <c r="L214" s="4">
        <v>0</v>
      </c>
      <c r="M214" s="4" t="s">
        <v>19</v>
      </c>
      <c r="N214" s="28">
        <v>216000</v>
      </c>
    </row>
    <row r="215" spans="1:14">
      <c r="A215" s="12">
        <v>214</v>
      </c>
      <c r="B215" s="1" t="s">
        <v>509</v>
      </c>
      <c r="C215" s="42" t="s">
        <v>510</v>
      </c>
      <c r="D215" s="53" t="s">
        <v>518</v>
      </c>
      <c r="E215" s="42" t="s">
        <v>519</v>
      </c>
      <c r="F215" s="4">
        <v>265500</v>
      </c>
      <c r="G215" s="56" t="s">
        <v>493</v>
      </c>
      <c r="H215" s="1">
        <v>998314</v>
      </c>
      <c r="I215" s="27">
        <v>0</v>
      </c>
      <c r="J215" s="27">
        <v>0</v>
      </c>
      <c r="K215" s="27">
        <v>40500</v>
      </c>
      <c r="L215" s="4">
        <v>0</v>
      </c>
      <c r="M215" s="4" t="s">
        <v>19</v>
      </c>
      <c r="N215" s="28">
        <v>40500</v>
      </c>
    </row>
    <row r="216" spans="1:14">
      <c r="A216" s="12">
        <v>215</v>
      </c>
      <c r="B216" s="1" t="s">
        <v>520</v>
      </c>
      <c r="C216" s="42" t="s">
        <v>521</v>
      </c>
      <c r="D216" s="53" t="s">
        <v>522</v>
      </c>
      <c r="E216" s="42" t="s">
        <v>523</v>
      </c>
      <c r="F216" s="4">
        <v>5999.12</v>
      </c>
      <c r="G216" s="56" t="s">
        <v>60</v>
      </c>
      <c r="H216" s="12">
        <v>998422</v>
      </c>
      <c r="I216" s="27">
        <v>457.56</v>
      </c>
      <c r="J216" s="27">
        <v>457.56</v>
      </c>
      <c r="K216" s="27">
        <v>0</v>
      </c>
      <c r="L216" s="4">
        <v>0</v>
      </c>
      <c r="M216" s="4" t="s">
        <v>19</v>
      </c>
      <c r="N216" s="28">
        <v>915.12</v>
      </c>
    </row>
    <row r="217" spans="1:14">
      <c r="A217" s="12">
        <v>216</v>
      </c>
      <c r="B217" s="1" t="s">
        <v>524</v>
      </c>
      <c r="C217" s="42" t="s">
        <v>525</v>
      </c>
      <c r="D217" s="53" t="s">
        <v>526</v>
      </c>
      <c r="E217" s="42" t="s">
        <v>527</v>
      </c>
      <c r="F217" s="4">
        <v>700</v>
      </c>
      <c r="G217" s="56" t="s">
        <v>493</v>
      </c>
      <c r="H217" s="1">
        <v>998551</v>
      </c>
      <c r="I217" s="27">
        <v>0</v>
      </c>
      <c r="J217" s="27">
        <v>0</v>
      </c>
      <c r="K217" s="27">
        <v>106.78</v>
      </c>
      <c r="L217" s="4">
        <v>0</v>
      </c>
      <c r="M217" s="4" t="s">
        <v>19</v>
      </c>
      <c r="N217" s="28">
        <v>106.78</v>
      </c>
    </row>
    <row r="218" spans="1:14">
      <c r="A218" s="12">
        <v>217</v>
      </c>
      <c r="B218" s="1" t="s">
        <v>528</v>
      </c>
      <c r="C218" s="42" t="s">
        <v>529</v>
      </c>
      <c r="D218" s="53" t="s">
        <v>530</v>
      </c>
      <c r="E218" s="42" t="s">
        <v>210</v>
      </c>
      <c r="F218" s="4">
        <v>29.5</v>
      </c>
      <c r="G218" s="56" t="s">
        <v>493</v>
      </c>
      <c r="H218" s="1">
        <v>9971</v>
      </c>
      <c r="I218" s="27">
        <v>2.25</v>
      </c>
      <c r="J218" s="27">
        <v>2.25</v>
      </c>
      <c r="K218" s="27">
        <v>0</v>
      </c>
      <c r="L218" s="4">
        <v>0</v>
      </c>
      <c r="M218" s="4" t="s">
        <v>19</v>
      </c>
      <c r="N218" s="28">
        <v>4.5</v>
      </c>
    </row>
    <row r="219" spans="1:14">
      <c r="A219" s="12">
        <v>218</v>
      </c>
      <c r="B219" s="1" t="s">
        <v>531</v>
      </c>
      <c r="C219" s="42" t="s">
        <v>532</v>
      </c>
      <c r="D219" s="42" t="s">
        <v>533</v>
      </c>
      <c r="E219" s="42" t="s">
        <v>534</v>
      </c>
      <c r="F219" s="4">
        <v>74199.009999999995</v>
      </c>
      <c r="G219" s="56" t="s">
        <v>498</v>
      </c>
      <c r="H219" s="12">
        <v>8471</v>
      </c>
      <c r="I219" s="27">
        <v>5659.24</v>
      </c>
      <c r="J219" s="27">
        <v>5659.24</v>
      </c>
      <c r="K219" s="27">
        <v>0</v>
      </c>
      <c r="L219" s="4">
        <v>0</v>
      </c>
      <c r="M219" s="14" t="s">
        <v>157</v>
      </c>
      <c r="N219" s="15" t="s">
        <v>202</v>
      </c>
    </row>
    <row r="220" spans="1:14">
      <c r="A220" s="12">
        <v>219</v>
      </c>
      <c r="B220" s="1" t="s">
        <v>535</v>
      </c>
      <c r="C220" s="42" t="s">
        <v>536</v>
      </c>
      <c r="D220" s="42" t="s">
        <v>537</v>
      </c>
      <c r="E220" s="42" t="s">
        <v>250</v>
      </c>
      <c r="F220" s="4">
        <v>2742.03</v>
      </c>
      <c r="G220" s="56" t="s">
        <v>24</v>
      </c>
      <c r="H220" s="12">
        <v>9503</v>
      </c>
      <c r="I220" s="20">
        <v>0</v>
      </c>
      <c r="J220" s="20">
        <v>0</v>
      </c>
      <c r="K220" s="20">
        <v>130.57</v>
      </c>
      <c r="L220" s="4">
        <v>0</v>
      </c>
      <c r="M220" s="14" t="s">
        <v>157</v>
      </c>
      <c r="N220" s="15" t="s">
        <v>202</v>
      </c>
    </row>
    <row r="221" spans="1:14">
      <c r="A221" s="12">
        <v>220</v>
      </c>
      <c r="B221" s="1" t="s">
        <v>499</v>
      </c>
      <c r="C221" s="42" t="s">
        <v>500</v>
      </c>
      <c r="D221" s="42" t="s">
        <v>538</v>
      </c>
      <c r="E221" s="42" t="s">
        <v>539</v>
      </c>
      <c r="F221" s="4">
        <v>4603.33</v>
      </c>
      <c r="G221" s="56" t="s">
        <v>493</v>
      </c>
      <c r="H221" s="1">
        <v>9971</v>
      </c>
      <c r="I221" s="27">
        <v>0</v>
      </c>
      <c r="J221" s="27">
        <v>0</v>
      </c>
      <c r="K221" s="27">
        <v>702.2</v>
      </c>
      <c r="L221" s="4">
        <v>0</v>
      </c>
      <c r="M221" s="4" t="s">
        <v>19</v>
      </c>
      <c r="N221" s="28">
        <v>702.2</v>
      </c>
    </row>
    <row r="222" spans="1:14">
      <c r="A222" s="12">
        <v>221</v>
      </c>
      <c r="B222" s="1" t="s">
        <v>499</v>
      </c>
      <c r="C222" s="42" t="s">
        <v>500</v>
      </c>
      <c r="D222" s="42" t="s">
        <v>540</v>
      </c>
      <c r="E222" s="42" t="s">
        <v>541</v>
      </c>
      <c r="F222" s="4">
        <v>4612.8</v>
      </c>
      <c r="G222" s="56" t="s">
        <v>493</v>
      </c>
      <c r="H222" s="1">
        <v>9971</v>
      </c>
      <c r="I222" s="27">
        <v>0</v>
      </c>
      <c r="J222" s="27">
        <v>0</v>
      </c>
      <c r="K222" s="27">
        <v>703.65</v>
      </c>
      <c r="L222" s="4">
        <v>0</v>
      </c>
      <c r="M222" s="4" t="s">
        <v>19</v>
      </c>
      <c r="N222" s="28">
        <v>703.65</v>
      </c>
    </row>
    <row r="223" spans="1:14">
      <c r="A223" s="12">
        <v>222</v>
      </c>
      <c r="B223" s="1" t="s">
        <v>499</v>
      </c>
      <c r="C223" s="42" t="s">
        <v>500</v>
      </c>
      <c r="D223" s="42" t="s">
        <v>542</v>
      </c>
      <c r="E223" s="42" t="s">
        <v>250</v>
      </c>
      <c r="F223" s="4">
        <v>4615.1000000000004</v>
      </c>
      <c r="G223" s="56" t="s">
        <v>493</v>
      </c>
      <c r="H223" s="1">
        <v>9971</v>
      </c>
      <c r="I223" s="27">
        <v>0</v>
      </c>
      <c r="J223" s="27">
        <v>0</v>
      </c>
      <c r="K223" s="27">
        <v>704</v>
      </c>
      <c r="L223" s="4">
        <v>0</v>
      </c>
      <c r="M223" s="4" t="s">
        <v>19</v>
      </c>
      <c r="N223" s="28">
        <v>704</v>
      </c>
    </row>
    <row r="224" spans="1:14">
      <c r="A224" s="12">
        <v>223</v>
      </c>
      <c r="B224" s="1" t="s">
        <v>499</v>
      </c>
      <c r="C224" s="42" t="s">
        <v>500</v>
      </c>
      <c r="D224" s="42" t="s">
        <v>543</v>
      </c>
      <c r="E224" s="42" t="s">
        <v>239</v>
      </c>
      <c r="F224" s="4">
        <v>4597.88</v>
      </c>
      <c r="G224" s="56" t="s">
        <v>493</v>
      </c>
      <c r="H224" s="1">
        <v>9971</v>
      </c>
      <c r="I224" s="27">
        <v>0</v>
      </c>
      <c r="J224" s="27">
        <v>0</v>
      </c>
      <c r="K224" s="27">
        <v>701.37</v>
      </c>
      <c r="L224" s="4">
        <v>0</v>
      </c>
      <c r="M224" s="4" t="s">
        <v>19</v>
      </c>
      <c r="N224" s="28">
        <v>701.37</v>
      </c>
    </row>
    <row r="225" spans="1:14">
      <c r="A225" s="12">
        <v>224</v>
      </c>
      <c r="B225" s="1" t="s">
        <v>499</v>
      </c>
      <c r="C225" s="42" t="s">
        <v>500</v>
      </c>
      <c r="D225" s="42" t="s">
        <v>544</v>
      </c>
      <c r="E225" s="42" t="s">
        <v>545</v>
      </c>
      <c r="F225" s="4">
        <v>4614.25</v>
      </c>
      <c r="G225" s="56" t="s">
        <v>493</v>
      </c>
      <c r="H225" s="1">
        <v>9971</v>
      </c>
      <c r="I225" s="27">
        <v>0</v>
      </c>
      <c r="J225" s="27">
        <v>0</v>
      </c>
      <c r="K225" s="27">
        <v>703.87</v>
      </c>
      <c r="L225" s="4">
        <v>0</v>
      </c>
      <c r="M225" s="4" t="s">
        <v>19</v>
      </c>
      <c r="N225" s="28">
        <v>703.87</v>
      </c>
    </row>
    <row r="226" spans="1:14">
      <c r="A226" s="12">
        <v>225</v>
      </c>
      <c r="B226" s="1" t="s">
        <v>546</v>
      </c>
      <c r="C226" s="42" t="s">
        <v>547</v>
      </c>
      <c r="D226" s="42" t="s">
        <v>548</v>
      </c>
      <c r="E226" s="42" t="s">
        <v>549</v>
      </c>
      <c r="F226" s="4">
        <v>2609</v>
      </c>
      <c r="G226" s="56" t="s">
        <v>60</v>
      </c>
      <c r="H226" s="1">
        <v>85444299</v>
      </c>
      <c r="I226" s="20">
        <v>0</v>
      </c>
      <c r="J226" s="20">
        <v>0</v>
      </c>
      <c r="K226" s="20">
        <v>397.98</v>
      </c>
      <c r="L226" s="4">
        <v>0</v>
      </c>
      <c r="M226" s="14" t="s">
        <v>157</v>
      </c>
      <c r="N226" s="15" t="s">
        <v>202</v>
      </c>
    </row>
    <row r="227" spans="1:14">
      <c r="A227" s="12">
        <v>226</v>
      </c>
      <c r="B227" s="1" t="s">
        <v>550</v>
      </c>
      <c r="C227" s="42" t="s">
        <v>551</v>
      </c>
      <c r="D227" s="42" t="s">
        <v>552</v>
      </c>
      <c r="E227" s="42" t="s">
        <v>549</v>
      </c>
      <c r="F227" s="4">
        <v>328</v>
      </c>
      <c r="G227" s="56" t="s">
        <v>60</v>
      </c>
      <c r="H227" s="1">
        <v>8715</v>
      </c>
      <c r="I227" s="20">
        <v>0</v>
      </c>
      <c r="J227" s="20">
        <v>0</v>
      </c>
      <c r="K227" s="20">
        <v>35.14</v>
      </c>
      <c r="L227" s="4">
        <v>0</v>
      </c>
      <c r="M227" s="14" t="s">
        <v>157</v>
      </c>
      <c r="N227" s="15" t="s">
        <v>202</v>
      </c>
    </row>
    <row r="228" spans="1:14">
      <c r="A228" s="12">
        <v>227</v>
      </c>
      <c r="B228" s="1" t="s">
        <v>553</v>
      </c>
      <c r="C228" s="42" t="s">
        <v>554</v>
      </c>
      <c r="D228" s="42" t="s">
        <v>555</v>
      </c>
      <c r="E228" s="42" t="s">
        <v>250</v>
      </c>
      <c r="F228" s="4">
        <v>1770000</v>
      </c>
      <c r="G228" s="56" t="s">
        <v>493</v>
      </c>
      <c r="H228" s="12">
        <v>998313</v>
      </c>
      <c r="I228" s="27">
        <v>0</v>
      </c>
      <c r="J228" s="27">
        <v>0</v>
      </c>
      <c r="K228" s="27">
        <v>270000</v>
      </c>
      <c r="L228" s="4">
        <v>0</v>
      </c>
      <c r="M228" s="4" t="s">
        <v>19</v>
      </c>
      <c r="N228" s="28">
        <v>270000</v>
      </c>
    </row>
    <row r="229" spans="1:14">
      <c r="A229" s="12">
        <v>228</v>
      </c>
      <c r="B229" s="1" t="s">
        <v>528</v>
      </c>
      <c r="C229" s="42" t="s">
        <v>529</v>
      </c>
      <c r="D229" s="42" t="s">
        <v>556</v>
      </c>
      <c r="E229" s="42" t="s">
        <v>241</v>
      </c>
      <c r="F229" s="4">
        <v>29.5</v>
      </c>
      <c r="G229" s="56" t="s">
        <v>493</v>
      </c>
      <c r="H229" s="1">
        <v>9971</v>
      </c>
      <c r="I229" s="27">
        <v>2.25</v>
      </c>
      <c r="J229" s="27">
        <v>2.25</v>
      </c>
      <c r="K229" s="27">
        <v>0</v>
      </c>
      <c r="L229" s="4">
        <v>0</v>
      </c>
      <c r="M229" s="4" t="s">
        <v>19</v>
      </c>
      <c r="N229" s="28">
        <v>4.5</v>
      </c>
    </row>
    <row r="230" spans="1:14">
      <c r="A230" s="12">
        <v>229</v>
      </c>
      <c r="B230" s="1" t="s">
        <v>557</v>
      </c>
      <c r="C230" s="42" t="s">
        <v>558</v>
      </c>
      <c r="D230" s="42" t="s">
        <v>559</v>
      </c>
      <c r="E230" s="42" t="s">
        <v>560</v>
      </c>
      <c r="F230" s="4">
        <v>-0.2</v>
      </c>
      <c r="G230" s="56" t="s">
        <v>493</v>
      </c>
      <c r="H230" s="7" t="s">
        <v>561</v>
      </c>
      <c r="I230" s="27">
        <v>0</v>
      </c>
      <c r="J230" s="27">
        <v>0</v>
      </c>
      <c r="K230" s="27">
        <v>-0.03</v>
      </c>
      <c r="L230" s="4">
        <v>0</v>
      </c>
      <c r="M230" s="4" t="s">
        <v>19</v>
      </c>
      <c r="N230" s="28">
        <v>-0.03</v>
      </c>
    </row>
    <row r="231" spans="1:14">
      <c r="A231" s="12">
        <v>230</v>
      </c>
      <c r="B231" s="1" t="s">
        <v>557</v>
      </c>
      <c r="C231" s="42" t="s">
        <v>558</v>
      </c>
      <c r="D231" s="42" t="s">
        <v>562</v>
      </c>
      <c r="E231" s="42" t="s">
        <v>563</v>
      </c>
      <c r="F231" s="4">
        <v>-0.11</v>
      </c>
      <c r="G231" s="56" t="s">
        <v>493</v>
      </c>
      <c r="H231" s="7" t="s">
        <v>561</v>
      </c>
      <c r="I231" s="27">
        <v>0</v>
      </c>
      <c r="J231" s="27">
        <v>0</v>
      </c>
      <c r="K231" s="27">
        <v>-0.02</v>
      </c>
      <c r="L231" s="4">
        <v>0</v>
      </c>
      <c r="M231" s="4" t="s">
        <v>19</v>
      </c>
      <c r="N231" s="28">
        <v>-0.02</v>
      </c>
    </row>
    <row r="232" spans="1:14">
      <c r="A232" s="12">
        <v>231</v>
      </c>
      <c r="B232" s="1" t="s">
        <v>557</v>
      </c>
      <c r="C232" s="42" t="s">
        <v>558</v>
      </c>
      <c r="D232" s="42" t="s">
        <v>564</v>
      </c>
      <c r="E232" s="42" t="s">
        <v>563</v>
      </c>
      <c r="F232" s="4">
        <v>-0.04</v>
      </c>
      <c r="G232" s="56" t="s">
        <v>493</v>
      </c>
      <c r="H232" s="7" t="s">
        <v>561</v>
      </c>
      <c r="I232" s="27">
        <v>0</v>
      </c>
      <c r="J232" s="27">
        <v>0</v>
      </c>
      <c r="K232" s="27">
        <v>-0.01</v>
      </c>
      <c r="L232" s="4">
        <v>0</v>
      </c>
      <c r="M232" s="4" t="s">
        <v>19</v>
      </c>
      <c r="N232" s="28">
        <v>-0.01</v>
      </c>
    </row>
    <row r="233" spans="1:14">
      <c r="A233" s="12">
        <v>232</v>
      </c>
      <c r="B233" s="1" t="s">
        <v>557</v>
      </c>
      <c r="C233" s="42" t="s">
        <v>558</v>
      </c>
      <c r="D233" s="42" t="s">
        <v>565</v>
      </c>
      <c r="E233" s="42" t="s">
        <v>563</v>
      </c>
      <c r="F233" s="4">
        <v>-0.02</v>
      </c>
      <c r="G233" s="56" t="s">
        <v>493</v>
      </c>
      <c r="H233" s="7" t="s">
        <v>561</v>
      </c>
      <c r="I233" s="27">
        <v>0</v>
      </c>
      <c r="J233" s="27">
        <v>0</v>
      </c>
      <c r="K233" s="27">
        <v>0</v>
      </c>
      <c r="L233" s="4">
        <v>0</v>
      </c>
      <c r="M233" s="4" t="s">
        <v>19</v>
      </c>
      <c r="N233" s="28">
        <v>0</v>
      </c>
    </row>
    <row r="234" spans="1:14">
      <c r="A234" s="12">
        <v>233</v>
      </c>
      <c r="B234" s="1" t="s">
        <v>550</v>
      </c>
      <c r="C234" s="42" t="s">
        <v>551</v>
      </c>
      <c r="D234" s="42" t="s">
        <v>566</v>
      </c>
      <c r="E234" s="42" t="s">
        <v>567</v>
      </c>
      <c r="F234" s="4">
        <v>283</v>
      </c>
      <c r="G234" s="56" t="s">
        <v>568</v>
      </c>
      <c r="H234" s="12">
        <v>8715</v>
      </c>
      <c r="I234" s="4">
        <v>0</v>
      </c>
      <c r="J234" s="4">
        <v>0</v>
      </c>
      <c r="K234" s="4">
        <v>43.17</v>
      </c>
      <c r="L234" s="4">
        <v>0</v>
      </c>
      <c r="M234" s="14" t="s">
        <v>157</v>
      </c>
      <c r="N234" s="15" t="s">
        <v>202</v>
      </c>
    </row>
    <row r="235" spans="1:14">
      <c r="A235" s="12">
        <v>234</v>
      </c>
      <c r="B235" s="1" t="s">
        <v>499</v>
      </c>
      <c r="C235" s="42" t="s">
        <v>500</v>
      </c>
      <c r="D235" s="42" t="s">
        <v>569</v>
      </c>
      <c r="E235" s="42" t="s">
        <v>272</v>
      </c>
      <c r="F235" s="4">
        <v>4610.6099999999997</v>
      </c>
      <c r="G235" s="56" t="s">
        <v>570</v>
      </c>
      <c r="H235" s="12">
        <v>9971</v>
      </c>
      <c r="I235" s="4">
        <v>0</v>
      </c>
      <c r="J235" s="4">
        <v>0</v>
      </c>
      <c r="K235" s="4">
        <v>703.31</v>
      </c>
      <c r="L235" s="4">
        <v>0</v>
      </c>
      <c r="M235" s="4" t="s">
        <v>571</v>
      </c>
      <c r="N235" s="4">
        <f t="shared" ref="N235:N240" si="8">I235+J235+K235+L235</f>
        <v>703.31</v>
      </c>
    </row>
    <row r="236" spans="1:14">
      <c r="A236" s="12">
        <v>235</v>
      </c>
      <c r="B236" s="1" t="s">
        <v>499</v>
      </c>
      <c r="C236" s="42" t="s">
        <v>500</v>
      </c>
      <c r="D236" s="42" t="s">
        <v>572</v>
      </c>
      <c r="E236" s="42" t="s">
        <v>263</v>
      </c>
      <c r="F236" s="4">
        <v>4618.8599999999997</v>
      </c>
      <c r="G236" s="56" t="s">
        <v>570</v>
      </c>
      <c r="H236" s="12">
        <v>9971</v>
      </c>
      <c r="I236" s="4">
        <v>0</v>
      </c>
      <c r="J236" s="4">
        <v>0</v>
      </c>
      <c r="K236" s="4">
        <v>704.57</v>
      </c>
      <c r="L236" s="4">
        <v>0</v>
      </c>
      <c r="M236" s="4" t="s">
        <v>571</v>
      </c>
      <c r="N236" s="4">
        <f t="shared" si="8"/>
        <v>704.57</v>
      </c>
    </row>
    <row r="237" spans="1:14">
      <c r="A237" s="12">
        <v>236</v>
      </c>
      <c r="B237" s="1" t="s">
        <v>499</v>
      </c>
      <c r="C237" s="42" t="s">
        <v>500</v>
      </c>
      <c r="D237" s="42" t="s">
        <v>573</v>
      </c>
      <c r="E237" s="42" t="s">
        <v>574</v>
      </c>
      <c r="F237" s="4">
        <v>4620.5600000000004</v>
      </c>
      <c r="G237" s="56" t="s">
        <v>570</v>
      </c>
      <c r="H237" s="12">
        <v>9971</v>
      </c>
      <c r="I237" s="4">
        <v>0</v>
      </c>
      <c r="J237" s="4">
        <v>0</v>
      </c>
      <c r="K237" s="4">
        <v>704.83</v>
      </c>
      <c r="L237" s="4">
        <v>0</v>
      </c>
      <c r="M237" s="4" t="s">
        <v>571</v>
      </c>
      <c r="N237" s="4">
        <f t="shared" si="8"/>
        <v>704.83</v>
      </c>
    </row>
    <row r="238" spans="1:14">
      <c r="A238" s="12">
        <v>237</v>
      </c>
      <c r="B238" s="1" t="s">
        <v>499</v>
      </c>
      <c r="C238" s="42" t="s">
        <v>500</v>
      </c>
      <c r="D238" s="42" t="s">
        <v>575</v>
      </c>
      <c r="E238" s="42" t="s">
        <v>301</v>
      </c>
      <c r="F238" s="4">
        <v>4615.1000000000004</v>
      </c>
      <c r="G238" s="56" t="s">
        <v>570</v>
      </c>
      <c r="H238" s="12">
        <v>9971</v>
      </c>
      <c r="I238" s="4">
        <v>0</v>
      </c>
      <c r="J238" s="4">
        <v>0</v>
      </c>
      <c r="K238" s="4">
        <v>704</v>
      </c>
      <c r="L238" s="4">
        <v>0</v>
      </c>
      <c r="M238" s="4" t="s">
        <v>571</v>
      </c>
      <c r="N238" s="4">
        <f t="shared" si="8"/>
        <v>704</v>
      </c>
    </row>
    <row r="239" spans="1:14">
      <c r="A239" s="12">
        <v>238</v>
      </c>
      <c r="B239" s="1" t="s">
        <v>576</v>
      </c>
      <c r="C239" s="42" t="s">
        <v>577</v>
      </c>
      <c r="D239" s="42" t="s">
        <v>578</v>
      </c>
      <c r="E239" s="42" t="s">
        <v>286</v>
      </c>
      <c r="F239" s="4">
        <v>4050</v>
      </c>
      <c r="G239" s="56" t="s">
        <v>570</v>
      </c>
      <c r="H239" s="12">
        <v>440362</v>
      </c>
      <c r="I239" s="4">
        <v>87</v>
      </c>
      <c r="J239" s="4">
        <v>87</v>
      </c>
      <c r="K239" s="4">
        <v>0</v>
      </c>
      <c r="L239" s="4">
        <v>0</v>
      </c>
      <c r="M239" s="4" t="s">
        <v>571</v>
      </c>
      <c r="N239" s="4">
        <f t="shared" si="8"/>
        <v>174</v>
      </c>
    </row>
    <row r="240" spans="1:14">
      <c r="A240" s="12">
        <v>239</v>
      </c>
      <c r="B240" s="1" t="s">
        <v>579</v>
      </c>
      <c r="C240" s="42" t="s">
        <v>532</v>
      </c>
      <c r="D240" s="42" t="s">
        <v>580</v>
      </c>
      <c r="E240" s="42" t="s">
        <v>581</v>
      </c>
      <c r="F240" s="4">
        <v>5833</v>
      </c>
      <c r="G240" s="56" t="s">
        <v>568</v>
      </c>
      <c r="H240" s="12">
        <v>8517</v>
      </c>
      <c r="I240" s="4">
        <v>0</v>
      </c>
      <c r="J240" s="4">
        <v>0</v>
      </c>
      <c r="K240" s="4">
        <v>889.77</v>
      </c>
      <c r="L240" s="4">
        <v>0</v>
      </c>
      <c r="M240" s="4" t="s">
        <v>571</v>
      </c>
      <c r="N240" s="4">
        <f t="shared" si="8"/>
        <v>889.77</v>
      </c>
    </row>
    <row r="241" spans="1:14">
      <c r="A241" s="12">
        <v>240</v>
      </c>
      <c r="B241" s="1" t="s">
        <v>576</v>
      </c>
      <c r="C241" s="42" t="s">
        <v>577</v>
      </c>
      <c r="D241" s="42" t="s">
        <v>582</v>
      </c>
      <c r="E241" s="42" t="s">
        <v>286</v>
      </c>
      <c r="F241" s="4">
        <v>1754</v>
      </c>
      <c r="G241" s="56" t="s">
        <v>570</v>
      </c>
      <c r="H241" s="12">
        <v>440362</v>
      </c>
      <c r="I241" s="4">
        <v>42</v>
      </c>
      <c r="J241" s="4">
        <v>42</v>
      </c>
      <c r="K241" s="4">
        <v>0</v>
      </c>
      <c r="L241" s="4">
        <v>0</v>
      </c>
      <c r="M241" s="4" t="s">
        <v>571</v>
      </c>
      <c r="N241" s="4">
        <f>I241+J241+K241+L241</f>
        <v>84</v>
      </c>
    </row>
    <row r="242" spans="1:14">
      <c r="A242" s="12">
        <v>241</v>
      </c>
      <c r="B242" s="1" t="s">
        <v>583</v>
      </c>
      <c r="C242" s="42" t="s">
        <v>551</v>
      </c>
      <c r="D242" s="42" t="s">
        <v>584</v>
      </c>
      <c r="E242" s="42" t="s">
        <v>585</v>
      </c>
      <c r="F242" s="4">
        <v>249</v>
      </c>
      <c r="G242" s="56" t="s">
        <v>568</v>
      </c>
      <c r="H242" s="12">
        <v>8715</v>
      </c>
      <c r="I242" s="4">
        <v>0</v>
      </c>
      <c r="J242" s="4">
        <v>0</v>
      </c>
      <c r="K242" s="4">
        <v>26.68</v>
      </c>
      <c r="L242" s="4">
        <v>0</v>
      </c>
      <c r="M242" s="14" t="s">
        <v>157</v>
      </c>
      <c r="N242" s="15" t="s">
        <v>202</v>
      </c>
    </row>
    <row r="243" spans="1:14">
      <c r="A243" s="12">
        <v>242</v>
      </c>
      <c r="B243" s="1" t="s">
        <v>586</v>
      </c>
      <c r="C243" s="42" t="s">
        <v>587</v>
      </c>
      <c r="D243" s="42" t="s">
        <v>588</v>
      </c>
      <c r="E243" s="42" t="s">
        <v>589</v>
      </c>
      <c r="F243" s="4">
        <v>3087</v>
      </c>
      <c r="G243" s="56" t="s">
        <v>570</v>
      </c>
      <c r="H243" s="12">
        <v>440362</v>
      </c>
      <c r="I243" s="4">
        <v>0</v>
      </c>
      <c r="J243" s="4">
        <v>0</v>
      </c>
      <c r="K243" s="4">
        <v>147</v>
      </c>
      <c r="L243" s="4">
        <v>0</v>
      </c>
      <c r="M243" s="4" t="s">
        <v>571</v>
      </c>
      <c r="N243" s="4">
        <f t="shared" ref="N243:N260" si="9">I243+J243+K243+L243</f>
        <v>147</v>
      </c>
    </row>
    <row r="244" spans="1:14">
      <c r="A244" s="12">
        <v>243</v>
      </c>
      <c r="B244" s="1" t="s">
        <v>234</v>
      </c>
      <c r="C244" s="42" t="s">
        <v>590</v>
      </c>
      <c r="D244" s="42" t="s">
        <v>591</v>
      </c>
      <c r="E244" s="42" t="s">
        <v>264</v>
      </c>
      <c r="F244" s="4">
        <v>200</v>
      </c>
      <c r="G244" s="56" t="s">
        <v>570</v>
      </c>
      <c r="H244" s="12">
        <v>996793</v>
      </c>
      <c r="I244" s="4">
        <v>0</v>
      </c>
      <c r="J244" s="4">
        <v>0</v>
      </c>
      <c r="K244" s="4">
        <v>10</v>
      </c>
      <c r="L244" s="4">
        <v>0</v>
      </c>
      <c r="M244" s="14" t="s">
        <v>157</v>
      </c>
      <c r="N244" s="15" t="s">
        <v>202</v>
      </c>
    </row>
    <row r="245" spans="1:14">
      <c r="A245" s="12">
        <v>244</v>
      </c>
      <c r="B245" s="1" t="s">
        <v>592</v>
      </c>
      <c r="C245" s="42" t="s">
        <v>593</v>
      </c>
      <c r="D245" s="42" t="s">
        <v>594</v>
      </c>
      <c r="E245" s="42" t="s">
        <v>581</v>
      </c>
      <c r="F245" s="4">
        <v>599</v>
      </c>
      <c r="G245" s="56" t="s">
        <v>568</v>
      </c>
      <c r="H245" s="12">
        <v>4202</v>
      </c>
      <c r="I245" s="4">
        <v>0</v>
      </c>
      <c r="J245" s="4">
        <v>0</v>
      </c>
      <c r="K245" s="4">
        <v>91.37</v>
      </c>
      <c r="L245" s="4">
        <v>0</v>
      </c>
      <c r="M245" s="14" t="s">
        <v>157</v>
      </c>
      <c r="N245" s="15" t="s">
        <v>202</v>
      </c>
    </row>
    <row r="246" spans="1:14">
      <c r="A246" s="12">
        <v>245</v>
      </c>
      <c r="B246" s="1" t="s">
        <v>528</v>
      </c>
      <c r="C246" s="42" t="s">
        <v>529</v>
      </c>
      <c r="D246" s="42" t="s">
        <v>595</v>
      </c>
      <c r="E246" s="42" t="s">
        <v>596</v>
      </c>
      <c r="F246" s="4">
        <v>17.7</v>
      </c>
      <c r="G246" s="56" t="s">
        <v>570</v>
      </c>
      <c r="H246" s="12">
        <v>9971</v>
      </c>
      <c r="I246" s="4">
        <v>1.35</v>
      </c>
      <c r="J246" s="4">
        <v>1.35</v>
      </c>
      <c r="K246" s="4">
        <v>0</v>
      </c>
      <c r="L246" s="4">
        <v>0</v>
      </c>
      <c r="M246" s="4" t="s">
        <v>571</v>
      </c>
      <c r="N246" s="4">
        <f t="shared" si="9"/>
        <v>2.7</v>
      </c>
    </row>
    <row r="247" spans="1:14">
      <c r="A247" s="12">
        <v>246</v>
      </c>
      <c r="B247" s="1" t="s">
        <v>509</v>
      </c>
      <c r="C247" s="42" t="s">
        <v>510</v>
      </c>
      <c r="D247" s="42" t="s">
        <v>597</v>
      </c>
      <c r="E247" s="42" t="s">
        <v>227</v>
      </c>
      <c r="F247" s="4">
        <v>265500</v>
      </c>
      <c r="G247" s="56" t="s">
        <v>570</v>
      </c>
      <c r="H247" s="12">
        <v>998314</v>
      </c>
      <c r="I247" s="4">
        <v>0</v>
      </c>
      <c r="J247" s="4">
        <v>0</v>
      </c>
      <c r="K247" s="4">
        <v>40500</v>
      </c>
      <c r="L247" s="4">
        <v>0</v>
      </c>
      <c r="M247" s="4" t="s">
        <v>571</v>
      </c>
      <c r="N247" s="4">
        <f t="shared" si="9"/>
        <v>40500</v>
      </c>
    </row>
    <row r="248" spans="1:14">
      <c r="A248" s="12">
        <v>247</v>
      </c>
      <c r="B248" s="1" t="s">
        <v>509</v>
      </c>
      <c r="C248" s="42" t="s">
        <v>510</v>
      </c>
      <c r="D248" s="42" t="s">
        <v>598</v>
      </c>
      <c r="E248" s="42" t="s">
        <v>227</v>
      </c>
      <c r="F248" s="4">
        <v>47200</v>
      </c>
      <c r="G248" s="56" t="s">
        <v>570</v>
      </c>
      <c r="H248" s="12">
        <v>998314</v>
      </c>
      <c r="I248" s="4">
        <v>0</v>
      </c>
      <c r="J248" s="4">
        <v>0</v>
      </c>
      <c r="K248" s="4">
        <v>7200</v>
      </c>
      <c r="L248" s="4">
        <v>0</v>
      </c>
      <c r="M248" s="4" t="s">
        <v>571</v>
      </c>
      <c r="N248" s="4">
        <f t="shared" si="9"/>
        <v>7200</v>
      </c>
    </row>
    <row r="249" spans="1:14">
      <c r="A249" s="12">
        <v>248</v>
      </c>
      <c r="B249" s="1" t="s">
        <v>509</v>
      </c>
      <c r="C249" s="42" t="s">
        <v>510</v>
      </c>
      <c r="D249" s="42" t="s">
        <v>599</v>
      </c>
      <c r="E249" s="42" t="s">
        <v>503</v>
      </c>
      <c r="F249" s="4">
        <v>41300</v>
      </c>
      <c r="G249" s="56" t="s">
        <v>570</v>
      </c>
      <c r="H249" s="12">
        <v>998314</v>
      </c>
      <c r="I249" s="4">
        <v>0</v>
      </c>
      <c r="J249" s="4">
        <v>0</v>
      </c>
      <c r="K249" s="4">
        <v>6300</v>
      </c>
      <c r="L249" s="4">
        <v>0</v>
      </c>
      <c r="M249" s="4" t="s">
        <v>571</v>
      </c>
      <c r="N249" s="4">
        <f t="shared" si="9"/>
        <v>6300</v>
      </c>
    </row>
    <row r="250" spans="1:14">
      <c r="A250" s="12">
        <v>249</v>
      </c>
      <c r="B250" s="1" t="s">
        <v>509</v>
      </c>
      <c r="C250" s="42" t="s">
        <v>510</v>
      </c>
      <c r="D250" s="42" t="s">
        <v>600</v>
      </c>
      <c r="E250" s="42" t="s">
        <v>601</v>
      </c>
      <c r="F250" s="4">
        <v>354000</v>
      </c>
      <c r="G250" s="56" t="s">
        <v>570</v>
      </c>
      <c r="H250" s="12">
        <v>998314</v>
      </c>
      <c r="I250" s="4">
        <v>0</v>
      </c>
      <c r="J250" s="4">
        <v>0</v>
      </c>
      <c r="K250" s="4">
        <v>54000</v>
      </c>
      <c r="L250" s="4">
        <v>0</v>
      </c>
      <c r="M250" s="4" t="s">
        <v>571</v>
      </c>
      <c r="N250" s="4">
        <f t="shared" si="9"/>
        <v>54000</v>
      </c>
    </row>
    <row r="251" spans="1:14">
      <c r="A251" s="12">
        <v>250</v>
      </c>
      <c r="B251" s="1" t="s">
        <v>509</v>
      </c>
      <c r="C251" s="42" t="s">
        <v>510</v>
      </c>
      <c r="D251" s="42" t="s">
        <v>602</v>
      </c>
      <c r="E251" s="42" t="s">
        <v>601</v>
      </c>
      <c r="F251" s="4">
        <v>47200</v>
      </c>
      <c r="G251" s="56" t="s">
        <v>570</v>
      </c>
      <c r="H251" s="12">
        <v>998314</v>
      </c>
      <c r="I251" s="4">
        <v>0</v>
      </c>
      <c r="J251" s="4">
        <v>0</v>
      </c>
      <c r="K251" s="4">
        <v>7200</v>
      </c>
      <c r="L251" s="4">
        <v>0</v>
      </c>
      <c r="M251" s="4" t="s">
        <v>571</v>
      </c>
      <c r="N251" s="4">
        <f t="shared" si="9"/>
        <v>7200</v>
      </c>
    </row>
    <row r="252" spans="1:14">
      <c r="A252" s="12">
        <v>251</v>
      </c>
      <c r="B252" s="1" t="s">
        <v>509</v>
      </c>
      <c r="C252" s="42" t="s">
        <v>510</v>
      </c>
      <c r="D252" s="42" t="s">
        <v>603</v>
      </c>
      <c r="E252" s="42" t="s">
        <v>604</v>
      </c>
      <c r="F252" s="4">
        <v>59000</v>
      </c>
      <c r="G252" s="56" t="s">
        <v>570</v>
      </c>
      <c r="H252" s="12">
        <v>998314</v>
      </c>
      <c r="I252" s="4">
        <v>0</v>
      </c>
      <c r="J252" s="4">
        <v>0</v>
      </c>
      <c r="K252" s="4">
        <v>9000</v>
      </c>
      <c r="L252" s="4">
        <v>0</v>
      </c>
      <c r="M252" s="4" t="s">
        <v>571</v>
      </c>
      <c r="N252" s="4">
        <f t="shared" si="9"/>
        <v>9000</v>
      </c>
    </row>
    <row r="253" spans="1:14">
      <c r="A253" s="12">
        <v>252</v>
      </c>
      <c r="B253" s="1" t="s">
        <v>509</v>
      </c>
      <c r="C253" s="42" t="s">
        <v>510</v>
      </c>
      <c r="D253" s="42" t="s">
        <v>605</v>
      </c>
      <c r="E253" s="42" t="s">
        <v>281</v>
      </c>
      <c r="F253" s="4">
        <v>401200</v>
      </c>
      <c r="G253" s="56" t="s">
        <v>570</v>
      </c>
      <c r="H253" s="12">
        <v>998314</v>
      </c>
      <c r="I253" s="4">
        <v>0</v>
      </c>
      <c r="J253" s="4">
        <v>0</v>
      </c>
      <c r="K253" s="4">
        <v>61200</v>
      </c>
      <c r="L253" s="4">
        <v>0</v>
      </c>
      <c r="M253" s="4" t="s">
        <v>571</v>
      </c>
      <c r="N253" s="4">
        <f t="shared" si="9"/>
        <v>61200</v>
      </c>
    </row>
    <row r="254" spans="1:14">
      <c r="A254" s="12">
        <v>253</v>
      </c>
      <c r="B254" s="1" t="s">
        <v>606</v>
      </c>
      <c r="C254" s="42" t="s">
        <v>607</v>
      </c>
      <c r="D254" s="42" t="s">
        <v>608</v>
      </c>
      <c r="E254" s="42" t="s">
        <v>609</v>
      </c>
      <c r="F254" s="4">
        <v>5499</v>
      </c>
      <c r="G254" s="56" t="s">
        <v>568</v>
      </c>
      <c r="H254" s="12">
        <v>996211</v>
      </c>
      <c r="I254" s="4">
        <v>0</v>
      </c>
      <c r="J254" s="4">
        <v>0</v>
      </c>
      <c r="K254" s="4">
        <v>838.83</v>
      </c>
      <c r="L254" s="4">
        <v>0</v>
      </c>
      <c r="M254" s="4" t="s">
        <v>571</v>
      </c>
      <c r="N254" s="4">
        <f t="shared" si="9"/>
        <v>838.83</v>
      </c>
    </row>
    <row r="255" spans="1:14">
      <c r="A255" s="12">
        <v>254</v>
      </c>
      <c r="B255" s="1" t="s">
        <v>499</v>
      </c>
      <c r="C255" s="42" t="s">
        <v>500</v>
      </c>
      <c r="D255" s="42" t="s">
        <v>610</v>
      </c>
      <c r="E255" s="42" t="s">
        <v>611</v>
      </c>
      <c r="F255" s="4">
        <v>3464.88</v>
      </c>
      <c r="G255" s="56" t="s">
        <v>570</v>
      </c>
      <c r="H255" s="12">
        <v>9971</v>
      </c>
      <c r="I255" s="4">
        <v>0</v>
      </c>
      <c r="J255" s="4">
        <v>0</v>
      </c>
      <c r="K255" s="4">
        <v>528.54</v>
      </c>
      <c r="L255" s="4">
        <v>0</v>
      </c>
      <c r="M255" s="4" t="s">
        <v>571</v>
      </c>
      <c r="N255" s="4">
        <f t="shared" si="9"/>
        <v>528.54</v>
      </c>
    </row>
    <row r="256" spans="1:14">
      <c r="A256" s="12">
        <v>255</v>
      </c>
      <c r="B256" s="1" t="s">
        <v>499</v>
      </c>
      <c r="C256" s="42" t="s">
        <v>500</v>
      </c>
      <c r="D256" s="42" t="s">
        <v>612</v>
      </c>
      <c r="E256" s="42" t="s">
        <v>297</v>
      </c>
      <c r="F256" s="4">
        <v>4614.38</v>
      </c>
      <c r="G256" s="56" t="s">
        <v>570</v>
      </c>
      <c r="H256" s="12">
        <v>9971</v>
      </c>
      <c r="I256" s="4">
        <v>0</v>
      </c>
      <c r="J256" s="4">
        <v>0</v>
      </c>
      <c r="K256" s="4">
        <v>703.89</v>
      </c>
      <c r="L256" s="4">
        <v>0</v>
      </c>
      <c r="M256" s="4" t="s">
        <v>571</v>
      </c>
      <c r="N256" s="4">
        <f t="shared" si="9"/>
        <v>703.89</v>
      </c>
    </row>
    <row r="257" spans="1:14">
      <c r="A257" s="12">
        <v>256</v>
      </c>
      <c r="B257" s="1" t="s">
        <v>499</v>
      </c>
      <c r="C257" s="42" t="s">
        <v>500</v>
      </c>
      <c r="D257" s="42" t="s">
        <v>613</v>
      </c>
      <c r="E257" s="42" t="s">
        <v>614</v>
      </c>
      <c r="F257" s="4">
        <v>4610.7299999999996</v>
      </c>
      <c r="G257" s="56" t="s">
        <v>570</v>
      </c>
      <c r="H257" s="12">
        <v>9971</v>
      </c>
      <c r="I257" s="4">
        <v>0</v>
      </c>
      <c r="J257" s="4">
        <v>0</v>
      </c>
      <c r="K257" s="4">
        <v>703.33</v>
      </c>
      <c r="L257" s="4">
        <v>0</v>
      </c>
      <c r="M257" s="4" t="s">
        <v>571</v>
      </c>
      <c r="N257" s="4">
        <f t="shared" si="9"/>
        <v>703.33</v>
      </c>
    </row>
    <row r="258" spans="1:14">
      <c r="A258" s="12">
        <v>257</v>
      </c>
      <c r="B258" s="1" t="s">
        <v>499</v>
      </c>
      <c r="C258" s="42" t="s">
        <v>500</v>
      </c>
      <c r="D258" s="42" t="s">
        <v>615</v>
      </c>
      <c r="E258" s="42" t="s">
        <v>616</v>
      </c>
      <c r="F258" s="4">
        <v>4616.68</v>
      </c>
      <c r="G258" s="56" t="s">
        <v>570</v>
      </c>
      <c r="H258" s="12">
        <v>9971</v>
      </c>
      <c r="I258" s="4">
        <v>0</v>
      </c>
      <c r="J258" s="4">
        <v>0</v>
      </c>
      <c r="K258" s="4">
        <v>704.24</v>
      </c>
      <c r="L258" s="4">
        <v>0</v>
      </c>
      <c r="M258" s="4" t="s">
        <v>571</v>
      </c>
      <c r="N258" s="4">
        <f t="shared" si="9"/>
        <v>704.24</v>
      </c>
    </row>
    <row r="259" spans="1:14">
      <c r="A259" s="12">
        <v>258</v>
      </c>
      <c r="B259" s="1" t="s">
        <v>499</v>
      </c>
      <c r="C259" s="42" t="s">
        <v>500</v>
      </c>
      <c r="D259" s="42" t="s">
        <v>617</v>
      </c>
      <c r="E259" s="42" t="s">
        <v>618</v>
      </c>
      <c r="F259" s="4">
        <v>4621.41</v>
      </c>
      <c r="G259" s="56" t="s">
        <v>570</v>
      </c>
      <c r="H259" s="12">
        <v>9971</v>
      </c>
      <c r="I259" s="4">
        <v>0</v>
      </c>
      <c r="J259" s="4">
        <v>0</v>
      </c>
      <c r="K259" s="4">
        <v>704.96</v>
      </c>
      <c r="L259" s="4">
        <v>0</v>
      </c>
      <c r="M259" s="4" t="s">
        <v>571</v>
      </c>
      <c r="N259" s="4">
        <f t="shared" si="9"/>
        <v>704.96</v>
      </c>
    </row>
    <row r="260" spans="1:14">
      <c r="A260" s="12">
        <v>259</v>
      </c>
      <c r="B260" s="1" t="s">
        <v>499</v>
      </c>
      <c r="C260" s="42" t="s">
        <v>500</v>
      </c>
      <c r="D260" s="42" t="s">
        <v>619</v>
      </c>
      <c r="E260" s="42" t="s">
        <v>291</v>
      </c>
      <c r="F260" s="4">
        <v>4622.26</v>
      </c>
      <c r="G260" s="56" t="s">
        <v>570</v>
      </c>
      <c r="H260" s="12">
        <v>9971</v>
      </c>
      <c r="I260" s="4">
        <v>0</v>
      </c>
      <c r="J260" s="4">
        <v>0</v>
      </c>
      <c r="K260" s="4">
        <v>705.09</v>
      </c>
      <c r="L260" s="4">
        <v>0</v>
      </c>
      <c r="M260" s="4" t="s">
        <v>571</v>
      </c>
      <c r="N260" s="4">
        <f t="shared" si="9"/>
        <v>705.09</v>
      </c>
    </row>
    <row r="261" spans="1:14">
      <c r="A261" s="12">
        <v>260</v>
      </c>
      <c r="B261" s="1" t="s">
        <v>620</v>
      </c>
      <c r="C261" s="42" t="s">
        <v>551</v>
      </c>
      <c r="D261" s="42" t="s">
        <v>621</v>
      </c>
      <c r="E261" s="42" t="s">
        <v>622</v>
      </c>
      <c r="F261" s="4">
        <v>210</v>
      </c>
      <c r="G261" s="56" t="s">
        <v>568</v>
      </c>
      <c r="H261" s="12">
        <v>8715</v>
      </c>
      <c r="I261" s="4">
        <v>0</v>
      </c>
      <c r="J261" s="4">
        <v>0</v>
      </c>
      <c r="K261" s="4">
        <v>10</v>
      </c>
      <c r="L261" s="4">
        <v>0</v>
      </c>
      <c r="M261" s="14" t="s">
        <v>157</v>
      </c>
      <c r="N261" s="15" t="s">
        <v>202</v>
      </c>
    </row>
    <row r="262" spans="1:14">
      <c r="A262" s="12">
        <v>261</v>
      </c>
      <c r="B262" s="1" t="s">
        <v>528</v>
      </c>
      <c r="C262" s="42" t="s">
        <v>529</v>
      </c>
      <c r="D262" s="42" t="s">
        <v>623</v>
      </c>
      <c r="E262" s="42" t="s">
        <v>624</v>
      </c>
      <c r="F262" s="4">
        <v>29.5</v>
      </c>
      <c r="G262" s="56" t="s">
        <v>570</v>
      </c>
      <c r="H262" s="12">
        <v>9971</v>
      </c>
      <c r="I262" s="4">
        <v>2.25</v>
      </c>
      <c r="J262" s="4">
        <v>2.25</v>
      </c>
      <c r="K262" s="4">
        <v>0</v>
      </c>
      <c r="L262" s="4">
        <v>0</v>
      </c>
      <c r="M262" s="4" t="s">
        <v>571</v>
      </c>
      <c r="N262" s="4">
        <f>I262+J262+K262+L262</f>
        <v>4.5</v>
      </c>
    </row>
    <row r="263" spans="1:14">
      <c r="A263" s="12">
        <v>262</v>
      </c>
      <c r="B263" s="1" t="s">
        <v>528</v>
      </c>
      <c r="C263" s="42" t="s">
        <v>529</v>
      </c>
      <c r="D263" s="42" t="s">
        <v>625</v>
      </c>
      <c r="E263" s="42" t="s">
        <v>626</v>
      </c>
      <c r="F263" s="4">
        <v>29.5</v>
      </c>
      <c r="G263" s="56" t="s">
        <v>570</v>
      </c>
      <c r="H263" s="12">
        <v>9971</v>
      </c>
      <c r="I263" s="4">
        <v>2.25</v>
      </c>
      <c r="J263" s="4">
        <v>2.25</v>
      </c>
      <c r="K263" s="4">
        <v>0</v>
      </c>
      <c r="L263" s="4">
        <v>0</v>
      </c>
      <c r="M263" s="4" t="s">
        <v>571</v>
      </c>
      <c r="N263" s="4">
        <f>I263+J263+K263+L263</f>
        <v>4.5</v>
      </c>
    </row>
    <row r="264" spans="1:14">
      <c r="A264" s="12">
        <v>263</v>
      </c>
      <c r="B264" s="1" t="s">
        <v>627</v>
      </c>
      <c r="C264" s="42" t="s">
        <v>551</v>
      </c>
      <c r="D264" s="42" t="s">
        <v>628</v>
      </c>
      <c r="E264" s="42" t="s">
        <v>614</v>
      </c>
      <c r="F264" s="4">
        <v>498</v>
      </c>
      <c r="G264" s="56" t="s">
        <v>568</v>
      </c>
      <c r="H264" s="12">
        <v>8715</v>
      </c>
      <c r="I264" s="4">
        <v>0</v>
      </c>
      <c r="J264" s="4">
        <v>0</v>
      </c>
      <c r="K264" s="4">
        <v>53.36</v>
      </c>
      <c r="L264" s="4">
        <v>0</v>
      </c>
      <c r="M264" s="14" t="s">
        <v>157</v>
      </c>
      <c r="N264" s="15" t="s">
        <v>202</v>
      </c>
    </row>
    <row r="265" spans="1:14">
      <c r="A265" s="12">
        <v>264</v>
      </c>
      <c r="B265" s="1" t="s">
        <v>629</v>
      </c>
      <c r="C265" s="42" t="s">
        <v>630</v>
      </c>
      <c r="D265" s="42" t="s">
        <v>631</v>
      </c>
      <c r="E265" s="42" t="s">
        <v>604</v>
      </c>
      <c r="F265" s="4">
        <v>1174273</v>
      </c>
      <c r="G265" s="47" t="s">
        <v>632</v>
      </c>
      <c r="H265" s="12">
        <v>995414</v>
      </c>
      <c r="I265" s="4">
        <v>0</v>
      </c>
      <c r="J265" s="4">
        <v>0</v>
      </c>
      <c r="K265" s="4">
        <v>125815.08</v>
      </c>
      <c r="L265" s="4">
        <v>0</v>
      </c>
      <c r="M265" s="14" t="s">
        <v>157</v>
      </c>
      <c r="N265" s="15" t="s">
        <v>202</v>
      </c>
    </row>
    <row r="266" spans="1:14">
      <c r="A266" s="12">
        <v>265</v>
      </c>
      <c r="B266" s="1" t="s">
        <v>629</v>
      </c>
      <c r="C266" s="42" t="s">
        <v>630</v>
      </c>
      <c r="D266" s="42" t="s">
        <v>633</v>
      </c>
      <c r="E266" s="42" t="s">
        <v>634</v>
      </c>
      <c r="F266" s="4">
        <v>1174273</v>
      </c>
      <c r="G266" s="47" t="s">
        <v>632</v>
      </c>
      <c r="H266" s="12">
        <v>995414</v>
      </c>
      <c r="I266" s="4">
        <v>0</v>
      </c>
      <c r="J266" s="4">
        <v>0</v>
      </c>
      <c r="K266" s="4">
        <v>125815.08</v>
      </c>
      <c r="L266" s="4">
        <v>0</v>
      </c>
      <c r="M266" s="14" t="s">
        <v>157</v>
      </c>
      <c r="N266" s="15" t="s">
        <v>202</v>
      </c>
    </row>
    <row r="267" spans="1:14">
      <c r="A267" s="12">
        <v>266</v>
      </c>
      <c r="B267" s="1" t="s">
        <v>635</v>
      </c>
      <c r="C267" s="42" t="s">
        <v>636</v>
      </c>
      <c r="D267" s="42" t="s">
        <v>637</v>
      </c>
      <c r="E267" s="42" t="s">
        <v>638</v>
      </c>
      <c r="F267" s="4">
        <v>331521</v>
      </c>
      <c r="G267" s="56" t="s">
        <v>570</v>
      </c>
      <c r="H267" s="12">
        <v>996425</v>
      </c>
      <c r="I267" s="4">
        <v>17760.080000000002</v>
      </c>
      <c r="J267" s="4">
        <v>17760.080000000002</v>
      </c>
      <c r="K267" s="4">
        <v>0</v>
      </c>
      <c r="L267" s="4">
        <v>0</v>
      </c>
      <c r="M267" s="4" t="s">
        <v>571</v>
      </c>
      <c r="N267" s="4">
        <f t="shared" ref="N267:N296" si="10">I267+J267+K267+L267</f>
        <v>35520.160000000003</v>
      </c>
    </row>
    <row r="268" spans="1:14">
      <c r="A268" s="12">
        <v>267</v>
      </c>
      <c r="B268" s="1" t="s">
        <v>639</v>
      </c>
      <c r="C268" s="42" t="s">
        <v>640</v>
      </c>
      <c r="D268" s="42" t="s">
        <v>641</v>
      </c>
      <c r="E268" s="42" t="s">
        <v>378</v>
      </c>
      <c r="F268" s="4">
        <v>26496.9</v>
      </c>
      <c r="G268" s="56" t="s">
        <v>570</v>
      </c>
      <c r="H268" s="29" t="s">
        <v>642</v>
      </c>
      <c r="I268" s="4">
        <v>0</v>
      </c>
      <c r="J268" s="4">
        <v>0</v>
      </c>
      <c r="K268" s="4">
        <v>4041.9</v>
      </c>
      <c r="L268" s="4">
        <v>0</v>
      </c>
      <c r="M268" s="14" t="s">
        <v>157</v>
      </c>
      <c r="N268" s="15" t="s">
        <v>202</v>
      </c>
    </row>
    <row r="269" spans="1:14">
      <c r="A269" s="12">
        <v>268</v>
      </c>
      <c r="B269" s="1" t="s">
        <v>528</v>
      </c>
      <c r="C269" s="42" t="s">
        <v>529</v>
      </c>
      <c r="D269" s="42" t="s">
        <v>643</v>
      </c>
      <c r="E269" s="42" t="s">
        <v>644</v>
      </c>
      <c r="F269" s="4">
        <v>29.5</v>
      </c>
      <c r="G269" s="56" t="s">
        <v>570</v>
      </c>
      <c r="H269" s="12">
        <v>9971</v>
      </c>
      <c r="I269" s="4">
        <v>2.25</v>
      </c>
      <c r="J269" s="4">
        <v>2.25</v>
      </c>
      <c r="K269" s="4">
        <v>0</v>
      </c>
      <c r="L269" s="4">
        <v>0</v>
      </c>
      <c r="M269" s="4" t="s">
        <v>571</v>
      </c>
      <c r="N269" s="4">
        <f t="shared" si="10"/>
        <v>4.5</v>
      </c>
    </row>
    <row r="270" spans="1:14">
      <c r="A270" s="12">
        <v>269</v>
      </c>
      <c r="B270" s="1" t="s">
        <v>499</v>
      </c>
      <c r="C270" s="42" t="s">
        <v>500</v>
      </c>
      <c r="D270" s="42" t="s">
        <v>645</v>
      </c>
      <c r="E270" s="42" t="s">
        <v>378</v>
      </c>
      <c r="F270" s="4">
        <v>4631.2299999999996</v>
      </c>
      <c r="G270" s="56" t="s">
        <v>570</v>
      </c>
      <c r="H270" s="12">
        <v>9971</v>
      </c>
      <c r="I270" s="4">
        <v>0</v>
      </c>
      <c r="J270" s="4">
        <v>0</v>
      </c>
      <c r="K270" s="4">
        <v>706.46</v>
      </c>
      <c r="L270" s="4">
        <v>0</v>
      </c>
      <c r="M270" s="4" t="s">
        <v>571</v>
      </c>
      <c r="N270" s="4">
        <f t="shared" si="10"/>
        <v>706.46</v>
      </c>
    </row>
    <row r="271" spans="1:14">
      <c r="A271" s="12">
        <v>270</v>
      </c>
      <c r="B271" s="1" t="s">
        <v>499</v>
      </c>
      <c r="C271" s="42" t="s">
        <v>500</v>
      </c>
      <c r="D271" s="42" t="s">
        <v>646</v>
      </c>
      <c r="E271" s="42" t="s">
        <v>647</v>
      </c>
      <c r="F271" s="4">
        <v>4632.2</v>
      </c>
      <c r="G271" s="56" t="s">
        <v>570</v>
      </c>
      <c r="H271" s="12">
        <v>9971</v>
      </c>
      <c r="I271" s="4">
        <v>0</v>
      </c>
      <c r="J271" s="4">
        <v>0</v>
      </c>
      <c r="K271" s="4">
        <v>706.61</v>
      </c>
      <c r="L271" s="4">
        <v>0</v>
      </c>
      <c r="M271" s="4" t="s">
        <v>571</v>
      </c>
      <c r="N271" s="4">
        <f t="shared" si="10"/>
        <v>706.61</v>
      </c>
    </row>
    <row r="272" spans="1:14">
      <c r="A272" s="12">
        <v>271</v>
      </c>
      <c r="B272" s="1" t="s">
        <v>499</v>
      </c>
      <c r="C272" s="42" t="s">
        <v>500</v>
      </c>
      <c r="D272" s="42" t="s">
        <v>648</v>
      </c>
      <c r="E272" s="42" t="s">
        <v>647</v>
      </c>
      <c r="F272" s="4">
        <v>4632.2</v>
      </c>
      <c r="G272" s="56" t="s">
        <v>570</v>
      </c>
      <c r="H272" s="12">
        <v>9971</v>
      </c>
      <c r="I272" s="4">
        <v>0</v>
      </c>
      <c r="J272" s="4">
        <v>0</v>
      </c>
      <c r="K272" s="4">
        <v>706.61</v>
      </c>
      <c r="L272" s="4">
        <v>0</v>
      </c>
      <c r="M272" s="4" t="s">
        <v>571</v>
      </c>
      <c r="N272" s="4">
        <f t="shared" si="10"/>
        <v>706.61</v>
      </c>
    </row>
    <row r="273" spans="1:14">
      <c r="A273" s="12">
        <v>272</v>
      </c>
      <c r="B273" s="1" t="s">
        <v>499</v>
      </c>
      <c r="C273" s="42" t="s">
        <v>500</v>
      </c>
      <c r="D273" s="42" t="s">
        <v>649</v>
      </c>
      <c r="E273" s="42" t="s">
        <v>325</v>
      </c>
      <c r="F273" s="4">
        <v>4633.29</v>
      </c>
      <c r="G273" s="56" t="s">
        <v>570</v>
      </c>
      <c r="H273" s="12">
        <v>9971</v>
      </c>
      <c r="I273" s="4">
        <v>0</v>
      </c>
      <c r="J273" s="4">
        <v>0</v>
      </c>
      <c r="K273" s="4">
        <v>706.77</v>
      </c>
      <c r="L273" s="4">
        <v>0</v>
      </c>
      <c r="M273" s="4" t="s">
        <v>571</v>
      </c>
      <c r="N273" s="4">
        <f t="shared" si="10"/>
        <v>706.77</v>
      </c>
    </row>
    <row r="274" spans="1:14">
      <c r="A274" s="12">
        <v>273</v>
      </c>
      <c r="B274" s="3" t="s">
        <v>553</v>
      </c>
      <c r="C274" s="43" t="s">
        <v>554</v>
      </c>
      <c r="D274" s="43" t="s">
        <v>650</v>
      </c>
      <c r="E274" s="43" t="s">
        <v>651</v>
      </c>
      <c r="F274" s="6">
        <v>1770000</v>
      </c>
      <c r="G274" s="57" t="s">
        <v>570</v>
      </c>
      <c r="H274" s="14">
        <v>99979</v>
      </c>
      <c r="I274" s="6">
        <v>0</v>
      </c>
      <c r="J274" s="6">
        <v>0</v>
      </c>
      <c r="K274" s="6">
        <v>270000</v>
      </c>
      <c r="L274" s="4">
        <v>0</v>
      </c>
      <c r="M274" s="6" t="s">
        <v>571</v>
      </c>
      <c r="N274" s="6">
        <f t="shared" si="10"/>
        <v>270000</v>
      </c>
    </row>
    <row r="275" spans="1:14">
      <c r="A275" s="12">
        <v>274</v>
      </c>
      <c r="B275" s="1" t="s">
        <v>652</v>
      </c>
      <c r="C275" s="42" t="s">
        <v>653</v>
      </c>
      <c r="D275" s="42" t="s">
        <v>654</v>
      </c>
      <c r="E275" s="42" t="s">
        <v>655</v>
      </c>
      <c r="F275" s="4">
        <v>329</v>
      </c>
      <c r="G275" s="56" t="s">
        <v>568</v>
      </c>
      <c r="H275" s="12">
        <v>84713090</v>
      </c>
      <c r="I275" s="4">
        <v>0</v>
      </c>
      <c r="J275" s="4">
        <v>0</v>
      </c>
      <c r="K275" s="4">
        <v>50.19</v>
      </c>
      <c r="L275" s="4">
        <v>0</v>
      </c>
      <c r="M275" s="14" t="s">
        <v>157</v>
      </c>
      <c r="N275" s="15" t="s">
        <v>202</v>
      </c>
    </row>
    <row r="276" spans="1:14">
      <c r="A276" s="12">
        <v>275</v>
      </c>
      <c r="B276" s="1" t="s">
        <v>656</v>
      </c>
      <c r="C276" s="42" t="s">
        <v>657</v>
      </c>
      <c r="D276" s="42" t="s">
        <v>658</v>
      </c>
      <c r="E276" s="42" t="s">
        <v>659</v>
      </c>
      <c r="F276" s="4">
        <v>3</v>
      </c>
      <c r="G276" s="56" t="s">
        <v>570</v>
      </c>
      <c r="H276" s="12">
        <v>440452</v>
      </c>
      <c r="I276" s="4">
        <v>0</v>
      </c>
      <c r="J276" s="4">
        <v>0</v>
      </c>
      <c r="K276" s="4">
        <v>0.46</v>
      </c>
      <c r="L276" s="4">
        <v>0</v>
      </c>
      <c r="M276" s="14" t="s">
        <v>157</v>
      </c>
      <c r="N276" s="15" t="s">
        <v>202</v>
      </c>
    </row>
    <row r="277" spans="1:14">
      <c r="A277" s="12">
        <v>276</v>
      </c>
      <c r="B277" s="1" t="s">
        <v>656</v>
      </c>
      <c r="C277" s="42" t="s">
        <v>657</v>
      </c>
      <c r="D277" s="42" t="s">
        <v>660</v>
      </c>
      <c r="E277" s="42" t="s">
        <v>655</v>
      </c>
      <c r="F277" s="4">
        <v>3</v>
      </c>
      <c r="G277" s="56" t="s">
        <v>570</v>
      </c>
      <c r="H277" s="12">
        <v>440452</v>
      </c>
      <c r="I277" s="4">
        <v>0</v>
      </c>
      <c r="J277" s="4">
        <v>0</v>
      </c>
      <c r="K277" s="4">
        <v>0.46</v>
      </c>
      <c r="L277" s="4">
        <v>0</v>
      </c>
      <c r="M277" s="14" t="s">
        <v>157</v>
      </c>
      <c r="N277" s="15" t="s">
        <v>202</v>
      </c>
    </row>
    <row r="278" spans="1:14">
      <c r="A278" s="12">
        <v>277</v>
      </c>
      <c r="B278" s="1" t="s">
        <v>550</v>
      </c>
      <c r="C278" s="42" t="s">
        <v>551</v>
      </c>
      <c r="D278" s="42" t="s">
        <v>661</v>
      </c>
      <c r="E278" s="42" t="s">
        <v>371</v>
      </c>
      <c r="F278" s="4">
        <v>498.01</v>
      </c>
      <c r="G278" s="56" t="s">
        <v>568</v>
      </c>
      <c r="H278" s="12">
        <v>8715</v>
      </c>
      <c r="I278" s="4">
        <v>0</v>
      </c>
      <c r="J278" s="4">
        <v>0</v>
      </c>
      <c r="K278" s="4">
        <v>75.97</v>
      </c>
      <c r="L278" s="4">
        <v>0</v>
      </c>
      <c r="M278" s="4" t="s">
        <v>571</v>
      </c>
      <c r="N278" s="4">
        <f t="shared" si="10"/>
        <v>75.97</v>
      </c>
    </row>
    <row r="279" spans="1:14">
      <c r="A279" s="12">
        <v>278</v>
      </c>
      <c r="B279" s="1" t="s">
        <v>528</v>
      </c>
      <c r="C279" s="42" t="s">
        <v>529</v>
      </c>
      <c r="D279" s="42" t="s">
        <v>662</v>
      </c>
      <c r="E279" s="42" t="s">
        <v>383</v>
      </c>
      <c r="F279" s="4">
        <v>29.5</v>
      </c>
      <c r="G279" s="56" t="s">
        <v>570</v>
      </c>
      <c r="H279" s="12">
        <v>9971</v>
      </c>
      <c r="I279" s="4">
        <v>2.25</v>
      </c>
      <c r="J279" s="4">
        <v>2.25</v>
      </c>
      <c r="K279" s="4">
        <v>0</v>
      </c>
      <c r="L279" s="4">
        <v>0</v>
      </c>
      <c r="M279" s="4" t="s">
        <v>571</v>
      </c>
      <c r="N279" s="4">
        <f t="shared" si="10"/>
        <v>4.5</v>
      </c>
    </row>
    <row r="280" spans="1:14">
      <c r="A280" s="12">
        <v>279</v>
      </c>
      <c r="B280" s="1" t="s">
        <v>528</v>
      </c>
      <c r="C280" s="42" t="s">
        <v>529</v>
      </c>
      <c r="D280" s="42" t="s">
        <v>663</v>
      </c>
      <c r="E280" s="42" t="s">
        <v>383</v>
      </c>
      <c r="F280" s="4">
        <v>17.7</v>
      </c>
      <c r="G280" s="56" t="s">
        <v>570</v>
      </c>
      <c r="H280" s="12">
        <v>9971</v>
      </c>
      <c r="I280" s="4">
        <v>1.35</v>
      </c>
      <c r="J280" s="4">
        <v>1.35</v>
      </c>
      <c r="K280" s="4">
        <v>0</v>
      </c>
      <c r="L280" s="4">
        <v>0</v>
      </c>
      <c r="M280" s="4" t="s">
        <v>571</v>
      </c>
      <c r="N280" s="4">
        <f t="shared" si="10"/>
        <v>2.7</v>
      </c>
    </row>
    <row r="281" spans="1:14">
      <c r="A281" s="12">
        <v>280</v>
      </c>
      <c r="B281" s="1" t="s">
        <v>499</v>
      </c>
      <c r="C281" s="42" t="s">
        <v>500</v>
      </c>
      <c r="D281" s="42" t="s">
        <v>664</v>
      </c>
      <c r="E281" s="42" t="s">
        <v>665</v>
      </c>
      <c r="F281" s="4">
        <v>4633.66</v>
      </c>
      <c r="G281" s="56" t="s">
        <v>570</v>
      </c>
      <c r="H281" s="12">
        <v>9971</v>
      </c>
      <c r="I281" s="4">
        <v>0</v>
      </c>
      <c r="J281" s="4">
        <v>0</v>
      </c>
      <c r="K281" s="4">
        <v>706.83</v>
      </c>
      <c r="L281" s="4">
        <v>0</v>
      </c>
      <c r="M281" s="4" t="s">
        <v>571</v>
      </c>
      <c r="N281" s="4">
        <f t="shared" si="10"/>
        <v>706.83</v>
      </c>
    </row>
    <row r="282" spans="1:14">
      <c r="A282" s="12">
        <v>281</v>
      </c>
      <c r="B282" s="1" t="s">
        <v>499</v>
      </c>
      <c r="C282" s="42" t="s">
        <v>500</v>
      </c>
      <c r="D282" s="42" t="s">
        <v>666</v>
      </c>
      <c r="E282" s="42" t="s">
        <v>369</v>
      </c>
      <c r="F282" s="4">
        <v>4632.5600000000004</v>
      </c>
      <c r="G282" s="56" t="s">
        <v>570</v>
      </c>
      <c r="H282" s="12">
        <v>9971</v>
      </c>
      <c r="I282" s="4">
        <v>0</v>
      </c>
      <c r="J282" s="4">
        <v>0</v>
      </c>
      <c r="K282" s="4">
        <v>706.66</v>
      </c>
      <c r="L282" s="4">
        <v>0</v>
      </c>
      <c r="M282" s="4" t="s">
        <v>571</v>
      </c>
      <c r="N282" s="4">
        <f t="shared" si="10"/>
        <v>706.66</v>
      </c>
    </row>
    <row r="283" spans="1:14">
      <c r="A283" s="12">
        <v>282</v>
      </c>
      <c r="B283" s="1" t="s">
        <v>499</v>
      </c>
      <c r="C283" s="42" t="s">
        <v>500</v>
      </c>
      <c r="D283" s="42" t="s">
        <v>667</v>
      </c>
      <c r="E283" s="42" t="s">
        <v>355</v>
      </c>
      <c r="F283" s="4">
        <v>4616.8</v>
      </c>
      <c r="G283" s="56" t="s">
        <v>570</v>
      </c>
      <c r="H283" s="12">
        <v>9971</v>
      </c>
      <c r="I283" s="4">
        <v>0</v>
      </c>
      <c r="J283" s="4">
        <v>0</v>
      </c>
      <c r="K283" s="4">
        <v>704.26</v>
      </c>
      <c r="L283" s="4">
        <v>0</v>
      </c>
      <c r="M283" s="4" t="s">
        <v>571</v>
      </c>
      <c r="N283" s="4">
        <f t="shared" si="10"/>
        <v>704.26</v>
      </c>
    </row>
    <row r="284" spans="1:14">
      <c r="A284" s="12">
        <v>283</v>
      </c>
      <c r="B284" s="1" t="s">
        <v>499</v>
      </c>
      <c r="C284" s="42" t="s">
        <v>500</v>
      </c>
      <c r="D284" s="42" t="s">
        <v>668</v>
      </c>
      <c r="E284" s="42" t="s">
        <v>669</v>
      </c>
      <c r="F284" s="4">
        <v>2725.13</v>
      </c>
      <c r="G284" s="56" t="s">
        <v>570</v>
      </c>
      <c r="H284" s="12">
        <v>9971</v>
      </c>
      <c r="I284" s="4">
        <v>0</v>
      </c>
      <c r="J284" s="4">
        <v>0</v>
      </c>
      <c r="K284" s="4">
        <v>415.7</v>
      </c>
      <c r="L284" s="4">
        <v>0</v>
      </c>
      <c r="M284" s="4" t="s">
        <v>571</v>
      </c>
      <c r="N284" s="4">
        <f t="shared" si="10"/>
        <v>415.7</v>
      </c>
    </row>
    <row r="285" spans="1:14">
      <c r="A285" s="12">
        <v>284</v>
      </c>
      <c r="B285" s="1" t="s">
        <v>499</v>
      </c>
      <c r="C285" s="42" t="s">
        <v>500</v>
      </c>
      <c r="D285" s="42" t="s">
        <v>670</v>
      </c>
      <c r="E285" s="42" t="s">
        <v>669</v>
      </c>
      <c r="F285" s="4">
        <v>4620.08</v>
      </c>
      <c r="G285" s="56" t="s">
        <v>570</v>
      </c>
      <c r="H285" s="12">
        <v>9971</v>
      </c>
      <c r="I285" s="4">
        <v>0</v>
      </c>
      <c r="J285" s="4">
        <v>0</v>
      </c>
      <c r="K285" s="4">
        <v>704.76</v>
      </c>
      <c r="L285" s="4">
        <v>0</v>
      </c>
      <c r="M285" s="4" t="s">
        <v>571</v>
      </c>
      <c r="N285" s="4">
        <f t="shared" si="10"/>
        <v>704.76</v>
      </c>
    </row>
    <row r="286" spans="1:14">
      <c r="A286" s="12">
        <v>285</v>
      </c>
      <c r="B286" s="1" t="s">
        <v>671</v>
      </c>
      <c r="C286" s="42" t="s">
        <v>672</v>
      </c>
      <c r="D286" s="42" t="s">
        <v>673</v>
      </c>
      <c r="E286" s="42" t="s">
        <v>659</v>
      </c>
      <c r="F286" s="4">
        <v>208</v>
      </c>
      <c r="G286" s="56" t="s">
        <v>568</v>
      </c>
      <c r="H286" s="12">
        <v>8517</v>
      </c>
      <c r="I286" s="4">
        <v>0</v>
      </c>
      <c r="J286" s="4">
        <v>0</v>
      </c>
      <c r="K286" s="4">
        <v>31.73</v>
      </c>
      <c r="L286" s="4">
        <v>0</v>
      </c>
      <c r="M286" s="4" t="s">
        <v>571</v>
      </c>
      <c r="N286" s="4">
        <f t="shared" si="10"/>
        <v>31.73</v>
      </c>
    </row>
    <row r="287" spans="1:14">
      <c r="A287" s="12">
        <v>286</v>
      </c>
      <c r="B287" s="1" t="s">
        <v>674</v>
      </c>
      <c r="C287" s="42" t="s">
        <v>675</v>
      </c>
      <c r="D287" s="42" t="s">
        <v>676</v>
      </c>
      <c r="E287" s="42" t="s">
        <v>677</v>
      </c>
      <c r="F287" s="4">
        <v>1871.48</v>
      </c>
      <c r="G287" s="56" t="s">
        <v>570</v>
      </c>
      <c r="H287" s="12">
        <v>441480</v>
      </c>
      <c r="I287" s="4">
        <v>0</v>
      </c>
      <c r="J287" s="4">
        <v>0</v>
      </c>
      <c r="K287" s="4">
        <v>285.48</v>
      </c>
      <c r="L287" s="4">
        <v>0</v>
      </c>
      <c r="M287" s="14" t="s">
        <v>157</v>
      </c>
      <c r="N287" s="15" t="s">
        <v>202</v>
      </c>
    </row>
    <row r="288" spans="1:14">
      <c r="A288" s="12">
        <v>287</v>
      </c>
      <c r="B288" s="1" t="s">
        <v>528</v>
      </c>
      <c r="C288" s="42" t="s">
        <v>529</v>
      </c>
      <c r="D288" s="42" t="s">
        <v>678</v>
      </c>
      <c r="E288" s="42" t="s">
        <v>679</v>
      </c>
      <c r="F288" s="4">
        <v>29.5</v>
      </c>
      <c r="G288" s="56" t="s">
        <v>570</v>
      </c>
      <c r="H288" s="12">
        <v>9971</v>
      </c>
      <c r="I288" s="4">
        <v>2.25</v>
      </c>
      <c r="J288" s="4">
        <v>2.25</v>
      </c>
      <c r="K288" s="4">
        <v>0</v>
      </c>
      <c r="L288" s="4">
        <v>0</v>
      </c>
      <c r="M288" s="4" t="s">
        <v>571</v>
      </c>
      <c r="N288" s="4">
        <f t="shared" si="10"/>
        <v>4.5</v>
      </c>
    </row>
    <row r="289" spans="1:14">
      <c r="A289" s="12">
        <v>288</v>
      </c>
      <c r="B289" s="1" t="s">
        <v>499</v>
      </c>
      <c r="C289" s="42" t="s">
        <v>500</v>
      </c>
      <c r="D289" s="42" t="s">
        <v>680</v>
      </c>
      <c r="E289" s="42" t="s">
        <v>681</v>
      </c>
      <c r="F289" s="4">
        <v>4632.4399999999996</v>
      </c>
      <c r="G289" s="56" t="s">
        <v>570</v>
      </c>
      <c r="H289" s="12">
        <v>9971</v>
      </c>
      <c r="I289" s="4">
        <v>0</v>
      </c>
      <c r="J289" s="4">
        <v>0</v>
      </c>
      <c r="K289" s="4">
        <v>706.64</v>
      </c>
      <c r="L289" s="4">
        <v>0</v>
      </c>
      <c r="M289" s="4" t="s">
        <v>571</v>
      </c>
      <c r="N289" s="4">
        <f t="shared" si="10"/>
        <v>706.64</v>
      </c>
    </row>
    <row r="290" spans="1:14">
      <c r="A290" s="12">
        <v>289</v>
      </c>
      <c r="B290" s="1" t="s">
        <v>499</v>
      </c>
      <c r="C290" s="42" t="s">
        <v>500</v>
      </c>
      <c r="D290" s="42" t="s">
        <v>682</v>
      </c>
      <c r="E290" s="42" t="s">
        <v>683</v>
      </c>
      <c r="F290" s="4">
        <v>4633.18</v>
      </c>
      <c r="G290" s="56" t="s">
        <v>570</v>
      </c>
      <c r="H290" s="12">
        <v>9971</v>
      </c>
      <c r="I290" s="4">
        <v>0</v>
      </c>
      <c r="J290" s="4">
        <v>0</v>
      </c>
      <c r="K290" s="4">
        <v>706.76</v>
      </c>
      <c r="L290" s="4">
        <v>0</v>
      </c>
      <c r="M290" s="4" t="s">
        <v>571</v>
      </c>
      <c r="N290" s="4">
        <f t="shared" si="10"/>
        <v>706.76</v>
      </c>
    </row>
    <row r="291" spans="1:14">
      <c r="A291" s="12">
        <v>290</v>
      </c>
      <c r="B291" s="1" t="s">
        <v>499</v>
      </c>
      <c r="C291" s="42" t="s">
        <v>500</v>
      </c>
      <c r="D291" s="42" t="s">
        <v>684</v>
      </c>
      <c r="E291" s="42" t="s">
        <v>685</v>
      </c>
      <c r="F291" s="4">
        <v>4635.84</v>
      </c>
      <c r="G291" s="56" t="s">
        <v>570</v>
      </c>
      <c r="H291" s="12">
        <v>9971</v>
      </c>
      <c r="I291" s="4">
        <v>0</v>
      </c>
      <c r="J291" s="4">
        <v>0</v>
      </c>
      <c r="K291" s="4">
        <v>707.16</v>
      </c>
      <c r="L291" s="4">
        <v>0</v>
      </c>
      <c r="M291" s="4" t="s">
        <v>571</v>
      </c>
      <c r="N291" s="4">
        <f t="shared" si="10"/>
        <v>707.16</v>
      </c>
    </row>
    <row r="292" spans="1:14">
      <c r="A292" s="12">
        <v>291</v>
      </c>
      <c r="B292" s="1" t="s">
        <v>499</v>
      </c>
      <c r="C292" s="42" t="s">
        <v>500</v>
      </c>
      <c r="D292" s="42" t="s">
        <v>686</v>
      </c>
      <c r="E292" s="42" t="s">
        <v>687</v>
      </c>
      <c r="F292" s="4">
        <v>4638.63</v>
      </c>
      <c r="G292" s="56" t="s">
        <v>570</v>
      </c>
      <c r="H292" s="12">
        <v>9971</v>
      </c>
      <c r="I292" s="4">
        <v>0</v>
      </c>
      <c r="J292" s="4">
        <v>0</v>
      </c>
      <c r="K292" s="4">
        <v>707.59</v>
      </c>
      <c r="L292" s="4">
        <v>0</v>
      </c>
      <c r="M292" s="4" t="s">
        <v>571</v>
      </c>
      <c r="N292" s="4">
        <f t="shared" si="10"/>
        <v>707.59</v>
      </c>
    </row>
    <row r="293" spans="1:14">
      <c r="A293" s="12">
        <v>292</v>
      </c>
      <c r="B293" s="1" t="s">
        <v>509</v>
      </c>
      <c r="C293" s="42" t="s">
        <v>510</v>
      </c>
      <c r="D293" s="42" t="s">
        <v>688</v>
      </c>
      <c r="E293" s="42" t="s">
        <v>689</v>
      </c>
      <c r="F293" s="4">
        <v>454300</v>
      </c>
      <c r="G293" s="56" t="s">
        <v>570</v>
      </c>
      <c r="H293" s="12">
        <v>998314</v>
      </c>
      <c r="I293" s="4">
        <v>0</v>
      </c>
      <c r="J293" s="4">
        <v>0</v>
      </c>
      <c r="K293" s="4">
        <v>69300</v>
      </c>
      <c r="L293" s="4">
        <v>0</v>
      </c>
      <c r="M293" s="4" t="s">
        <v>571</v>
      </c>
      <c r="N293" s="4">
        <f t="shared" si="10"/>
        <v>69300</v>
      </c>
    </row>
    <row r="294" spans="1:14">
      <c r="A294" s="12">
        <v>293</v>
      </c>
      <c r="B294" s="1" t="s">
        <v>509</v>
      </c>
      <c r="C294" s="42" t="s">
        <v>510</v>
      </c>
      <c r="D294" s="42" t="s">
        <v>690</v>
      </c>
      <c r="E294" s="42" t="s">
        <v>691</v>
      </c>
      <c r="F294" s="4">
        <v>118000</v>
      </c>
      <c r="G294" s="56" t="s">
        <v>570</v>
      </c>
      <c r="H294" s="12">
        <v>998314</v>
      </c>
      <c r="I294" s="4">
        <v>0</v>
      </c>
      <c r="J294" s="4">
        <v>0</v>
      </c>
      <c r="K294" s="4">
        <v>18000</v>
      </c>
      <c r="L294" s="4">
        <v>0</v>
      </c>
      <c r="M294" s="4" t="s">
        <v>571</v>
      </c>
      <c r="N294" s="4">
        <f t="shared" si="10"/>
        <v>18000</v>
      </c>
    </row>
    <row r="295" spans="1:14">
      <c r="A295" s="12">
        <v>294</v>
      </c>
      <c r="B295" s="1" t="s">
        <v>509</v>
      </c>
      <c r="C295" s="42" t="s">
        <v>510</v>
      </c>
      <c r="D295" s="42" t="s">
        <v>692</v>
      </c>
      <c r="E295" s="42" t="s">
        <v>378</v>
      </c>
      <c r="F295" s="4">
        <v>283200</v>
      </c>
      <c r="G295" s="56" t="s">
        <v>570</v>
      </c>
      <c r="H295" s="12">
        <v>998314</v>
      </c>
      <c r="I295" s="4">
        <v>0</v>
      </c>
      <c r="J295" s="4">
        <v>0</v>
      </c>
      <c r="K295" s="4">
        <v>43200</v>
      </c>
      <c r="L295" s="4">
        <v>0</v>
      </c>
      <c r="M295" s="4" t="s">
        <v>571</v>
      </c>
      <c r="N295" s="4">
        <f t="shared" si="10"/>
        <v>43200</v>
      </c>
    </row>
    <row r="296" spans="1:14">
      <c r="A296" s="12">
        <v>295</v>
      </c>
      <c r="B296" s="1" t="s">
        <v>509</v>
      </c>
      <c r="C296" s="42" t="s">
        <v>510</v>
      </c>
      <c r="D296" s="42" t="s">
        <v>693</v>
      </c>
      <c r="E296" s="42" t="s">
        <v>694</v>
      </c>
      <c r="F296" s="4">
        <v>424800</v>
      </c>
      <c r="G296" s="56" t="s">
        <v>570</v>
      </c>
      <c r="H296" s="12">
        <v>998314</v>
      </c>
      <c r="I296" s="4">
        <v>0</v>
      </c>
      <c r="J296" s="4">
        <v>0</v>
      </c>
      <c r="K296" s="4">
        <v>64800</v>
      </c>
      <c r="L296" s="4">
        <v>0</v>
      </c>
      <c r="M296" s="4" t="s">
        <v>571</v>
      </c>
      <c r="N296" s="4">
        <f t="shared" si="10"/>
        <v>64800</v>
      </c>
    </row>
    <row r="297" spans="1:14">
      <c r="A297" s="12">
        <v>296</v>
      </c>
      <c r="B297" s="1" t="s">
        <v>695</v>
      </c>
      <c r="C297" s="42" t="s">
        <v>593</v>
      </c>
      <c r="D297" s="42" t="s">
        <v>696</v>
      </c>
      <c r="E297" s="42" t="s">
        <v>683</v>
      </c>
      <c r="F297" s="4">
        <v>3669.65</v>
      </c>
      <c r="G297" s="56" t="s">
        <v>568</v>
      </c>
      <c r="H297" s="12">
        <v>4202</v>
      </c>
      <c r="I297" s="4">
        <v>0</v>
      </c>
      <c r="J297" s="4">
        <v>0</v>
      </c>
      <c r="K297" s="4">
        <v>174.74</v>
      </c>
      <c r="L297" s="4">
        <v>0</v>
      </c>
      <c r="M297" s="14" t="s">
        <v>157</v>
      </c>
      <c r="N297" s="15" t="s">
        <v>202</v>
      </c>
    </row>
    <row r="298" spans="1:14">
      <c r="A298" s="12">
        <v>297</v>
      </c>
      <c r="B298" s="1" t="s">
        <v>592</v>
      </c>
      <c r="C298" s="42" t="s">
        <v>593</v>
      </c>
      <c r="D298" s="42" t="s">
        <v>697</v>
      </c>
      <c r="E298" s="42" t="s">
        <v>698</v>
      </c>
      <c r="F298" s="4">
        <v>574</v>
      </c>
      <c r="G298" s="56" t="s">
        <v>568</v>
      </c>
      <c r="H298" s="12">
        <v>4202</v>
      </c>
      <c r="I298" s="4">
        <v>0</v>
      </c>
      <c r="J298" s="4">
        <v>0</v>
      </c>
      <c r="K298" s="4">
        <v>27.33</v>
      </c>
      <c r="L298" s="4">
        <v>0</v>
      </c>
      <c r="M298" s="14" t="s">
        <v>157</v>
      </c>
      <c r="N298" s="15" t="s">
        <v>202</v>
      </c>
    </row>
    <row r="299" spans="1:14">
      <c r="A299" s="12">
        <v>298</v>
      </c>
      <c r="B299" s="1" t="s">
        <v>592</v>
      </c>
      <c r="C299" s="42" t="s">
        <v>593</v>
      </c>
      <c r="D299" s="42" t="s">
        <v>699</v>
      </c>
      <c r="E299" s="42" t="s">
        <v>698</v>
      </c>
      <c r="F299" s="4">
        <v>2254.6799999999998</v>
      </c>
      <c r="G299" s="56" t="s">
        <v>568</v>
      </c>
      <c r="H299" s="12">
        <v>4202</v>
      </c>
      <c r="I299" s="4">
        <v>0</v>
      </c>
      <c r="J299" s="4">
        <v>0</v>
      </c>
      <c r="K299" s="4">
        <v>107.37</v>
      </c>
      <c r="L299" s="4">
        <v>0</v>
      </c>
      <c r="M299" s="14" t="s">
        <v>157</v>
      </c>
      <c r="N299" s="15" t="s">
        <v>202</v>
      </c>
    </row>
    <row r="300" spans="1:14">
      <c r="A300" s="12">
        <v>299</v>
      </c>
      <c r="B300" s="1" t="s">
        <v>656</v>
      </c>
      <c r="C300" s="42" t="s">
        <v>657</v>
      </c>
      <c r="D300" s="42" t="s">
        <v>700</v>
      </c>
      <c r="E300" s="42" t="s">
        <v>389</v>
      </c>
      <c r="F300" s="4">
        <v>3</v>
      </c>
      <c r="G300" s="56" t="s">
        <v>570</v>
      </c>
      <c r="H300" s="12">
        <v>440452</v>
      </c>
      <c r="I300" s="4">
        <v>0</v>
      </c>
      <c r="J300" s="4">
        <v>0</v>
      </c>
      <c r="K300" s="4">
        <v>0.46</v>
      </c>
      <c r="L300" s="4">
        <v>0</v>
      </c>
      <c r="M300" s="14" t="s">
        <v>157</v>
      </c>
      <c r="N300" s="15" t="s">
        <v>202</v>
      </c>
    </row>
    <row r="301" spans="1:14">
      <c r="A301" s="12">
        <v>300</v>
      </c>
      <c r="B301" s="1" t="s">
        <v>257</v>
      </c>
      <c r="C301" s="42" t="s">
        <v>258</v>
      </c>
      <c r="D301" s="42" t="s">
        <v>701</v>
      </c>
      <c r="E301" s="42" t="s">
        <v>702</v>
      </c>
      <c r="F301" s="4">
        <v>35400</v>
      </c>
      <c r="G301" s="56" t="s">
        <v>570</v>
      </c>
      <c r="H301" s="12">
        <v>9982</v>
      </c>
      <c r="I301" s="4">
        <v>0</v>
      </c>
      <c r="J301" s="4">
        <v>0</v>
      </c>
      <c r="K301" s="4">
        <v>5400</v>
      </c>
      <c r="L301" s="4">
        <v>0</v>
      </c>
      <c r="M301" s="4" t="s">
        <v>571</v>
      </c>
      <c r="N301" s="4">
        <f t="shared" ref="N301:N317" si="11">I301+J301+K301+L301</f>
        <v>5400</v>
      </c>
    </row>
    <row r="302" spans="1:14">
      <c r="A302" s="12">
        <v>301</v>
      </c>
      <c r="B302" s="1" t="s">
        <v>257</v>
      </c>
      <c r="C302" s="42" t="s">
        <v>258</v>
      </c>
      <c r="D302" s="42" t="s">
        <v>703</v>
      </c>
      <c r="E302" s="42" t="s">
        <v>399</v>
      </c>
      <c r="F302" s="4">
        <v>278480</v>
      </c>
      <c r="G302" s="56" t="s">
        <v>570</v>
      </c>
      <c r="H302" s="12">
        <v>9982</v>
      </c>
      <c r="I302" s="4">
        <v>0</v>
      </c>
      <c r="J302" s="4">
        <v>0</v>
      </c>
      <c r="K302" s="4">
        <v>42480</v>
      </c>
      <c r="L302" s="4">
        <v>0</v>
      </c>
      <c r="M302" s="4" t="s">
        <v>571</v>
      </c>
      <c r="N302" s="4">
        <f t="shared" si="11"/>
        <v>42480</v>
      </c>
    </row>
    <row r="303" spans="1:14">
      <c r="A303" s="12">
        <v>302</v>
      </c>
      <c r="B303" s="1" t="s">
        <v>528</v>
      </c>
      <c r="C303" s="42" t="s">
        <v>529</v>
      </c>
      <c r="D303" s="42" t="s">
        <v>704</v>
      </c>
      <c r="E303" s="42" t="s">
        <v>705</v>
      </c>
      <c r="F303" s="4">
        <v>29.5</v>
      </c>
      <c r="G303" s="56" t="s">
        <v>570</v>
      </c>
      <c r="H303" s="12">
        <v>9971</v>
      </c>
      <c r="I303" s="4">
        <v>2.25</v>
      </c>
      <c r="J303" s="4">
        <v>2.25</v>
      </c>
      <c r="K303" s="4">
        <v>0</v>
      </c>
      <c r="L303" s="4">
        <v>0</v>
      </c>
      <c r="M303" s="4" t="s">
        <v>571</v>
      </c>
      <c r="N303" s="4">
        <f t="shared" si="11"/>
        <v>4.5</v>
      </c>
    </row>
    <row r="304" spans="1:14">
      <c r="A304" s="12">
        <v>303</v>
      </c>
      <c r="B304" s="1" t="s">
        <v>528</v>
      </c>
      <c r="C304" s="42" t="s">
        <v>529</v>
      </c>
      <c r="D304" s="42" t="s">
        <v>706</v>
      </c>
      <c r="E304" s="42" t="s">
        <v>399</v>
      </c>
      <c r="F304" s="4">
        <v>29.5</v>
      </c>
      <c r="G304" s="56" t="s">
        <v>570</v>
      </c>
      <c r="H304" s="12">
        <v>9971</v>
      </c>
      <c r="I304" s="4">
        <v>2.25</v>
      </c>
      <c r="J304" s="4">
        <v>2.25</v>
      </c>
      <c r="K304" s="4">
        <v>0</v>
      </c>
      <c r="L304" s="4">
        <v>0</v>
      </c>
      <c r="M304" s="4" t="s">
        <v>571</v>
      </c>
      <c r="N304" s="4">
        <f t="shared" si="11"/>
        <v>4.5</v>
      </c>
    </row>
    <row r="305" spans="1:14">
      <c r="A305" s="12">
        <v>304</v>
      </c>
      <c r="B305" s="1" t="s">
        <v>528</v>
      </c>
      <c r="C305" s="42" t="s">
        <v>529</v>
      </c>
      <c r="D305" s="42" t="s">
        <v>707</v>
      </c>
      <c r="E305" s="42" t="s">
        <v>401</v>
      </c>
      <c r="F305" s="4">
        <v>17.7</v>
      </c>
      <c r="G305" s="56" t="s">
        <v>570</v>
      </c>
      <c r="H305" s="12">
        <v>9971</v>
      </c>
      <c r="I305" s="4">
        <v>1.35</v>
      </c>
      <c r="J305" s="4">
        <v>1.35</v>
      </c>
      <c r="K305" s="4">
        <v>0</v>
      </c>
      <c r="L305" s="4">
        <v>0</v>
      </c>
      <c r="M305" s="4" t="s">
        <v>571</v>
      </c>
      <c r="N305" s="4">
        <f t="shared" si="11"/>
        <v>2.7</v>
      </c>
    </row>
    <row r="306" spans="1:14">
      <c r="A306" s="12">
        <v>305</v>
      </c>
      <c r="B306" s="1" t="s">
        <v>528</v>
      </c>
      <c r="C306" s="42" t="s">
        <v>529</v>
      </c>
      <c r="D306" s="42" t="s">
        <v>708</v>
      </c>
      <c r="E306" s="42" t="s">
        <v>401</v>
      </c>
      <c r="F306" s="4">
        <v>29.5</v>
      </c>
      <c r="G306" s="56" t="s">
        <v>570</v>
      </c>
      <c r="H306" s="12">
        <v>9971</v>
      </c>
      <c r="I306" s="4">
        <v>2.25</v>
      </c>
      <c r="J306" s="4">
        <v>2.25</v>
      </c>
      <c r="K306" s="4">
        <v>0</v>
      </c>
      <c r="L306" s="4">
        <v>0</v>
      </c>
      <c r="M306" s="4" t="s">
        <v>571</v>
      </c>
      <c r="N306" s="4">
        <f t="shared" si="11"/>
        <v>4.5</v>
      </c>
    </row>
    <row r="307" spans="1:14">
      <c r="A307" s="12">
        <v>306</v>
      </c>
      <c r="B307" s="1" t="s">
        <v>709</v>
      </c>
      <c r="C307" s="42" t="s">
        <v>710</v>
      </c>
      <c r="D307" s="42" t="s">
        <v>711</v>
      </c>
      <c r="E307" s="42" t="s">
        <v>389</v>
      </c>
      <c r="F307" s="4">
        <v>898</v>
      </c>
      <c r="G307" s="56" t="s">
        <v>568</v>
      </c>
      <c r="H307" s="12">
        <v>8517</v>
      </c>
      <c r="I307" s="4">
        <v>0</v>
      </c>
      <c r="J307" s="4">
        <v>0</v>
      </c>
      <c r="K307" s="4">
        <v>136.97999999999999</v>
      </c>
      <c r="L307" s="4">
        <v>0</v>
      </c>
      <c r="M307" s="4" t="s">
        <v>571</v>
      </c>
      <c r="N307" s="4">
        <f t="shared" si="11"/>
        <v>136.97999999999999</v>
      </c>
    </row>
    <row r="308" spans="1:14">
      <c r="A308" s="12">
        <v>307</v>
      </c>
      <c r="B308" s="1" t="s">
        <v>499</v>
      </c>
      <c r="C308" s="42" t="s">
        <v>500</v>
      </c>
      <c r="D308" s="42" t="s">
        <v>712</v>
      </c>
      <c r="E308" s="42" t="s">
        <v>705</v>
      </c>
      <c r="F308" s="4">
        <v>4640.93</v>
      </c>
      <c r="G308" s="56" t="s">
        <v>570</v>
      </c>
      <c r="H308" s="12">
        <v>9971</v>
      </c>
      <c r="I308" s="4">
        <v>0</v>
      </c>
      <c r="J308" s="4">
        <v>0</v>
      </c>
      <c r="K308" s="4">
        <v>707.94</v>
      </c>
      <c r="L308" s="4">
        <v>0</v>
      </c>
      <c r="M308" s="4" t="s">
        <v>571</v>
      </c>
      <c r="N308" s="4">
        <f t="shared" si="11"/>
        <v>707.94</v>
      </c>
    </row>
    <row r="309" spans="1:14">
      <c r="A309" s="12">
        <v>308</v>
      </c>
      <c r="B309" s="1" t="s">
        <v>499</v>
      </c>
      <c r="C309" s="42" t="s">
        <v>500</v>
      </c>
      <c r="D309" s="42" t="s">
        <v>713</v>
      </c>
      <c r="E309" s="42" t="s">
        <v>395</v>
      </c>
      <c r="F309" s="4">
        <v>4947.3999999999996</v>
      </c>
      <c r="G309" s="56" t="s">
        <v>570</v>
      </c>
      <c r="H309" s="12">
        <v>9971</v>
      </c>
      <c r="I309" s="4">
        <v>0</v>
      </c>
      <c r="J309" s="4">
        <v>0</v>
      </c>
      <c r="K309" s="4">
        <v>754.69</v>
      </c>
      <c r="L309" s="4">
        <v>0</v>
      </c>
      <c r="M309" s="4" t="s">
        <v>571</v>
      </c>
      <c r="N309" s="4">
        <f t="shared" si="11"/>
        <v>754.69</v>
      </c>
    </row>
    <row r="310" spans="1:14">
      <c r="A310" s="12">
        <v>309</v>
      </c>
      <c r="B310" s="1" t="s">
        <v>499</v>
      </c>
      <c r="C310" s="42" t="s">
        <v>500</v>
      </c>
      <c r="D310" s="42" t="s">
        <v>714</v>
      </c>
      <c r="E310" s="42" t="s">
        <v>715</v>
      </c>
      <c r="F310" s="4">
        <v>4957.66</v>
      </c>
      <c r="G310" s="56" t="s">
        <v>570</v>
      </c>
      <c r="H310" s="12">
        <v>9971</v>
      </c>
      <c r="I310" s="4">
        <v>0</v>
      </c>
      <c r="J310" s="4">
        <v>0</v>
      </c>
      <c r="K310" s="4">
        <v>756.25</v>
      </c>
      <c r="L310" s="4">
        <v>0</v>
      </c>
      <c r="M310" s="4" t="s">
        <v>571</v>
      </c>
      <c r="N310" s="4">
        <f t="shared" si="11"/>
        <v>756.25</v>
      </c>
    </row>
    <row r="311" spans="1:14">
      <c r="A311" s="12">
        <v>310</v>
      </c>
      <c r="B311" s="1" t="s">
        <v>499</v>
      </c>
      <c r="C311" s="42" t="s">
        <v>500</v>
      </c>
      <c r="D311" s="42" t="s">
        <v>716</v>
      </c>
      <c r="E311" s="42" t="s">
        <v>717</v>
      </c>
      <c r="F311" s="4">
        <v>4959.74</v>
      </c>
      <c r="G311" s="56" t="s">
        <v>570</v>
      </c>
      <c r="H311" s="12">
        <v>9971</v>
      </c>
      <c r="I311" s="4">
        <v>0</v>
      </c>
      <c r="J311" s="4">
        <v>0</v>
      </c>
      <c r="K311" s="4">
        <v>756.57</v>
      </c>
      <c r="L311" s="4">
        <v>0</v>
      </c>
      <c r="M311" s="4" t="s">
        <v>571</v>
      </c>
      <c r="N311" s="4">
        <f t="shared" si="11"/>
        <v>756.57</v>
      </c>
    </row>
    <row r="312" spans="1:14">
      <c r="A312" s="12">
        <v>311</v>
      </c>
      <c r="B312" s="1" t="s">
        <v>499</v>
      </c>
      <c r="C312" s="42" t="s">
        <v>500</v>
      </c>
      <c r="D312" s="42" t="s">
        <v>718</v>
      </c>
      <c r="E312" s="42" t="s">
        <v>389</v>
      </c>
      <c r="F312" s="4">
        <v>4958.05</v>
      </c>
      <c r="G312" s="56" t="s">
        <v>570</v>
      </c>
      <c r="H312" s="12">
        <v>9971</v>
      </c>
      <c r="I312" s="4">
        <v>0</v>
      </c>
      <c r="J312" s="4">
        <v>0</v>
      </c>
      <c r="K312" s="4">
        <v>756.31</v>
      </c>
      <c r="L312" s="4">
        <v>0</v>
      </c>
      <c r="M312" s="4" t="s">
        <v>571</v>
      </c>
      <c r="N312" s="4">
        <f t="shared" si="11"/>
        <v>756.31</v>
      </c>
    </row>
    <row r="313" spans="1:14">
      <c r="A313" s="12">
        <v>312</v>
      </c>
      <c r="B313" s="1" t="s">
        <v>695</v>
      </c>
      <c r="C313" s="42" t="s">
        <v>593</v>
      </c>
      <c r="D313" s="42" t="s">
        <v>719</v>
      </c>
      <c r="E313" s="42" t="s">
        <v>677</v>
      </c>
      <c r="F313" s="4">
        <v>-3669.65</v>
      </c>
      <c r="G313" s="56" t="s">
        <v>568</v>
      </c>
      <c r="H313" s="12">
        <v>4202</v>
      </c>
      <c r="I313" s="4">
        <v>0</v>
      </c>
      <c r="J313" s="4">
        <v>0</v>
      </c>
      <c r="K313" s="4">
        <v>-174.74</v>
      </c>
      <c r="L313" s="4">
        <v>0</v>
      </c>
      <c r="M313" s="14" t="s">
        <v>157</v>
      </c>
      <c r="N313" s="15" t="s">
        <v>202</v>
      </c>
    </row>
    <row r="314" spans="1:14">
      <c r="A314" s="12">
        <v>313</v>
      </c>
      <c r="B314" s="1" t="s">
        <v>592</v>
      </c>
      <c r="C314" s="42" t="s">
        <v>593</v>
      </c>
      <c r="D314" s="42" t="s">
        <v>720</v>
      </c>
      <c r="E314" s="42" t="s">
        <v>677</v>
      </c>
      <c r="F314" s="4">
        <v>-574</v>
      </c>
      <c r="G314" s="56" t="s">
        <v>568</v>
      </c>
      <c r="H314" s="12">
        <v>4202</v>
      </c>
      <c r="I314" s="4">
        <v>0</v>
      </c>
      <c r="J314" s="4">
        <v>0</v>
      </c>
      <c r="K314" s="4">
        <v>-27.33</v>
      </c>
      <c r="L314" s="4">
        <v>0</v>
      </c>
      <c r="M314" s="14" t="s">
        <v>157</v>
      </c>
      <c r="N314" s="15" t="s">
        <v>202</v>
      </c>
    </row>
    <row r="315" spans="1:14">
      <c r="A315" s="12">
        <v>314</v>
      </c>
      <c r="B315" s="1" t="s">
        <v>592</v>
      </c>
      <c r="C315" s="42" t="s">
        <v>593</v>
      </c>
      <c r="D315" s="42" t="s">
        <v>721</v>
      </c>
      <c r="E315" s="42" t="s">
        <v>677</v>
      </c>
      <c r="F315" s="4">
        <v>-456.68</v>
      </c>
      <c r="G315" s="56" t="s">
        <v>568</v>
      </c>
      <c r="H315" s="12">
        <v>4202</v>
      </c>
      <c r="I315" s="4">
        <v>0</v>
      </c>
      <c r="J315" s="4">
        <v>0</v>
      </c>
      <c r="K315" s="4">
        <v>-21.75</v>
      </c>
      <c r="L315" s="4">
        <v>0</v>
      </c>
      <c r="M315" s="14" t="s">
        <v>157</v>
      </c>
      <c r="N315" s="15" t="s">
        <v>202</v>
      </c>
    </row>
    <row r="316" spans="1:14">
      <c r="A316" s="12">
        <v>315</v>
      </c>
      <c r="B316" s="1" t="s">
        <v>656</v>
      </c>
      <c r="C316" s="42" t="s">
        <v>657</v>
      </c>
      <c r="D316" s="42" t="s">
        <v>722</v>
      </c>
      <c r="E316" s="42" t="s">
        <v>389</v>
      </c>
      <c r="F316" s="4">
        <v>-3</v>
      </c>
      <c r="G316" s="56" t="s">
        <v>570</v>
      </c>
      <c r="H316" s="12">
        <v>440452</v>
      </c>
      <c r="I316" s="4">
        <v>0</v>
      </c>
      <c r="J316" s="4">
        <v>0</v>
      </c>
      <c r="K316" s="4">
        <v>-0.46</v>
      </c>
      <c r="L316" s="4">
        <v>0</v>
      </c>
      <c r="M316" s="14" t="s">
        <v>157</v>
      </c>
      <c r="N316" s="15" t="s">
        <v>202</v>
      </c>
    </row>
    <row r="317" spans="1:14">
      <c r="A317" s="12">
        <v>316</v>
      </c>
      <c r="B317" s="1" t="s">
        <v>709</v>
      </c>
      <c r="C317" s="42" t="s">
        <v>710</v>
      </c>
      <c r="D317" s="42" t="s">
        <v>723</v>
      </c>
      <c r="E317" s="42" t="s">
        <v>389</v>
      </c>
      <c r="F317" s="4">
        <v>-898</v>
      </c>
      <c r="G317" s="56" t="s">
        <v>568</v>
      </c>
      <c r="H317" s="12">
        <v>8517</v>
      </c>
      <c r="I317" s="4">
        <v>0</v>
      </c>
      <c r="J317" s="4">
        <v>0</v>
      </c>
      <c r="K317" s="4">
        <v>-136.97999999999999</v>
      </c>
      <c r="L317" s="4">
        <v>0</v>
      </c>
      <c r="M317" s="4" t="s">
        <v>571</v>
      </c>
      <c r="N317" s="4">
        <f t="shared" si="11"/>
        <v>-136.97999999999999</v>
      </c>
    </row>
    <row r="318" spans="1:14">
      <c r="A318" s="12">
        <v>317</v>
      </c>
      <c r="B318" s="3" t="s">
        <v>528</v>
      </c>
      <c r="C318" s="43" t="s">
        <v>529</v>
      </c>
      <c r="D318" s="43" t="s">
        <v>724</v>
      </c>
      <c r="E318" s="43" t="s">
        <v>725</v>
      </c>
      <c r="F318" s="6">
        <v>29.5</v>
      </c>
      <c r="G318" s="47" t="s">
        <v>493</v>
      </c>
      <c r="H318" s="12">
        <v>9971</v>
      </c>
      <c r="I318" s="6">
        <v>2.25</v>
      </c>
      <c r="J318" s="6">
        <v>2.25</v>
      </c>
      <c r="K318" s="6">
        <v>0</v>
      </c>
      <c r="L318" s="4">
        <v>0</v>
      </c>
      <c r="M318" s="12" t="s">
        <v>571</v>
      </c>
      <c r="N318" s="13">
        <f>SUM(I318:L318)</f>
        <v>4.5</v>
      </c>
    </row>
    <row r="319" spans="1:14">
      <c r="A319" s="12">
        <v>318</v>
      </c>
      <c r="B319" s="3" t="s">
        <v>499</v>
      </c>
      <c r="C319" s="43" t="s">
        <v>500</v>
      </c>
      <c r="D319" s="43" t="s">
        <v>726</v>
      </c>
      <c r="E319" s="43" t="s">
        <v>727</v>
      </c>
      <c r="F319" s="6">
        <v>4971.5600000000004</v>
      </c>
      <c r="G319" s="47" t="s">
        <v>493</v>
      </c>
      <c r="H319" s="12">
        <v>9971</v>
      </c>
      <c r="I319" s="6">
        <v>0</v>
      </c>
      <c r="J319" s="6">
        <v>0</v>
      </c>
      <c r="K319" s="6">
        <v>758.37</v>
      </c>
      <c r="L319" s="4">
        <v>0</v>
      </c>
      <c r="M319" s="12" t="s">
        <v>571</v>
      </c>
      <c r="N319" s="13">
        <f t="shared" ref="N319:N365" si="12">SUM(I319:L319)</f>
        <v>758.37</v>
      </c>
    </row>
    <row r="320" spans="1:14">
      <c r="A320" s="12">
        <v>319</v>
      </c>
      <c r="B320" s="3" t="s">
        <v>499</v>
      </c>
      <c r="C320" s="43" t="s">
        <v>500</v>
      </c>
      <c r="D320" s="43" t="s">
        <v>728</v>
      </c>
      <c r="E320" s="43" t="s">
        <v>432</v>
      </c>
      <c r="F320" s="6">
        <v>7082.15</v>
      </c>
      <c r="G320" s="47" t="s">
        <v>493</v>
      </c>
      <c r="H320" s="12">
        <v>9971</v>
      </c>
      <c r="I320" s="6">
        <v>0</v>
      </c>
      <c r="J320" s="6">
        <v>0</v>
      </c>
      <c r="K320" s="6">
        <v>1080.33</v>
      </c>
      <c r="L320" s="4">
        <v>0</v>
      </c>
      <c r="M320" s="12" t="s">
        <v>571</v>
      </c>
      <c r="N320" s="13">
        <f t="shared" si="12"/>
        <v>1080.33</v>
      </c>
    </row>
    <row r="321" spans="1:14">
      <c r="A321" s="12">
        <v>320</v>
      </c>
      <c r="B321" s="3" t="s">
        <v>729</v>
      </c>
      <c r="C321" s="43" t="s">
        <v>730</v>
      </c>
      <c r="D321" s="43" t="s">
        <v>731</v>
      </c>
      <c r="E321" s="43" t="s">
        <v>17</v>
      </c>
      <c r="F321" s="6">
        <v>5778</v>
      </c>
      <c r="G321" s="47" t="s">
        <v>493</v>
      </c>
      <c r="H321" s="30" t="s">
        <v>732</v>
      </c>
      <c r="I321" s="6">
        <v>137.5</v>
      </c>
      <c r="J321" s="6">
        <v>137.5</v>
      </c>
      <c r="K321" s="6">
        <v>0</v>
      </c>
      <c r="L321" s="4">
        <v>0</v>
      </c>
      <c r="M321" s="12" t="s">
        <v>571</v>
      </c>
      <c r="N321" s="13">
        <f t="shared" si="12"/>
        <v>275</v>
      </c>
    </row>
    <row r="322" spans="1:14">
      <c r="A322" s="12">
        <v>321</v>
      </c>
      <c r="B322" s="3" t="s">
        <v>509</v>
      </c>
      <c r="C322" s="43" t="s">
        <v>510</v>
      </c>
      <c r="D322" s="43" t="s">
        <v>733</v>
      </c>
      <c r="E322" s="43" t="s">
        <v>734</v>
      </c>
      <c r="F322" s="6">
        <v>424800</v>
      </c>
      <c r="G322" s="47" t="s">
        <v>493</v>
      </c>
      <c r="H322" s="12">
        <v>998314</v>
      </c>
      <c r="I322" s="6">
        <v>0</v>
      </c>
      <c r="J322" s="6">
        <v>0</v>
      </c>
      <c r="K322" s="6">
        <v>64800</v>
      </c>
      <c r="L322" s="4">
        <v>0</v>
      </c>
      <c r="M322" s="12" t="s">
        <v>571</v>
      </c>
      <c r="N322" s="13">
        <f t="shared" si="12"/>
        <v>64800</v>
      </c>
    </row>
    <row r="323" spans="1:14">
      <c r="A323" s="12">
        <v>322</v>
      </c>
      <c r="B323" s="3" t="s">
        <v>509</v>
      </c>
      <c r="C323" s="43" t="s">
        <v>510</v>
      </c>
      <c r="D323" s="43" t="s">
        <v>735</v>
      </c>
      <c r="E323" s="43" t="s">
        <v>736</v>
      </c>
      <c r="F323" s="6">
        <v>401200</v>
      </c>
      <c r="G323" s="47" t="s">
        <v>493</v>
      </c>
      <c r="H323" s="12">
        <v>998314</v>
      </c>
      <c r="I323" s="6">
        <v>0</v>
      </c>
      <c r="J323" s="6">
        <v>0</v>
      </c>
      <c r="K323" s="6">
        <v>61200</v>
      </c>
      <c r="L323" s="4">
        <v>0</v>
      </c>
      <c r="M323" s="12" t="s">
        <v>571</v>
      </c>
      <c r="N323" s="13">
        <f t="shared" si="12"/>
        <v>61200</v>
      </c>
    </row>
    <row r="324" spans="1:14">
      <c r="A324" s="12">
        <v>323</v>
      </c>
      <c r="B324" s="3" t="s">
        <v>509</v>
      </c>
      <c r="C324" s="43" t="s">
        <v>510</v>
      </c>
      <c r="D324" s="43" t="s">
        <v>737</v>
      </c>
      <c r="E324" s="43" t="s">
        <v>738</v>
      </c>
      <c r="F324" s="6">
        <v>472000</v>
      </c>
      <c r="G324" s="47" t="s">
        <v>493</v>
      </c>
      <c r="H324" s="12">
        <v>998314</v>
      </c>
      <c r="I324" s="6">
        <v>0</v>
      </c>
      <c r="J324" s="6">
        <v>0</v>
      </c>
      <c r="K324" s="6">
        <v>72000</v>
      </c>
      <c r="L324" s="4">
        <v>0</v>
      </c>
      <c r="M324" s="12" t="s">
        <v>571</v>
      </c>
      <c r="N324" s="13">
        <f t="shared" si="12"/>
        <v>72000</v>
      </c>
    </row>
    <row r="325" spans="1:14" s="14" customFormat="1">
      <c r="A325" s="12">
        <v>324</v>
      </c>
      <c r="B325" s="3" t="s">
        <v>739</v>
      </c>
      <c r="C325" s="43" t="s">
        <v>740</v>
      </c>
      <c r="D325" s="43" t="s">
        <v>741</v>
      </c>
      <c r="E325" s="43" t="s">
        <v>742</v>
      </c>
      <c r="F325" s="6">
        <v>2650</v>
      </c>
      <c r="G325" s="45" t="s">
        <v>156</v>
      </c>
      <c r="H325" s="14">
        <v>84798920</v>
      </c>
      <c r="I325" s="6">
        <v>0</v>
      </c>
      <c r="J325" s="6">
        <v>0</v>
      </c>
      <c r="K325" s="6">
        <v>404.24</v>
      </c>
      <c r="L325" s="4">
        <v>0</v>
      </c>
      <c r="M325" s="14" t="s">
        <v>157</v>
      </c>
      <c r="N325" s="15" t="s">
        <v>202</v>
      </c>
    </row>
    <row r="326" spans="1:14">
      <c r="A326" s="12">
        <v>325</v>
      </c>
      <c r="B326" s="3" t="s">
        <v>257</v>
      </c>
      <c r="C326" s="43" t="s">
        <v>258</v>
      </c>
      <c r="D326" s="43" t="s">
        <v>743</v>
      </c>
      <c r="E326" s="43" t="s">
        <v>744</v>
      </c>
      <c r="F326" s="6">
        <v>139240</v>
      </c>
      <c r="G326" s="47" t="s">
        <v>493</v>
      </c>
      <c r="H326" s="12">
        <v>9983</v>
      </c>
      <c r="I326" s="6">
        <v>0</v>
      </c>
      <c r="J326" s="6">
        <v>0</v>
      </c>
      <c r="K326" s="6">
        <v>21240</v>
      </c>
      <c r="L326" s="4">
        <v>0</v>
      </c>
      <c r="M326" s="12" t="s">
        <v>571</v>
      </c>
      <c r="N326" s="13">
        <f t="shared" si="12"/>
        <v>21240</v>
      </c>
    </row>
    <row r="327" spans="1:14">
      <c r="A327" s="12">
        <v>326</v>
      </c>
      <c r="B327" s="3" t="s">
        <v>528</v>
      </c>
      <c r="C327" s="43" t="s">
        <v>529</v>
      </c>
      <c r="D327" s="43" t="s">
        <v>745</v>
      </c>
      <c r="E327" s="43" t="s">
        <v>44</v>
      </c>
      <c r="F327" s="6">
        <v>29.5</v>
      </c>
      <c r="G327" s="47" t="s">
        <v>493</v>
      </c>
      <c r="H327" s="12">
        <v>9971</v>
      </c>
      <c r="I327" s="6">
        <v>2.25</v>
      </c>
      <c r="J327" s="6">
        <v>2.25</v>
      </c>
      <c r="K327" s="6">
        <v>0</v>
      </c>
      <c r="L327" s="4">
        <v>0</v>
      </c>
      <c r="M327" s="12" t="s">
        <v>571</v>
      </c>
      <c r="N327" s="13">
        <f t="shared" si="12"/>
        <v>4.5</v>
      </c>
    </row>
    <row r="328" spans="1:14">
      <c r="A328" s="12">
        <v>327</v>
      </c>
      <c r="B328" s="3" t="s">
        <v>528</v>
      </c>
      <c r="C328" s="43" t="s">
        <v>529</v>
      </c>
      <c r="D328" s="43" t="s">
        <v>746</v>
      </c>
      <c r="E328" s="43" t="s">
        <v>30</v>
      </c>
      <c r="F328" s="6">
        <v>29.5</v>
      </c>
      <c r="G328" s="47" t="s">
        <v>493</v>
      </c>
      <c r="H328" s="12">
        <v>9971</v>
      </c>
      <c r="I328" s="6">
        <v>2.25</v>
      </c>
      <c r="J328" s="6">
        <v>2.25</v>
      </c>
      <c r="K328" s="6">
        <v>0</v>
      </c>
      <c r="L328" s="4">
        <v>0</v>
      </c>
      <c r="M328" s="12" t="s">
        <v>571</v>
      </c>
      <c r="N328" s="13">
        <f t="shared" si="12"/>
        <v>4.5</v>
      </c>
    </row>
    <row r="329" spans="1:14">
      <c r="A329" s="12">
        <v>328</v>
      </c>
      <c r="B329" s="3" t="s">
        <v>528</v>
      </c>
      <c r="C329" s="43" t="s">
        <v>529</v>
      </c>
      <c r="D329" s="43" t="s">
        <v>747</v>
      </c>
      <c r="E329" s="43" t="s">
        <v>30</v>
      </c>
      <c r="F329" s="6">
        <v>706.82</v>
      </c>
      <c r="G329" s="47" t="s">
        <v>493</v>
      </c>
      <c r="H329" s="12">
        <v>9971</v>
      </c>
      <c r="I329" s="6">
        <v>53.91</v>
      </c>
      <c r="J329" s="6">
        <v>53.91</v>
      </c>
      <c r="K329" s="6">
        <v>0</v>
      </c>
      <c r="L329" s="4">
        <v>0</v>
      </c>
      <c r="M329" s="12" t="s">
        <v>571</v>
      </c>
      <c r="N329" s="13">
        <f t="shared" si="12"/>
        <v>107.82</v>
      </c>
    </row>
    <row r="330" spans="1:14">
      <c r="A330" s="12">
        <v>329</v>
      </c>
      <c r="B330" s="3" t="s">
        <v>499</v>
      </c>
      <c r="C330" s="43" t="s">
        <v>500</v>
      </c>
      <c r="D330" s="43" t="s">
        <v>748</v>
      </c>
      <c r="E330" s="43" t="s">
        <v>749</v>
      </c>
      <c r="F330" s="6">
        <v>5027.84</v>
      </c>
      <c r="G330" s="47" t="s">
        <v>493</v>
      </c>
      <c r="H330" s="12">
        <v>9971</v>
      </c>
      <c r="I330" s="6">
        <v>0</v>
      </c>
      <c r="J330" s="6">
        <v>0</v>
      </c>
      <c r="K330" s="6">
        <v>766.96</v>
      </c>
      <c r="L330" s="4">
        <v>0</v>
      </c>
      <c r="M330" s="12" t="s">
        <v>571</v>
      </c>
      <c r="N330" s="13">
        <f t="shared" si="12"/>
        <v>766.96</v>
      </c>
    </row>
    <row r="331" spans="1:14">
      <c r="A331" s="12">
        <v>330</v>
      </c>
      <c r="B331" s="3" t="s">
        <v>499</v>
      </c>
      <c r="C331" s="43" t="s">
        <v>500</v>
      </c>
      <c r="D331" s="43" t="s">
        <v>750</v>
      </c>
      <c r="E331" s="43" t="s">
        <v>751</v>
      </c>
      <c r="F331" s="6">
        <v>5033.68</v>
      </c>
      <c r="G331" s="47" t="s">
        <v>493</v>
      </c>
      <c r="H331" s="12">
        <v>9971</v>
      </c>
      <c r="I331" s="6">
        <v>0</v>
      </c>
      <c r="J331" s="6">
        <v>0</v>
      </c>
      <c r="K331" s="6">
        <v>767.85</v>
      </c>
      <c r="L331" s="4">
        <v>0</v>
      </c>
      <c r="M331" s="12" t="s">
        <v>571</v>
      </c>
      <c r="N331" s="13">
        <f t="shared" si="12"/>
        <v>767.85</v>
      </c>
    </row>
    <row r="332" spans="1:14">
      <c r="A332" s="12">
        <v>331</v>
      </c>
      <c r="B332" s="3" t="s">
        <v>499</v>
      </c>
      <c r="C332" s="43" t="s">
        <v>500</v>
      </c>
      <c r="D332" s="43" t="s">
        <v>752</v>
      </c>
      <c r="E332" s="43" t="s">
        <v>451</v>
      </c>
      <c r="F332" s="6">
        <v>5064.87</v>
      </c>
      <c r="G332" s="47" t="s">
        <v>493</v>
      </c>
      <c r="H332" s="12">
        <v>9971</v>
      </c>
      <c r="I332" s="6">
        <v>0</v>
      </c>
      <c r="J332" s="6">
        <v>0</v>
      </c>
      <c r="K332" s="6">
        <v>772.61</v>
      </c>
      <c r="L332" s="4">
        <v>0</v>
      </c>
      <c r="M332" s="12" t="s">
        <v>571</v>
      </c>
      <c r="N332" s="13">
        <f t="shared" si="12"/>
        <v>772.61</v>
      </c>
    </row>
    <row r="333" spans="1:14">
      <c r="A333" s="12">
        <v>332</v>
      </c>
      <c r="B333" s="3" t="s">
        <v>499</v>
      </c>
      <c r="C333" s="43" t="s">
        <v>500</v>
      </c>
      <c r="D333" s="43" t="s">
        <v>753</v>
      </c>
      <c r="E333" s="43" t="s">
        <v>754</v>
      </c>
      <c r="F333" s="6">
        <v>5047.72</v>
      </c>
      <c r="G333" s="47" t="s">
        <v>493</v>
      </c>
      <c r="H333" s="12">
        <v>9971</v>
      </c>
      <c r="I333" s="6">
        <v>0</v>
      </c>
      <c r="J333" s="6">
        <v>0</v>
      </c>
      <c r="K333" s="6">
        <v>769.99</v>
      </c>
      <c r="L333" s="4">
        <v>0</v>
      </c>
      <c r="M333" s="12" t="s">
        <v>571</v>
      </c>
      <c r="N333" s="13">
        <f t="shared" si="12"/>
        <v>769.99</v>
      </c>
    </row>
    <row r="334" spans="1:14">
      <c r="A334" s="12">
        <v>333</v>
      </c>
      <c r="B334" s="3" t="s">
        <v>499</v>
      </c>
      <c r="C334" s="43" t="s">
        <v>500</v>
      </c>
      <c r="D334" s="43" t="s">
        <v>755</v>
      </c>
      <c r="E334" s="43" t="s">
        <v>754</v>
      </c>
      <c r="F334" s="6">
        <v>5543.58</v>
      </c>
      <c r="G334" s="47" t="s">
        <v>493</v>
      </c>
      <c r="H334" s="12">
        <v>9971</v>
      </c>
      <c r="I334" s="6">
        <v>0</v>
      </c>
      <c r="J334" s="6">
        <v>0</v>
      </c>
      <c r="K334" s="6">
        <v>845.63</v>
      </c>
      <c r="L334" s="4">
        <v>0</v>
      </c>
      <c r="M334" s="12" t="s">
        <v>571</v>
      </c>
      <c r="N334" s="13">
        <f t="shared" si="12"/>
        <v>845.63</v>
      </c>
    </row>
    <row r="335" spans="1:14">
      <c r="A335" s="12">
        <v>334</v>
      </c>
      <c r="B335" s="3" t="s">
        <v>499</v>
      </c>
      <c r="C335" s="43" t="s">
        <v>500</v>
      </c>
      <c r="D335" s="43" t="s">
        <v>756</v>
      </c>
      <c r="E335" s="43" t="s">
        <v>757</v>
      </c>
      <c r="F335" s="6">
        <v>5071.5</v>
      </c>
      <c r="G335" s="47" t="s">
        <v>493</v>
      </c>
      <c r="H335" s="12">
        <v>9971</v>
      </c>
      <c r="I335" s="6">
        <v>0</v>
      </c>
      <c r="J335" s="6">
        <v>0</v>
      </c>
      <c r="K335" s="6">
        <v>773.62</v>
      </c>
      <c r="L335" s="4">
        <v>0</v>
      </c>
      <c r="M335" s="12" t="s">
        <v>571</v>
      </c>
      <c r="N335" s="13">
        <f t="shared" si="12"/>
        <v>773.62</v>
      </c>
    </row>
    <row r="336" spans="1:14">
      <c r="A336" s="12">
        <v>335</v>
      </c>
      <c r="B336" s="3" t="s">
        <v>758</v>
      </c>
      <c r="C336" s="43" t="s">
        <v>759</v>
      </c>
      <c r="D336" s="43" t="s">
        <v>760</v>
      </c>
      <c r="E336" s="43" t="s">
        <v>761</v>
      </c>
      <c r="F336" s="6">
        <v>590000</v>
      </c>
      <c r="G336" s="47" t="s">
        <v>493</v>
      </c>
      <c r="H336" s="12">
        <v>998311</v>
      </c>
      <c r="I336" s="6">
        <v>0</v>
      </c>
      <c r="J336" s="6">
        <v>0</v>
      </c>
      <c r="K336" s="6">
        <v>90000</v>
      </c>
      <c r="L336" s="4">
        <v>0</v>
      </c>
      <c r="M336" s="12" t="s">
        <v>571</v>
      </c>
      <c r="N336" s="13">
        <f t="shared" si="12"/>
        <v>90000</v>
      </c>
    </row>
    <row r="337" spans="1:14" ht="15" customHeight="1">
      <c r="A337" s="12">
        <v>336</v>
      </c>
      <c r="B337" s="3" t="s">
        <v>758</v>
      </c>
      <c r="C337" s="43" t="s">
        <v>759</v>
      </c>
      <c r="D337" s="43" t="s">
        <v>762</v>
      </c>
      <c r="E337" s="43" t="s">
        <v>761</v>
      </c>
      <c r="F337" s="6">
        <v>885000</v>
      </c>
      <c r="G337" s="47" t="s">
        <v>493</v>
      </c>
      <c r="H337" s="12">
        <v>998311</v>
      </c>
      <c r="I337" s="6">
        <v>0</v>
      </c>
      <c r="J337" s="6">
        <v>0</v>
      </c>
      <c r="K337" s="6">
        <v>135000</v>
      </c>
      <c r="L337" s="4">
        <v>0</v>
      </c>
      <c r="M337" s="12" t="s">
        <v>571</v>
      </c>
      <c r="N337" s="13">
        <f t="shared" si="12"/>
        <v>135000</v>
      </c>
    </row>
    <row r="338" spans="1:14" s="14" customFormat="1">
      <c r="A338" s="12">
        <v>337</v>
      </c>
      <c r="B338" s="3" t="s">
        <v>763</v>
      </c>
      <c r="C338" s="43" t="s">
        <v>764</v>
      </c>
      <c r="D338" s="43" t="s">
        <v>765</v>
      </c>
      <c r="E338" s="43" t="s">
        <v>766</v>
      </c>
      <c r="F338" s="6">
        <v>3405</v>
      </c>
      <c r="G338" s="45" t="s">
        <v>493</v>
      </c>
      <c r="H338" s="14">
        <v>998729</v>
      </c>
      <c r="I338" s="6">
        <v>0</v>
      </c>
      <c r="J338" s="6">
        <v>0</v>
      </c>
      <c r="K338" s="6">
        <v>519.48</v>
      </c>
      <c r="L338" s="4">
        <v>0</v>
      </c>
      <c r="M338" s="14" t="s">
        <v>157</v>
      </c>
      <c r="N338" s="15" t="s">
        <v>202</v>
      </c>
    </row>
    <row r="339" spans="1:14" s="14" customFormat="1">
      <c r="A339" s="12">
        <v>338</v>
      </c>
      <c r="B339" s="3" t="s">
        <v>763</v>
      </c>
      <c r="C339" s="43" t="s">
        <v>764</v>
      </c>
      <c r="D339" s="43" t="s">
        <v>767</v>
      </c>
      <c r="E339" s="43" t="s">
        <v>766</v>
      </c>
      <c r="F339" s="6">
        <v>5095</v>
      </c>
      <c r="G339" s="45" t="s">
        <v>493</v>
      </c>
      <c r="H339" s="14">
        <v>87089900</v>
      </c>
      <c r="I339" s="6">
        <v>401.71</v>
      </c>
      <c r="J339" s="6">
        <v>401.71</v>
      </c>
      <c r="K339" s="6">
        <v>0</v>
      </c>
      <c r="L339" s="4">
        <v>0</v>
      </c>
      <c r="M339" s="14" t="s">
        <v>157</v>
      </c>
      <c r="N339" s="15" t="s">
        <v>202</v>
      </c>
    </row>
    <row r="340" spans="1:14">
      <c r="A340" s="12">
        <v>339</v>
      </c>
      <c r="B340" s="3" t="s">
        <v>768</v>
      </c>
      <c r="C340" s="43" t="s">
        <v>769</v>
      </c>
      <c r="D340" s="43" t="s">
        <v>760</v>
      </c>
      <c r="E340" s="43" t="s">
        <v>46</v>
      </c>
      <c r="F340" s="6">
        <v>590000</v>
      </c>
      <c r="G340" s="47" t="s">
        <v>493</v>
      </c>
      <c r="H340" s="12">
        <v>998311</v>
      </c>
      <c r="I340" s="6">
        <v>45000</v>
      </c>
      <c r="J340" s="6">
        <v>45000</v>
      </c>
      <c r="K340" s="6">
        <v>0</v>
      </c>
      <c r="L340" s="4">
        <v>0</v>
      </c>
      <c r="M340" s="12" t="s">
        <v>571</v>
      </c>
      <c r="N340" s="13">
        <f t="shared" si="12"/>
        <v>90000</v>
      </c>
    </row>
    <row r="341" spans="1:14">
      <c r="A341" s="12">
        <v>340</v>
      </c>
      <c r="B341" s="3" t="s">
        <v>768</v>
      </c>
      <c r="C341" s="43" t="s">
        <v>769</v>
      </c>
      <c r="D341" s="43" t="s">
        <v>762</v>
      </c>
      <c r="E341" s="43" t="s">
        <v>46</v>
      </c>
      <c r="F341" s="6">
        <v>885000</v>
      </c>
      <c r="G341" s="47" t="s">
        <v>493</v>
      </c>
      <c r="H341" s="12">
        <v>998311</v>
      </c>
      <c r="I341" s="6">
        <v>67500</v>
      </c>
      <c r="J341" s="6">
        <v>67500</v>
      </c>
      <c r="K341" s="6">
        <v>0</v>
      </c>
      <c r="L341" s="4">
        <v>0</v>
      </c>
      <c r="M341" s="12" t="s">
        <v>571</v>
      </c>
      <c r="N341" s="13">
        <f t="shared" si="12"/>
        <v>135000</v>
      </c>
    </row>
    <row r="342" spans="1:14" s="14" customFormat="1">
      <c r="A342" s="12">
        <v>341</v>
      </c>
      <c r="B342" s="3" t="s">
        <v>770</v>
      </c>
      <c r="C342" s="43" t="s">
        <v>771</v>
      </c>
      <c r="D342" s="43" t="s">
        <v>772</v>
      </c>
      <c r="E342" s="43" t="s">
        <v>773</v>
      </c>
      <c r="F342" s="6">
        <v>371</v>
      </c>
      <c r="G342" s="45" t="s">
        <v>182</v>
      </c>
      <c r="H342" s="14">
        <v>3923</v>
      </c>
      <c r="I342" s="6">
        <v>28.3</v>
      </c>
      <c r="J342" s="6">
        <v>28.3</v>
      </c>
      <c r="K342" s="6">
        <v>0</v>
      </c>
      <c r="L342" s="4">
        <v>0</v>
      </c>
      <c r="M342" s="14" t="s">
        <v>157</v>
      </c>
      <c r="N342" s="15" t="s">
        <v>202</v>
      </c>
    </row>
    <row r="343" spans="1:14">
      <c r="A343" s="12">
        <v>342</v>
      </c>
      <c r="B343" s="3" t="s">
        <v>499</v>
      </c>
      <c r="C343" s="43" t="s">
        <v>500</v>
      </c>
      <c r="D343" s="43" t="s">
        <v>774</v>
      </c>
      <c r="E343" s="43" t="s">
        <v>775</v>
      </c>
      <c r="F343" s="6">
        <v>5112.5600000000004</v>
      </c>
      <c r="G343" s="47" t="s">
        <v>493</v>
      </c>
      <c r="H343" s="12">
        <v>9971</v>
      </c>
      <c r="I343" s="6">
        <v>0</v>
      </c>
      <c r="J343" s="6">
        <v>0</v>
      </c>
      <c r="K343" s="6">
        <v>779.88</v>
      </c>
      <c r="L343" s="4">
        <v>0</v>
      </c>
      <c r="M343" s="12" t="s">
        <v>571</v>
      </c>
      <c r="N343" s="13">
        <f t="shared" si="12"/>
        <v>779.88</v>
      </c>
    </row>
    <row r="344" spans="1:14">
      <c r="A344" s="12">
        <v>343</v>
      </c>
      <c r="B344" s="3" t="s">
        <v>499</v>
      </c>
      <c r="C344" s="43" t="s">
        <v>500</v>
      </c>
      <c r="D344" s="43" t="s">
        <v>776</v>
      </c>
      <c r="E344" s="43" t="s">
        <v>777</v>
      </c>
      <c r="F344" s="6">
        <v>5082.41</v>
      </c>
      <c r="G344" s="47" t="s">
        <v>493</v>
      </c>
      <c r="H344" s="12">
        <v>9971</v>
      </c>
      <c r="I344" s="6">
        <v>0</v>
      </c>
      <c r="J344" s="6">
        <v>0</v>
      </c>
      <c r="K344" s="6">
        <v>775.28</v>
      </c>
      <c r="L344" s="4">
        <v>0</v>
      </c>
      <c r="M344" s="12" t="s">
        <v>571</v>
      </c>
      <c r="N344" s="13">
        <f t="shared" si="12"/>
        <v>775.28</v>
      </c>
    </row>
    <row r="345" spans="1:14">
      <c r="A345" s="12">
        <v>344</v>
      </c>
      <c r="B345" s="3" t="s">
        <v>758</v>
      </c>
      <c r="C345" s="43" t="s">
        <v>759</v>
      </c>
      <c r="D345" s="43" t="s">
        <v>778</v>
      </c>
      <c r="E345" s="43" t="s">
        <v>779</v>
      </c>
      <c r="F345" s="6">
        <v>590000</v>
      </c>
      <c r="G345" s="47" t="s">
        <v>493</v>
      </c>
      <c r="H345" s="12">
        <v>998311</v>
      </c>
      <c r="I345" s="6">
        <v>0</v>
      </c>
      <c r="J345" s="6">
        <v>0</v>
      </c>
      <c r="K345" s="6">
        <v>90000</v>
      </c>
      <c r="L345" s="4">
        <v>0</v>
      </c>
      <c r="M345" s="12" t="s">
        <v>571</v>
      </c>
      <c r="N345" s="13">
        <f t="shared" si="12"/>
        <v>90000</v>
      </c>
    </row>
    <row r="346" spans="1:14">
      <c r="A346" s="12">
        <v>345</v>
      </c>
      <c r="B346" s="3" t="s">
        <v>528</v>
      </c>
      <c r="C346" s="43" t="s">
        <v>529</v>
      </c>
      <c r="D346" s="43" t="s">
        <v>780</v>
      </c>
      <c r="E346" s="43" t="s">
        <v>781</v>
      </c>
      <c r="F346" s="6">
        <v>5076.45</v>
      </c>
      <c r="G346" s="47" t="s">
        <v>493</v>
      </c>
      <c r="H346" s="12">
        <v>9971</v>
      </c>
      <c r="I346" s="6">
        <v>387.19</v>
      </c>
      <c r="J346" s="6">
        <v>387.19</v>
      </c>
      <c r="K346" s="6">
        <v>0</v>
      </c>
      <c r="L346" s="4">
        <v>0</v>
      </c>
      <c r="M346" s="12" t="s">
        <v>571</v>
      </c>
      <c r="N346" s="13">
        <f t="shared" si="12"/>
        <v>774.38</v>
      </c>
    </row>
    <row r="347" spans="1:14">
      <c r="A347" s="12">
        <v>346</v>
      </c>
      <c r="B347" s="3" t="s">
        <v>528</v>
      </c>
      <c r="C347" s="43" t="s">
        <v>529</v>
      </c>
      <c r="D347" s="43" t="s">
        <v>782</v>
      </c>
      <c r="E347" s="43" t="s">
        <v>783</v>
      </c>
      <c r="F347" s="6">
        <v>29.5</v>
      </c>
      <c r="G347" s="47" t="s">
        <v>493</v>
      </c>
      <c r="H347" s="12">
        <v>9971</v>
      </c>
      <c r="I347" s="6">
        <v>2.25</v>
      </c>
      <c r="J347" s="6">
        <v>2.25</v>
      </c>
      <c r="K347" s="6">
        <v>0</v>
      </c>
      <c r="L347" s="4">
        <v>0</v>
      </c>
      <c r="M347" s="12" t="s">
        <v>571</v>
      </c>
      <c r="N347" s="13">
        <f t="shared" si="12"/>
        <v>4.5</v>
      </c>
    </row>
    <row r="348" spans="1:14">
      <c r="A348" s="12">
        <v>347</v>
      </c>
      <c r="B348" s="3" t="s">
        <v>768</v>
      </c>
      <c r="C348" s="43" t="s">
        <v>769</v>
      </c>
      <c r="D348" s="43" t="s">
        <v>778</v>
      </c>
      <c r="E348" s="43" t="s">
        <v>779</v>
      </c>
      <c r="F348" s="6">
        <v>590000</v>
      </c>
      <c r="G348" s="47" t="s">
        <v>493</v>
      </c>
      <c r="H348" s="12">
        <v>998311</v>
      </c>
      <c r="I348" s="6">
        <v>45000</v>
      </c>
      <c r="J348" s="6">
        <v>45000</v>
      </c>
      <c r="K348" s="6">
        <v>0</v>
      </c>
      <c r="L348" s="4">
        <v>0</v>
      </c>
      <c r="M348" s="12" t="s">
        <v>571</v>
      </c>
      <c r="N348" s="13">
        <f t="shared" si="12"/>
        <v>90000</v>
      </c>
    </row>
    <row r="349" spans="1:14">
      <c r="A349" s="12">
        <v>348</v>
      </c>
      <c r="B349" s="3" t="s">
        <v>499</v>
      </c>
      <c r="C349" s="43" t="s">
        <v>500</v>
      </c>
      <c r="D349" s="43" t="s">
        <v>784</v>
      </c>
      <c r="E349" s="43" t="s">
        <v>785</v>
      </c>
      <c r="F349" s="6">
        <v>5099.57</v>
      </c>
      <c r="G349" s="47" t="s">
        <v>493</v>
      </c>
      <c r="H349" s="12">
        <v>9971</v>
      </c>
      <c r="I349" s="6">
        <v>0</v>
      </c>
      <c r="J349" s="6">
        <v>0</v>
      </c>
      <c r="K349" s="6">
        <v>777.9</v>
      </c>
      <c r="L349" s="4">
        <v>0</v>
      </c>
      <c r="M349" s="12" t="s">
        <v>571</v>
      </c>
      <c r="N349" s="13">
        <f t="shared" si="12"/>
        <v>777.9</v>
      </c>
    </row>
    <row r="350" spans="1:14">
      <c r="A350" s="12">
        <v>349</v>
      </c>
      <c r="B350" s="3" t="s">
        <v>499</v>
      </c>
      <c r="C350" s="43" t="s">
        <v>500</v>
      </c>
      <c r="D350" s="43" t="s">
        <v>786</v>
      </c>
      <c r="E350" s="43" t="s">
        <v>477</v>
      </c>
      <c r="F350" s="6">
        <v>5027.58</v>
      </c>
      <c r="G350" s="47" t="s">
        <v>493</v>
      </c>
      <c r="H350" s="12">
        <v>9971</v>
      </c>
      <c r="I350" s="6">
        <v>0</v>
      </c>
      <c r="J350" s="6">
        <v>0</v>
      </c>
      <c r="K350" s="6">
        <v>766.92</v>
      </c>
      <c r="L350" s="4">
        <v>0</v>
      </c>
      <c r="M350" s="12" t="s">
        <v>571</v>
      </c>
      <c r="N350" s="13">
        <f t="shared" si="12"/>
        <v>766.92</v>
      </c>
    </row>
    <row r="351" spans="1:14">
      <c r="A351" s="12">
        <v>350</v>
      </c>
      <c r="B351" s="3" t="s">
        <v>257</v>
      </c>
      <c r="C351" s="43" t="s">
        <v>258</v>
      </c>
      <c r="D351" s="43" t="s">
        <v>787</v>
      </c>
      <c r="E351" s="43" t="s">
        <v>788</v>
      </c>
      <c r="F351" s="6">
        <v>46020</v>
      </c>
      <c r="G351" s="47" t="s">
        <v>493</v>
      </c>
      <c r="H351" s="12">
        <v>9983</v>
      </c>
      <c r="I351" s="6">
        <v>0</v>
      </c>
      <c r="J351" s="6">
        <v>0</v>
      </c>
      <c r="K351" s="6">
        <v>7020</v>
      </c>
      <c r="L351" s="4">
        <v>0</v>
      </c>
      <c r="M351" s="12" t="s">
        <v>571</v>
      </c>
      <c r="N351" s="13">
        <f t="shared" si="12"/>
        <v>7020</v>
      </c>
    </row>
    <row r="352" spans="1:14">
      <c r="A352" s="12">
        <v>351</v>
      </c>
      <c r="B352" s="3" t="s">
        <v>257</v>
      </c>
      <c r="C352" s="43" t="s">
        <v>258</v>
      </c>
      <c r="D352" s="43" t="s">
        <v>789</v>
      </c>
      <c r="E352" s="43" t="s">
        <v>59</v>
      </c>
      <c r="F352" s="6">
        <v>155170</v>
      </c>
      <c r="G352" s="47" t="s">
        <v>493</v>
      </c>
      <c r="H352" s="12">
        <v>9983</v>
      </c>
      <c r="I352" s="6">
        <v>0</v>
      </c>
      <c r="J352" s="6">
        <v>0</v>
      </c>
      <c r="K352" s="6">
        <v>23670</v>
      </c>
      <c r="L352" s="4">
        <v>0</v>
      </c>
      <c r="M352" s="12" t="s">
        <v>571</v>
      </c>
      <c r="N352" s="13">
        <f t="shared" si="12"/>
        <v>23670</v>
      </c>
    </row>
    <row r="353" spans="1:14">
      <c r="A353" s="12">
        <v>352</v>
      </c>
      <c r="B353" s="3" t="s">
        <v>509</v>
      </c>
      <c r="C353" s="43" t="s">
        <v>510</v>
      </c>
      <c r="D353" s="43" t="s">
        <v>790</v>
      </c>
      <c r="E353" s="43" t="s">
        <v>749</v>
      </c>
      <c r="F353" s="6">
        <v>472000</v>
      </c>
      <c r="G353" s="47" t="s">
        <v>493</v>
      </c>
      <c r="H353" s="12">
        <v>998314</v>
      </c>
      <c r="I353" s="6">
        <v>0</v>
      </c>
      <c r="J353" s="6">
        <v>0</v>
      </c>
      <c r="K353" s="6">
        <v>72000</v>
      </c>
      <c r="L353" s="4">
        <v>0</v>
      </c>
      <c r="M353" s="12" t="s">
        <v>571</v>
      </c>
      <c r="N353" s="13">
        <f t="shared" si="12"/>
        <v>72000</v>
      </c>
    </row>
    <row r="354" spans="1:14">
      <c r="A354" s="12">
        <v>353</v>
      </c>
      <c r="B354" s="3" t="s">
        <v>509</v>
      </c>
      <c r="C354" s="43" t="s">
        <v>510</v>
      </c>
      <c r="D354" s="43" t="s">
        <v>791</v>
      </c>
      <c r="E354" s="43" t="s">
        <v>46</v>
      </c>
      <c r="F354" s="6">
        <v>944000</v>
      </c>
      <c r="G354" s="47" t="s">
        <v>493</v>
      </c>
      <c r="H354" s="12">
        <v>998314</v>
      </c>
      <c r="I354" s="6">
        <v>0</v>
      </c>
      <c r="J354" s="6">
        <v>0</v>
      </c>
      <c r="K354" s="6">
        <v>144000</v>
      </c>
      <c r="L354" s="4">
        <v>0</v>
      </c>
      <c r="M354" s="12" t="s">
        <v>571</v>
      </c>
      <c r="N354" s="13">
        <f t="shared" si="12"/>
        <v>144000</v>
      </c>
    </row>
    <row r="355" spans="1:14">
      <c r="A355" s="12">
        <v>354</v>
      </c>
      <c r="B355" s="3" t="s">
        <v>509</v>
      </c>
      <c r="C355" s="43" t="s">
        <v>510</v>
      </c>
      <c r="D355" s="43" t="s">
        <v>792</v>
      </c>
      <c r="E355" s="43" t="s">
        <v>793</v>
      </c>
      <c r="F355" s="6">
        <v>59000</v>
      </c>
      <c r="G355" s="47" t="s">
        <v>493</v>
      </c>
      <c r="H355" s="12">
        <v>998314</v>
      </c>
      <c r="I355" s="6">
        <v>0</v>
      </c>
      <c r="J355" s="6">
        <v>0</v>
      </c>
      <c r="K355" s="6">
        <v>9000</v>
      </c>
      <c r="L355" s="4">
        <v>0</v>
      </c>
      <c r="M355" s="12" t="s">
        <v>571</v>
      </c>
      <c r="N355" s="13">
        <f t="shared" si="12"/>
        <v>9000</v>
      </c>
    </row>
    <row r="356" spans="1:14">
      <c r="A356" s="12">
        <v>355</v>
      </c>
      <c r="B356" s="3" t="s">
        <v>509</v>
      </c>
      <c r="C356" s="43" t="s">
        <v>510</v>
      </c>
      <c r="D356" s="43" t="s">
        <v>794</v>
      </c>
      <c r="E356" s="43" t="s">
        <v>793</v>
      </c>
      <c r="F356" s="6">
        <v>944000</v>
      </c>
      <c r="G356" s="47" t="s">
        <v>493</v>
      </c>
      <c r="H356" s="12">
        <v>998314</v>
      </c>
      <c r="I356" s="6">
        <v>0</v>
      </c>
      <c r="J356" s="6">
        <v>0</v>
      </c>
      <c r="K356" s="6">
        <v>144000</v>
      </c>
      <c r="L356" s="4">
        <v>0</v>
      </c>
      <c r="M356" s="12" t="s">
        <v>571</v>
      </c>
      <c r="N356" s="13">
        <f t="shared" si="12"/>
        <v>144000</v>
      </c>
    </row>
    <row r="357" spans="1:14">
      <c r="A357" s="12">
        <v>356</v>
      </c>
      <c r="B357" s="3" t="s">
        <v>557</v>
      </c>
      <c r="C357" s="43" t="s">
        <v>558</v>
      </c>
      <c r="D357" s="43" t="s">
        <v>795</v>
      </c>
      <c r="E357" s="43" t="s">
        <v>796</v>
      </c>
      <c r="F357" s="6">
        <v>264.89999999999998</v>
      </c>
      <c r="G357" s="47" t="s">
        <v>493</v>
      </c>
      <c r="H357" s="7" t="s">
        <v>561</v>
      </c>
      <c r="I357" s="6">
        <v>0</v>
      </c>
      <c r="J357" s="6">
        <v>0</v>
      </c>
      <c r="K357" s="6">
        <v>40.409999999999997</v>
      </c>
      <c r="L357" s="4">
        <v>0</v>
      </c>
      <c r="M357" s="12" t="s">
        <v>571</v>
      </c>
      <c r="N357" s="13">
        <f t="shared" si="12"/>
        <v>40.409999999999997</v>
      </c>
    </row>
    <row r="358" spans="1:14">
      <c r="A358" s="12">
        <v>357</v>
      </c>
      <c r="B358" s="3" t="s">
        <v>528</v>
      </c>
      <c r="C358" s="43" t="s">
        <v>529</v>
      </c>
      <c r="D358" s="43" t="s">
        <v>797</v>
      </c>
      <c r="E358" s="43" t="s">
        <v>798</v>
      </c>
      <c r="F358" s="6">
        <v>5109.83</v>
      </c>
      <c r="G358" s="47" t="s">
        <v>493</v>
      </c>
      <c r="H358" s="12">
        <v>9971</v>
      </c>
      <c r="I358" s="6">
        <v>389.73</v>
      </c>
      <c r="J358" s="6">
        <v>389.73</v>
      </c>
      <c r="K358" s="6">
        <v>0</v>
      </c>
      <c r="L358" s="4">
        <v>0</v>
      </c>
      <c r="M358" s="12" t="s">
        <v>571</v>
      </c>
      <c r="N358" s="13">
        <f t="shared" si="12"/>
        <v>779.46</v>
      </c>
    </row>
    <row r="359" spans="1:14">
      <c r="A359" s="12">
        <v>358</v>
      </c>
      <c r="B359" s="3" t="s">
        <v>528</v>
      </c>
      <c r="C359" s="43" t="s">
        <v>529</v>
      </c>
      <c r="D359" s="43" t="s">
        <v>799</v>
      </c>
      <c r="E359" s="43" t="s">
        <v>800</v>
      </c>
      <c r="F359" s="6">
        <v>5077.2299999999996</v>
      </c>
      <c r="G359" s="47" t="s">
        <v>493</v>
      </c>
      <c r="H359" s="12">
        <v>9971</v>
      </c>
      <c r="I359" s="6">
        <v>387.25</v>
      </c>
      <c r="J359" s="6">
        <v>387.25</v>
      </c>
      <c r="K359" s="6">
        <v>0</v>
      </c>
      <c r="L359" s="4">
        <v>0</v>
      </c>
      <c r="M359" s="12" t="s">
        <v>571</v>
      </c>
      <c r="N359" s="13">
        <f t="shared" si="12"/>
        <v>774.5</v>
      </c>
    </row>
    <row r="360" spans="1:14">
      <c r="A360" s="12">
        <v>359</v>
      </c>
      <c r="B360" s="3" t="s">
        <v>528</v>
      </c>
      <c r="C360" s="43" t="s">
        <v>529</v>
      </c>
      <c r="D360" s="43" t="s">
        <v>801</v>
      </c>
      <c r="E360" s="43" t="s">
        <v>802</v>
      </c>
      <c r="F360" s="6">
        <v>5063.04</v>
      </c>
      <c r="G360" s="47" t="s">
        <v>493</v>
      </c>
      <c r="H360" s="12">
        <v>9971</v>
      </c>
      <c r="I360" s="6">
        <v>386.16</v>
      </c>
      <c r="J360" s="6">
        <v>386.16</v>
      </c>
      <c r="K360" s="6">
        <v>0</v>
      </c>
      <c r="L360" s="4">
        <v>0</v>
      </c>
      <c r="M360" s="12" t="s">
        <v>571</v>
      </c>
      <c r="N360" s="13">
        <f t="shared" si="12"/>
        <v>772.32</v>
      </c>
    </row>
    <row r="361" spans="1:14">
      <c r="A361" s="12">
        <v>360</v>
      </c>
      <c r="B361" s="3" t="s">
        <v>528</v>
      </c>
      <c r="C361" s="43" t="s">
        <v>529</v>
      </c>
      <c r="D361" s="43" t="s">
        <v>803</v>
      </c>
      <c r="E361" s="43" t="s">
        <v>477</v>
      </c>
      <c r="F361" s="6">
        <v>982.2</v>
      </c>
      <c r="G361" s="47" t="s">
        <v>493</v>
      </c>
      <c r="H361" s="12">
        <v>9971</v>
      </c>
      <c r="I361" s="6">
        <v>74.91</v>
      </c>
      <c r="J361" s="6">
        <v>74.91</v>
      </c>
      <c r="K361" s="6">
        <v>0</v>
      </c>
      <c r="L361" s="4">
        <v>0</v>
      </c>
      <c r="M361" s="12" t="s">
        <v>571</v>
      </c>
      <c r="N361" s="13">
        <f t="shared" si="12"/>
        <v>149.82</v>
      </c>
    </row>
    <row r="362" spans="1:14">
      <c r="A362" s="12">
        <v>361</v>
      </c>
      <c r="B362" s="3" t="s">
        <v>528</v>
      </c>
      <c r="C362" s="43" t="s">
        <v>529</v>
      </c>
      <c r="D362" s="43" t="s">
        <v>804</v>
      </c>
      <c r="E362" s="43" t="s">
        <v>477</v>
      </c>
      <c r="F362" s="6">
        <v>29.5</v>
      </c>
      <c r="G362" s="47" t="s">
        <v>493</v>
      </c>
      <c r="H362" s="12">
        <v>9971</v>
      </c>
      <c r="I362" s="6">
        <v>2.25</v>
      </c>
      <c r="J362" s="6">
        <v>2.25</v>
      </c>
      <c r="K362" s="6">
        <v>0</v>
      </c>
      <c r="L362" s="4">
        <v>0</v>
      </c>
      <c r="M362" s="12" t="s">
        <v>571</v>
      </c>
      <c r="N362" s="13">
        <f t="shared" si="12"/>
        <v>4.5</v>
      </c>
    </row>
    <row r="363" spans="1:14" s="14" customFormat="1">
      <c r="A363" s="12">
        <v>362</v>
      </c>
      <c r="B363" s="3" t="s">
        <v>805</v>
      </c>
      <c r="C363" s="43" t="s">
        <v>806</v>
      </c>
      <c r="D363" s="43" t="s">
        <v>807</v>
      </c>
      <c r="E363" s="43" t="s">
        <v>59</v>
      </c>
      <c r="F363" s="6">
        <v>36.74</v>
      </c>
      <c r="G363" s="45" t="s">
        <v>493</v>
      </c>
      <c r="H363" s="14">
        <v>997158</v>
      </c>
      <c r="I363" s="6">
        <v>0</v>
      </c>
      <c r="J363" s="6">
        <v>0</v>
      </c>
      <c r="K363" s="6">
        <v>5.61</v>
      </c>
      <c r="L363" s="4">
        <v>0</v>
      </c>
      <c r="M363" s="14" t="s">
        <v>571</v>
      </c>
      <c r="N363" s="13">
        <f t="shared" si="12"/>
        <v>5.61</v>
      </c>
    </row>
    <row r="364" spans="1:14">
      <c r="A364" s="12">
        <v>363</v>
      </c>
      <c r="B364" s="3" t="s">
        <v>635</v>
      </c>
      <c r="C364" s="43" t="s">
        <v>636</v>
      </c>
      <c r="D364" s="43" t="s">
        <v>808</v>
      </c>
      <c r="E364" s="43" t="s">
        <v>809</v>
      </c>
      <c r="F364" s="6">
        <v>350616</v>
      </c>
      <c r="G364" s="47" t="s">
        <v>493</v>
      </c>
      <c r="H364" s="12">
        <v>9964</v>
      </c>
      <c r="I364" s="6">
        <v>18782.98</v>
      </c>
      <c r="J364" s="6">
        <v>18782.98</v>
      </c>
      <c r="K364" s="6">
        <v>0</v>
      </c>
      <c r="L364" s="4">
        <v>0</v>
      </c>
      <c r="M364" s="14" t="s">
        <v>571</v>
      </c>
      <c r="N364" s="13">
        <f t="shared" si="12"/>
        <v>37565.96</v>
      </c>
    </row>
    <row r="365" spans="1:14">
      <c r="A365" s="12">
        <v>364</v>
      </c>
      <c r="B365" s="3" t="s">
        <v>810</v>
      </c>
      <c r="C365" s="43" t="s">
        <v>811</v>
      </c>
      <c r="D365" s="43" t="s">
        <v>812</v>
      </c>
      <c r="E365" s="43" t="s">
        <v>813</v>
      </c>
      <c r="F365" s="6">
        <v>1180000</v>
      </c>
      <c r="G365" s="47" t="s">
        <v>493</v>
      </c>
      <c r="H365" s="12">
        <v>9983</v>
      </c>
      <c r="I365" s="6">
        <v>90000</v>
      </c>
      <c r="J365" s="6">
        <v>90000</v>
      </c>
      <c r="K365" s="6">
        <v>0</v>
      </c>
      <c r="L365" s="4">
        <v>0</v>
      </c>
      <c r="M365" s="14" t="s">
        <v>571</v>
      </c>
      <c r="N365" s="13">
        <f t="shared" si="12"/>
        <v>180000</v>
      </c>
    </row>
    <row r="366" spans="1:14">
      <c r="A366" s="12">
        <v>365</v>
      </c>
      <c r="B366" s="3" t="s">
        <v>814</v>
      </c>
      <c r="C366" s="43" t="s">
        <v>815</v>
      </c>
      <c r="D366" s="43" t="s">
        <v>816</v>
      </c>
      <c r="E366" s="43" t="s">
        <v>798</v>
      </c>
      <c r="F366" s="6">
        <v>24232</v>
      </c>
      <c r="G366" s="47" t="s">
        <v>493</v>
      </c>
      <c r="H366" s="29" t="s">
        <v>642</v>
      </c>
      <c r="I366" s="6">
        <v>1848</v>
      </c>
      <c r="J366" s="6">
        <v>1848</v>
      </c>
      <c r="K366" s="6">
        <v>0</v>
      </c>
      <c r="L366" s="4">
        <v>0</v>
      </c>
      <c r="M366" s="14" t="s">
        <v>157</v>
      </c>
      <c r="N366" s="15" t="s">
        <v>202</v>
      </c>
    </row>
    <row r="367" spans="1:14">
      <c r="A367" s="12">
        <v>366</v>
      </c>
      <c r="B367" s="3" t="s">
        <v>768</v>
      </c>
      <c r="C367" s="43" t="s">
        <v>769</v>
      </c>
      <c r="D367" s="43" t="s">
        <v>817</v>
      </c>
      <c r="E367" s="43" t="s">
        <v>818</v>
      </c>
      <c r="F367" s="6">
        <v>354000</v>
      </c>
      <c r="G367" s="47" t="s">
        <v>18</v>
      </c>
      <c r="H367" s="12">
        <v>998311</v>
      </c>
      <c r="I367" s="6">
        <v>27000</v>
      </c>
      <c r="J367" s="6">
        <v>27000</v>
      </c>
      <c r="K367" s="6">
        <v>0</v>
      </c>
      <c r="L367" s="4">
        <v>0</v>
      </c>
      <c r="M367" s="12" t="s">
        <v>19</v>
      </c>
      <c r="N367" s="13">
        <f t="shared" ref="N367:N404" si="13">SUM(I367:L367)</f>
        <v>54000</v>
      </c>
    </row>
    <row r="368" spans="1:14">
      <c r="A368" s="12">
        <v>367</v>
      </c>
      <c r="B368" s="3" t="s">
        <v>499</v>
      </c>
      <c r="C368" s="43" t="s">
        <v>500</v>
      </c>
      <c r="D368" s="43" t="s">
        <v>819</v>
      </c>
      <c r="E368" s="43" t="s">
        <v>818</v>
      </c>
      <c r="F368" s="6">
        <v>5019.78</v>
      </c>
      <c r="G368" s="47" t="s">
        <v>18</v>
      </c>
      <c r="H368" s="12">
        <v>9971</v>
      </c>
      <c r="I368" s="6">
        <v>0</v>
      </c>
      <c r="J368" s="6">
        <v>0</v>
      </c>
      <c r="K368" s="6">
        <v>765.73</v>
      </c>
      <c r="L368" s="4">
        <v>0</v>
      </c>
      <c r="M368" s="12" t="s">
        <v>19</v>
      </c>
      <c r="N368" s="13">
        <f t="shared" si="13"/>
        <v>765.73</v>
      </c>
    </row>
    <row r="369" spans="1:14">
      <c r="A369" s="12">
        <v>368</v>
      </c>
      <c r="B369" s="3" t="s">
        <v>758</v>
      </c>
      <c r="C369" s="43" t="s">
        <v>759</v>
      </c>
      <c r="D369" s="43" t="s">
        <v>817</v>
      </c>
      <c r="E369" s="43" t="s">
        <v>820</v>
      </c>
      <c r="F369" s="6">
        <v>354000</v>
      </c>
      <c r="G369" s="47" t="s">
        <v>18</v>
      </c>
      <c r="H369" s="12">
        <v>998311</v>
      </c>
      <c r="I369" s="6">
        <v>0</v>
      </c>
      <c r="J369" s="6">
        <v>0</v>
      </c>
      <c r="K369" s="6">
        <v>54000</v>
      </c>
      <c r="L369" s="4">
        <v>0</v>
      </c>
      <c r="M369" s="12" t="s">
        <v>19</v>
      </c>
      <c r="N369" s="13">
        <f t="shared" si="13"/>
        <v>54000</v>
      </c>
    </row>
    <row r="370" spans="1:14">
      <c r="A370" s="12">
        <v>369</v>
      </c>
      <c r="B370" s="3" t="s">
        <v>520</v>
      </c>
      <c r="C370" s="43" t="s">
        <v>521</v>
      </c>
      <c r="D370" s="43" t="s">
        <v>821</v>
      </c>
      <c r="E370" s="43" t="s">
        <v>822</v>
      </c>
      <c r="F370" s="6">
        <v>6357.84</v>
      </c>
      <c r="G370" s="47" t="s">
        <v>18</v>
      </c>
      <c r="H370" s="12">
        <v>998422</v>
      </c>
      <c r="I370" s="6">
        <v>484.92</v>
      </c>
      <c r="J370" s="6">
        <v>484.92</v>
      </c>
      <c r="K370" s="6">
        <v>0</v>
      </c>
      <c r="L370" s="4">
        <v>0</v>
      </c>
      <c r="M370" s="12" t="s">
        <v>19</v>
      </c>
      <c r="N370" s="13">
        <f t="shared" si="13"/>
        <v>969.84</v>
      </c>
    </row>
    <row r="371" spans="1:14">
      <c r="A371" s="12">
        <v>370</v>
      </c>
      <c r="B371" s="3" t="s">
        <v>528</v>
      </c>
      <c r="C371" s="43" t="s">
        <v>529</v>
      </c>
      <c r="D371" s="43" t="s">
        <v>823</v>
      </c>
      <c r="E371" s="43" t="s">
        <v>66</v>
      </c>
      <c r="F371" s="6">
        <v>5018.2299999999996</v>
      </c>
      <c r="G371" s="47" t="s">
        <v>18</v>
      </c>
      <c r="H371" s="12">
        <v>9971</v>
      </c>
      <c r="I371" s="6">
        <v>382.75</v>
      </c>
      <c r="J371" s="6">
        <v>382.75</v>
      </c>
      <c r="K371" s="6">
        <v>0</v>
      </c>
      <c r="L371" s="4">
        <v>0</v>
      </c>
      <c r="M371" s="12" t="s">
        <v>19</v>
      </c>
      <c r="N371" s="13">
        <f t="shared" si="13"/>
        <v>765.5</v>
      </c>
    </row>
    <row r="372" spans="1:14">
      <c r="A372" s="12">
        <v>371</v>
      </c>
      <c r="B372" s="3" t="s">
        <v>528</v>
      </c>
      <c r="C372" s="43" t="s">
        <v>529</v>
      </c>
      <c r="D372" s="43" t="s">
        <v>824</v>
      </c>
      <c r="E372" s="43" t="s">
        <v>825</v>
      </c>
      <c r="F372" s="6">
        <v>5063.5600000000004</v>
      </c>
      <c r="G372" s="47" t="s">
        <v>18</v>
      </c>
      <c r="H372" s="12">
        <v>9971</v>
      </c>
      <c r="I372" s="6">
        <v>386.2</v>
      </c>
      <c r="J372" s="6">
        <v>386.2</v>
      </c>
      <c r="K372" s="6">
        <v>0</v>
      </c>
      <c r="L372" s="4">
        <v>0</v>
      </c>
      <c r="M372" s="12" t="s">
        <v>19</v>
      </c>
      <c r="N372" s="13">
        <f t="shared" si="13"/>
        <v>772.4</v>
      </c>
    </row>
    <row r="373" spans="1:14">
      <c r="A373" s="12">
        <v>372</v>
      </c>
      <c r="B373" s="3" t="s">
        <v>528</v>
      </c>
      <c r="C373" s="43" t="s">
        <v>529</v>
      </c>
      <c r="D373" s="43" t="s">
        <v>826</v>
      </c>
      <c r="E373" s="43" t="s">
        <v>827</v>
      </c>
      <c r="F373" s="6">
        <v>5008.6000000000004</v>
      </c>
      <c r="G373" s="47" t="s">
        <v>18</v>
      </c>
      <c r="H373" s="12">
        <v>9971</v>
      </c>
      <c r="I373" s="6">
        <v>382.01</v>
      </c>
      <c r="J373" s="6">
        <v>382.01</v>
      </c>
      <c r="K373" s="6">
        <v>0</v>
      </c>
      <c r="L373" s="4">
        <v>0</v>
      </c>
      <c r="M373" s="12" t="s">
        <v>19</v>
      </c>
      <c r="N373" s="13">
        <f t="shared" si="13"/>
        <v>764.02</v>
      </c>
    </row>
    <row r="374" spans="1:14">
      <c r="A374" s="12">
        <v>373</v>
      </c>
      <c r="B374" s="3" t="s">
        <v>528</v>
      </c>
      <c r="C374" s="43" t="s">
        <v>529</v>
      </c>
      <c r="D374" s="43" t="s">
        <v>828</v>
      </c>
      <c r="E374" s="43" t="s">
        <v>829</v>
      </c>
      <c r="F374" s="6">
        <v>29.5</v>
      </c>
      <c r="G374" s="47" t="s">
        <v>18</v>
      </c>
      <c r="H374" s="12">
        <v>9971</v>
      </c>
      <c r="I374" s="6">
        <v>2.25</v>
      </c>
      <c r="J374" s="6">
        <v>2.25</v>
      </c>
      <c r="K374" s="6">
        <v>0</v>
      </c>
      <c r="L374" s="4">
        <v>0</v>
      </c>
      <c r="M374" s="12" t="s">
        <v>19</v>
      </c>
      <c r="N374" s="13">
        <f t="shared" si="13"/>
        <v>4.5</v>
      </c>
    </row>
    <row r="375" spans="1:14">
      <c r="A375" s="12">
        <v>374</v>
      </c>
      <c r="B375" s="3" t="s">
        <v>528</v>
      </c>
      <c r="C375" s="43" t="s">
        <v>529</v>
      </c>
      <c r="D375" s="43" t="s">
        <v>830</v>
      </c>
      <c r="E375" s="43" t="s">
        <v>831</v>
      </c>
      <c r="F375" s="6">
        <v>4942.8599999999997</v>
      </c>
      <c r="G375" s="47" t="s">
        <v>18</v>
      </c>
      <c r="H375" s="12">
        <v>9971</v>
      </c>
      <c r="I375" s="6">
        <v>377</v>
      </c>
      <c r="J375" s="6">
        <v>377</v>
      </c>
      <c r="K375" s="6">
        <v>0</v>
      </c>
      <c r="L375" s="4">
        <v>0</v>
      </c>
      <c r="M375" s="12" t="s">
        <v>19</v>
      </c>
      <c r="N375" s="13">
        <f t="shared" si="13"/>
        <v>754</v>
      </c>
    </row>
    <row r="376" spans="1:14">
      <c r="A376" s="12">
        <v>375</v>
      </c>
      <c r="B376" s="3" t="s">
        <v>528</v>
      </c>
      <c r="C376" s="43" t="s">
        <v>529</v>
      </c>
      <c r="D376" s="43" t="s">
        <v>832</v>
      </c>
      <c r="E376" s="43" t="s">
        <v>139</v>
      </c>
      <c r="F376" s="6">
        <v>4973.79</v>
      </c>
      <c r="G376" s="47" t="s">
        <v>18</v>
      </c>
      <c r="H376" s="12">
        <v>9971</v>
      </c>
      <c r="I376" s="6">
        <v>379.36</v>
      </c>
      <c r="J376" s="6">
        <v>379.36</v>
      </c>
      <c r="K376" s="6">
        <v>0</v>
      </c>
      <c r="L376" s="4">
        <v>0</v>
      </c>
      <c r="M376" s="12" t="s">
        <v>19</v>
      </c>
      <c r="N376" s="13">
        <f t="shared" si="13"/>
        <v>758.72</v>
      </c>
    </row>
    <row r="377" spans="1:14">
      <c r="A377" s="12">
        <v>376</v>
      </c>
      <c r="B377" s="3" t="s">
        <v>528</v>
      </c>
      <c r="C377" s="43" t="s">
        <v>529</v>
      </c>
      <c r="D377" s="43" t="s">
        <v>833</v>
      </c>
      <c r="E377" s="43" t="s">
        <v>834</v>
      </c>
      <c r="F377" s="6">
        <v>5012.8900000000003</v>
      </c>
      <c r="G377" s="47" t="s">
        <v>18</v>
      </c>
      <c r="H377" s="12">
        <v>9971</v>
      </c>
      <c r="I377" s="6">
        <v>382.34</v>
      </c>
      <c r="J377" s="6">
        <v>382.34</v>
      </c>
      <c r="K377" s="6">
        <v>0</v>
      </c>
      <c r="L377" s="4">
        <v>0</v>
      </c>
      <c r="M377" s="12" t="s">
        <v>19</v>
      </c>
      <c r="N377" s="13">
        <f t="shared" si="13"/>
        <v>764.68</v>
      </c>
    </row>
    <row r="378" spans="1:14">
      <c r="A378" s="12">
        <v>377</v>
      </c>
      <c r="B378" s="3" t="s">
        <v>528</v>
      </c>
      <c r="C378" s="43" t="s">
        <v>529</v>
      </c>
      <c r="D378" s="43" t="s">
        <v>833</v>
      </c>
      <c r="E378" s="43" t="s">
        <v>835</v>
      </c>
      <c r="F378" s="6">
        <v>4997.82</v>
      </c>
      <c r="G378" s="47" t="s">
        <v>18</v>
      </c>
      <c r="H378" s="12">
        <v>9971</v>
      </c>
      <c r="I378" s="6">
        <v>381.19</v>
      </c>
      <c r="J378" s="6">
        <v>381.19</v>
      </c>
      <c r="K378" s="6">
        <v>0</v>
      </c>
      <c r="L378" s="4">
        <v>0</v>
      </c>
      <c r="M378" s="12" t="s">
        <v>19</v>
      </c>
      <c r="N378" s="13">
        <f t="shared" si="13"/>
        <v>762.38</v>
      </c>
    </row>
    <row r="379" spans="1:14">
      <c r="A379" s="12">
        <v>378</v>
      </c>
      <c r="B379" s="3" t="s">
        <v>528</v>
      </c>
      <c r="C379" s="43" t="s">
        <v>529</v>
      </c>
      <c r="D379" s="43" t="s">
        <v>836</v>
      </c>
      <c r="E379" s="43" t="s">
        <v>71</v>
      </c>
      <c r="F379" s="6">
        <v>5020.29</v>
      </c>
      <c r="G379" s="47" t="s">
        <v>18</v>
      </c>
      <c r="H379" s="12">
        <v>9971</v>
      </c>
      <c r="I379" s="6">
        <v>382.9</v>
      </c>
      <c r="J379" s="6">
        <v>382.9</v>
      </c>
      <c r="K379" s="6">
        <v>0</v>
      </c>
      <c r="L379" s="4">
        <v>0</v>
      </c>
      <c r="M379" s="12" t="s">
        <v>19</v>
      </c>
      <c r="N379" s="13">
        <f t="shared" si="13"/>
        <v>765.8</v>
      </c>
    </row>
    <row r="380" spans="1:14">
      <c r="A380" s="12">
        <v>379</v>
      </c>
      <c r="B380" s="3" t="s">
        <v>528</v>
      </c>
      <c r="C380" s="43" t="s">
        <v>529</v>
      </c>
      <c r="D380" s="43" t="s">
        <v>837</v>
      </c>
      <c r="E380" s="43" t="s">
        <v>71</v>
      </c>
      <c r="F380" s="6">
        <v>29.5</v>
      </c>
      <c r="G380" s="47" t="s">
        <v>18</v>
      </c>
      <c r="H380" s="12">
        <v>9971</v>
      </c>
      <c r="I380" s="6">
        <v>2.25</v>
      </c>
      <c r="J380" s="6">
        <v>2.25</v>
      </c>
      <c r="K380" s="6">
        <v>0</v>
      </c>
      <c r="L380" s="4">
        <v>0</v>
      </c>
      <c r="M380" s="12" t="s">
        <v>19</v>
      </c>
      <c r="N380" s="13">
        <f t="shared" si="13"/>
        <v>4.5</v>
      </c>
    </row>
    <row r="381" spans="1:14">
      <c r="A381" s="12">
        <v>380</v>
      </c>
      <c r="B381" s="3" t="s">
        <v>499</v>
      </c>
      <c r="C381" s="43" t="s">
        <v>500</v>
      </c>
      <c r="D381" s="43" t="s">
        <v>838</v>
      </c>
      <c r="E381" s="43" t="s">
        <v>839</v>
      </c>
      <c r="F381" s="6">
        <v>2802.68</v>
      </c>
      <c r="G381" s="47" t="s">
        <v>18</v>
      </c>
      <c r="H381" s="12">
        <v>9971</v>
      </c>
      <c r="I381" s="6">
        <v>0</v>
      </c>
      <c r="J381" s="6">
        <v>0</v>
      </c>
      <c r="K381" s="6">
        <v>427.53</v>
      </c>
      <c r="L381" s="4">
        <v>0</v>
      </c>
      <c r="M381" s="12" t="s">
        <v>19</v>
      </c>
      <c r="N381" s="13">
        <f t="shared" si="13"/>
        <v>427.53</v>
      </c>
    </row>
    <row r="382" spans="1:14">
      <c r="A382" s="12">
        <v>381</v>
      </c>
      <c r="B382" s="3" t="s">
        <v>840</v>
      </c>
      <c r="C382" s="43" t="s">
        <v>841</v>
      </c>
      <c r="D382" s="43" t="s">
        <v>842</v>
      </c>
      <c r="E382" s="43" t="s">
        <v>843</v>
      </c>
      <c r="F382" s="6">
        <v>531</v>
      </c>
      <c r="G382" s="47" t="s">
        <v>24</v>
      </c>
      <c r="H382" s="12">
        <v>85044090</v>
      </c>
      <c r="I382" s="6">
        <v>40.5</v>
      </c>
      <c r="J382" s="6">
        <v>40.5</v>
      </c>
      <c r="K382" s="6">
        <v>0</v>
      </c>
      <c r="L382" s="4">
        <v>0</v>
      </c>
      <c r="M382" s="12" t="s">
        <v>19</v>
      </c>
      <c r="N382" s="13">
        <f t="shared" si="13"/>
        <v>81</v>
      </c>
    </row>
    <row r="383" spans="1:14">
      <c r="A383" s="12">
        <v>382</v>
      </c>
      <c r="B383" s="3" t="s">
        <v>840</v>
      </c>
      <c r="C383" s="43" t="s">
        <v>841</v>
      </c>
      <c r="D383" s="43" t="s">
        <v>844</v>
      </c>
      <c r="E383" s="43" t="s">
        <v>827</v>
      </c>
      <c r="F383" s="6">
        <v>6785</v>
      </c>
      <c r="G383" s="47" t="s">
        <v>24</v>
      </c>
      <c r="H383" s="12">
        <v>85044090</v>
      </c>
      <c r="I383" s="6">
        <v>517.5</v>
      </c>
      <c r="J383" s="6">
        <v>517.5</v>
      </c>
      <c r="K383" s="6">
        <v>0</v>
      </c>
      <c r="L383" s="4">
        <v>0</v>
      </c>
      <c r="M383" s="12" t="s">
        <v>19</v>
      </c>
      <c r="N383" s="13">
        <f t="shared" si="13"/>
        <v>1035</v>
      </c>
    </row>
    <row r="384" spans="1:14">
      <c r="A384" s="12">
        <v>383</v>
      </c>
      <c r="B384" s="3" t="s">
        <v>656</v>
      </c>
      <c r="C384" s="43" t="s">
        <v>657</v>
      </c>
      <c r="D384" s="43" t="s">
        <v>845</v>
      </c>
      <c r="E384" s="43" t="s">
        <v>846</v>
      </c>
      <c r="F384" s="6">
        <v>99</v>
      </c>
      <c r="G384" s="47" t="s">
        <v>18</v>
      </c>
      <c r="H384" s="29" t="s">
        <v>847</v>
      </c>
      <c r="I384" s="6">
        <v>0</v>
      </c>
      <c r="J384" s="6">
        <v>0</v>
      </c>
      <c r="K384" s="6">
        <v>15.1</v>
      </c>
      <c r="L384" s="4">
        <v>0</v>
      </c>
      <c r="M384" s="14" t="s">
        <v>157</v>
      </c>
      <c r="N384" s="15" t="s">
        <v>202</v>
      </c>
    </row>
    <row r="385" spans="1:14">
      <c r="A385" s="12">
        <v>384</v>
      </c>
      <c r="B385" s="3" t="s">
        <v>656</v>
      </c>
      <c r="C385" s="43" t="s">
        <v>657</v>
      </c>
      <c r="D385" s="43" t="s">
        <v>848</v>
      </c>
      <c r="E385" s="43" t="s">
        <v>849</v>
      </c>
      <c r="F385" s="6">
        <v>9</v>
      </c>
      <c r="G385" s="47" t="s">
        <v>18</v>
      </c>
      <c r="H385" s="29" t="s">
        <v>847</v>
      </c>
      <c r="I385" s="6">
        <v>0</v>
      </c>
      <c r="J385" s="6">
        <v>0</v>
      </c>
      <c r="K385" s="6">
        <v>1.37</v>
      </c>
      <c r="L385" s="4">
        <v>0</v>
      </c>
      <c r="M385" s="14" t="s">
        <v>157</v>
      </c>
      <c r="N385" s="15" t="s">
        <v>202</v>
      </c>
    </row>
    <row r="386" spans="1:14">
      <c r="A386" s="12">
        <v>385</v>
      </c>
      <c r="B386" s="3" t="s">
        <v>656</v>
      </c>
      <c r="C386" s="43" t="s">
        <v>657</v>
      </c>
      <c r="D386" s="43" t="s">
        <v>850</v>
      </c>
      <c r="E386" s="43" t="s">
        <v>846</v>
      </c>
      <c r="F386" s="6">
        <v>8</v>
      </c>
      <c r="G386" s="47" t="s">
        <v>18</v>
      </c>
      <c r="H386" s="29" t="s">
        <v>847</v>
      </c>
      <c r="I386" s="6">
        <v>0</v>
      </c>
      <c r="J386" s="6">
        <v>0</v>
      </c>
      <c r="K386" s="6">
        <v>1.22</v>
      </c>
      <c r="L386" s="4">
        <v>0</v>
      </c>
      <c r="M386" s="14" t="s">
        <v>157</v>
      </c>
      <c r="N386" s="15" t="s">
        <v>202</v>
      </c>
    </row>
    <row r="387" spans="1:14">
      <c r="A387" s="12">
        <v>386</v>
      </c>
      <c r="B387" s="3" t="s">
        <v>851</v>
      </c>
      <c r="C387" s="43" t="s">
        <v>852</v>
      </c>
      <c r="D387" s="43" t="s">
        <v>853</v>
      </c>
      <c r="E387" s="43" t="s">
        <v>846</v>
      </c>
      <c r="F387" s="6">
        <v>1199</v>
      </c>
      <c r="G387" s="45" t="s">
        <v>18</v>
      </c>
      <c r="H387" s="14">
        <v>9983</v>
      </c>
      <c r="I387" s="6">
        <v>64.23</v>
      </c>
      <c r="J387" s="6">
        <v>64.23</v>
      </c>
      <c r="K387" s="6">
        <v>0</v>
      </c>
      <c r="L387" s="4">
        <v>0</v>
      </c>
      <c r="M387" s="12" t="s">
        <v>19</v>
      </c>
      <c r="N387" s="13">
        <f t="shared" si="13"/>
        <v>128.46</v>
      </c>
    </row>
    <row r="388" spans="1:14">
      <c r="A388" s="12">
        <v>387</v>
      </c>
      <c r="B388" s="3" t="s">
        <v>854</v>
      </c>
      <c r="C388" s="43" t="s">
        <v>710</v>
      </c>
      <c r="D388" s="43" t="s">
        <v>855</v>
      </c>
      <c r="E388" s="43" t="s">
        <v>849</v>
      </c>
      <c r="F388" s="6">
        <v>279</v>
      </c>
      <c r="G388" s="45" t="s">
        <v>18</v>
      </c>
      <c r="H388" s="14">
        <v>9983</v>
      </c>
      <c r="I388" s="6">
        <v>21.28</v>
      </c>
      <c r="J388" s="6">
        <v>21.28</v>
      </c>
      <c r="K388" s="6">
        <v>0</v>
      </c>
      <c r="L388" s="4">
        <v>0</v>
      </c>
      <c r="M388" s="12" t="s">
        <v>19</v>
      </c>
      <c r="N388" s="13">
        <f t="shared" si="13"/>
        <v>42.56</v>
      </c>
    </row>
    <row r="389" spans="1:14">
      <c r="A389" s="12">
        <v>388</v>
      </c>
      <c r="B389" s="3" t="s">
        <v>768</v>
      </c>
      <c r="C389" s="43" t="s">
        <v>769</v>
      </c>
      <c r="D389" s="43" t="s">
        <v>856</v>
      </c>
      <c r="E389" s="43" t="s">
        <v>834</v>
      </c>
      <c r="F389" s="6">
        <v>354000</v>
      </c>
      <c r="G389" s="47" t="s">
        <v>18</v>
      </c>
      <c r="H389" s="12">
        <v>998311</v>
      </c>
      <c r="I389" s="6">
        <v>27000</v>
      </c>
      <c r="J389" s="6">
        <v>27000</v>
      </c>
      <c r="K389" s="6">
        <v>0</v>
      </c>
      <c r="L389" s="4">
        <v>0</v>
      </c>
      <c r="M389" s="12" t="s">
        <v>19</v>
      </c>
      <c r="N389" s="13">
        <f t="shared" si="13"/>
        <v>54000</v>
      </c>
    </row>
    <row r="390" spans="1:14">
      <c r="A390" s="12">
        <v>389</v>
      </c>
      <c r="B390" s="3" t="s">
        <v>857</v>
      </c>
      <c r="C390" s="43" t="s">
        <v>858</v>
      </c>
      <c r="D390" s="43" t="s">
        <v>859</v>
      </c>
      <c r="E390" s="43" t="s">
        <v>846</v>
      </c>
      <c r="F390" s="6">
        <v>41546</v>
      </c>
      <c r="G390" s="45" t="s">
        <v>18</v>
      </c>
      <c r="H390" s="14">
        <v>9983</v>
      </c>
      <c r="I390" s="6">
        <v>0</v>
      </c>
      <c r="J390" s="6">
        <v>0</v>
      </c>
      <c r="K390" s="6">
        <v>9088.19</v>
      </c>
      <c r="L390" s="4">
        <v>0</v>
      </c>
      <c r="M390" s="14" t="s">
        <v>157</v>
      </c>
      <c r="N390" s="15" t="s">
        <v>202</v>
      </c>
    </row>
    <row r="391" spans="1:14">
      <c r="A391" s="12">
        <v>390</v>
      </c>
      <c r="B391" s="3" t="s">
        <v>857</v>
      </c>
      <c r="C391" s="43" t="s">
        <v>858</v>
      </c>
      <c r="D391" s="43" t="s">
        <v>860</v>
      </c>
      <c r="E391" s="43" t="s">
        <v>846</v>
      </c>
      <c r="F391" s="6">
        <v>99</v>
      </c>
      <c r="G391" s="45" t="s">
        <v>18</v>
      </c>
      <c r="H391" s="14">
        <v>9983</v>
      </c>
      <c r="I391" s="6">
        <v>0</v>
      </c>
      <c r="J391" s="6">
        <v>0</v>
      </c>
      <c r="K391" s="6">
        <v>15.1</v>
      </c>
      <c r="L391" s="4">
        <v>0</v>
      </c>
      <c r="M391" s="14" t="s">
        <v>157</v>
      </c>
      <c r="N391" s="15" t="s">
        <v>202</v>
      </c>
    </row>
    <row r="392" spans="1:14">
      <c r="A392" s="12">
        <v>391</v>
      </c>
      <c r="B392" s="3" t="s">
        <v>656</v>
      </c>
      <c r="C392" s="43" t="s">
        <v>657</v>
      </c>
      <c r="D392" s="43" t="s">
        <v>861</v>
      </c>
      <c r="E392" s="43" t="s">
        <v>849</v>
      </c>
      <c r="F392" s="6">
        <v>-9</v>
      </c>
      <c r="G392" s="47" t="s">
        <v>18</v>
      </c>
      <c r="H392" s="29" t="s">
        <v>847</v>
      </c>
      <c r="I392" s="12">
        <v>0</v>
      </c>
      <c r="J392" s="12">
        <v>0</v>
      </c>
      <c r="K392" s="12">
        <v>-1.37</v>
      </c>
      <c r="L392" s="4">
        <v>0</v>
      </c>
      <c r="M392" s="14" t="s">
        <v>157</v>
      </c>
      <c r="N392" s="15" t="s">
        <v>202</v>
      </c>
    </row>
    <row r="393" spans="1:14">
      <c r="A393" s="12">
        <v>392</v>
      </c>
      <c r="B393" s="3" t="s">
        <v>656</v>
      </c>
      <c r="C393" s="43" t="s">
        <v>657</v>
      </c>
      <c r="D393" s="43" t="s">
        <v>862</v>
      </c>
      <c r="E393" s="43" t="s">
        <v>846</v>
      </c>
      <c r="F393" s="6">
        <v>-8</v>
      </c>
      <c r="G393" s="47" t="s">
        <v>18</v>
      </c>
      <c r="H393" s="29" t="s">
        <v>847</v>
      </c>
      <c r="I393" s="12">
        <v>0</v>
      </c>
      <c r="J393" s="12">
        <v>0</v>
      </c>
      <c r="K393" s="12">
        <v>-1.22</v>
      </c>
      <c r="L393" s="4">
        <v>0</v>
      </c>
      <c r="M393" s="14" t="s">
        <v>157</v>
      </c>
      <c r="N393" s="15" t="s">
        <v>202</v>
      </c>
    </row>
    <row r="394" spans="1:14">
      <c r="A394" s="12">
        <v>393</v>
      </c>
      <c r="B394" s="3" t="s">
        <v>851</v>
      </c>
      <c r="C394" s="43" t="s">
        <v>852</v>
      </c>
      <c r="D394" s="43" t="s">
        <v>863</v>
      </c>
      <c r="E394" s="43" t="s">
        <v>846</v>
      </c>
      <c r="F394" s="6">
        <v>-1199</v>
      </c>
      <c r="G394" s="45" t="s">
        <v>18</v>
      </c>
      <c r="H394" s="14">
        <v>9983</v>
      </c>
      <c r="I394" s="12">
        <v>-64.23</v>
      </c>
      <c r="J394" s="12">
        <v>-64.23</v>
      </c>
      <c r="K394" s="12">
        <v>0</v>
      </c>
      <c r="L394" s="4">
        <v>0</v>
      </c>
      <c r="M394" s="12" t="s">
        <v>19</v>
      </c>
      <c r="N394" s="13">
        <f t="shared" si="13"/>
        <v>-128.46</v>
      </c>
    </row>
    <row r="395" spans="1:14">
      <c r="A395" s="12">
        <v>394</v>
      </c>
      <c r="B395" s="3" t="s">
        <v>854</v>
      </c>
      <c r="C395" s="43" t="s">
        <v>710</v>
      </c>
      <c r="D395" s="43" t="s">
        <v>864</v>
      </c>
      <c r="E395" s="43" t="s">
        <v>849</v>
      </c>
      <c r="F395" s="6">
        <v>-279</v>
      </c>
      <c r="G395" s="45" t="s">
        <v>18</v>
      </c>
      <c r="H395" s="14">
        <v>9983</v>
      </c>
      <c r="I395" s="12">
        <v>-21.28</v>
      </c>
      <c r="J395" s="12">
        <v>-21.28</v>
      </c>
      <c r="K395" s="12">
        <v>0</v>
      </c>
      <c r="L395" s="4">
        <v>0</v>
      </c>
      <c r="M395" s="12" t="s">
        <v>19</v>
      </c>
      <c r="N395" s="13">
        <f t="shared" si="13"/>
        <v>-42.56</v>
      </c>
    </row>
    <row r="396" spans="1:14">
      <c r="A396" s="12">
        <v>395</v>
      </c>
      <c r="B396" s="3" t="s">
        <v>509</v>
      </c>
      <c r="C396" s="43" t="s">
        <v>510</v>
      </c>
      <c r="D396" s="43" t="s">
        <v>865</v>
      </c>
      <c r="E396" s="43" t="s">
        <v>866</v>
      </c>
      <c r="F396" s="6">
        <v>212400</v>
      </c>
      <c r="G396" s="47" t="s">
        <v>18</v>
      </c>
      <c r="H396" s="12">
        <v>998314</v>
      </c>
      <c r="I396" s="6">
        <v>0</v>
      </c>
      <c r="J396" s="6">
        <v>0</v>
      </c>
      <c r="K396" s="6">
        <v>32400</v>
      </c>
      <c r="L396" s="4">
        <v>0</v>
      </c>
      <c r="M396" s="12" t="s">
        <v>19</v>
      </c>
      <c r="N396" s="13">
        <f t="shared" si="13"/>
        <v>32400</v>
      </c>
    </row>
    <row r="397" spans="1:14">
      <c r="A397" s="12">
        <v>396</v>
      </c>
      <c r="B397" s="3" t="s">
        <v>509</v>
      </c>
      <c r="C397" s="43" t="s">
        <v>510</v>
      </c>
      <c r="D397" s="43" t="s">
        <v>867</v>
      </c>
      <c r="E397" s="43" t="s">
        <v>868</v>
      </c>
      <c r="F397" s="6">
        <v>696200</v>
      </c>
      <c r="G397" s="47" t="s">
        <v>18</v>
      </c>
      <c r="H397" s="12">
        <v>998314</v>
      </c>
      <c r="I397" s="6">
        <v>0</v>
      </c>
      <c r="J397" s="6">
        <v>0</v>
      </c>
      <c r="K397" s="6">
        <v>106200</v>
      </c>
      <c r="L397" s="4">
        <v>0</v>
      </c>
      <c r="M397" s="12" t="s">
        <v>19</v>
      </c>
      <c r="N397" s="13">
        <f t="shared" si="13"/>
        <v>106200</v>
      </c>
    </row>
    <row r="398" spans="1:14">
      <c r="A398" s="12">
        <v>397</v>
      </c>
      <c r="B398" s="3" t="s">
        <v>758</v>
      </c>
      <c r="C398" s="43" t="s">
        <v>759</v>
      </c>
      <c r="D398" s="43" t="s">
        <v>856</v>
      </c>
      <c r="E398" s="43" t="s">
        <v>869</v>
      </c>
      <c r="F398" s="6">
        <v>354000</v>
      </c>
      <c r="G398" s="47" t="s">
        <v>18</v>
      </c>
      <c r="H398" s="12">
        <v>998311</v>
      </c>
      <c r="I398" s="6">
        <v>0</v>
      </c>
      <c r="J398" s="6">
        <v>0</v>
      </c>
      <c r="K398" s="6">
        <v>54000</v>
      </c>
      <c r="L398" s="4">
        <v>0</v>
      </c>
      <c r="M398" s="12" t="s">
        <v>19</v>
      </c>
      <c r="N398" s="13">
        <f t="shared" si="13"/>
        <v>54000</v>
      </c>
    </row>
    <row r="399" spans="1:14">
      <c r="A399" s="12">
        <v>398</v>
      </c>
      <c r="B399" s="3" t="s">
        <v>528</v>
      </c>
      <c r="C399" s="43" t="s">
        <v>529</v>
      </c>
      <c r="D399" s="43" t="s">
        <v>870</v>
      </c>
      <c r="E399" s="43" t="s">
        <v>871</v>
      </c>
      <c r="F399" s="6">
        <v>5029.01</v>
      </c>
      <c r="G399" s="47" t="s">
        <v>18</v>
      </c>
      <c r="H399" s="12">
        <v>9971</v>
      </c>
      <c r="I399" s="6">
        <v>383.57</v>
      </c>
      <c r="J399" s="6">
        <v>383.57</v>
      </c>
      <c r="K399" s="6">
        <v>0</v>
      </c>
      <c r="L399" s="4">
        <v>0</v>
      </c>
      <c r="M399" s="12" t="s">
        <v>19</v>
      </c>
      <c r="N399" s="13">
        <f t="shared" si="13"/>
        <v>767.14</v>
      </c>
    </row>
    <row r="400" spans="1:14">
      <c r="A400" s="12">
        <v>399</v>
      </c>
      <c r="B400" s="3" t="s">
        <v>528</v>
      </c>
      <c r="C400" s="43" t="s">
        <v>529</v>
      </c>
      <c r="D400" s="43" t="s">
        <v>872</v>
      </c>
      <c r="E400" s="43" t="s">
        <v>88</v>
      </c>
      <c r="F400" s="6">
        <v>5008.47</v>
      </c>
      <c r="G400" s="47" t="s">
        <v>18</v>
      </c>
      <c r="H400" s="12">
        <v>9971</v>
      </c>
      <c r="I400" s="6">
        <v>382</v>
      </c>
      <c r="J400" s="6">
        <v>382</v>
      </c>
      <c r="K400" s="6">
        <v>0</v>
      </c>
      <c r="L400" s="4">
        <v>0</v>
      </c>
      <c r="M400" s="12" t="s">
        <v>19</v>
      </c>
      <c r="N400" s="13">
        <f t="shared" si="13"/>
        <v>764</v>
      </c>
    </row>
    <row r="401" spans="1:14">
      <c r="A401" s="12">
        <v>400</v>
      </c>
      <c r="B401" s="3" t="s">
        <v>528</v>
      </c>
      <c r="C401" s="43" t="s">
        <v>529</v>
      </c>
      <c r="D401" s="43" t="s">
        <v>873</v>
      </c>
      <c r="E401" s="43" t="s">
        <v>95</v>
      </c>
      <c r="F401" s="6">
        <v>5067.99</v>
      </c>
      <c r="G401" s="47" t="s">
        <v>18</v>
      </c>
      <c r="H401" s="12">
        <v>9971</v>
      </c>
      <c r="I401" s="6">
        <v>386.54</v>
      </c>
      <c r="J401" s="6">
        <v>386.54</v>
      </c>
      <c r="K401" s="6">
        <v>0</v>
      </c>
      <c r="L401" s="4">
        <v>0</v>
      </c>
      <c r="M401" s="12" t="s">
        <v>19</v>
      </c>
      <c r="N401" s="13">
        <f t="shared" si="13"/>
        <v>773.08</v>
      </c>
    </row>
    <row r="402" spans="1:14">
      <c r="A402" s="12">
        <v>401</v>
      </c>
      <c r="B402" s="3" t="s">
        <v>528</v>
      </c>
      <c r="C402" s="43" t="s">
        <v>529</v>
      </c>
      <c r="D402" s="43" t="s">
        <v>874</v>
      </c>
      <c r="E402" s="43" t="s">
        <v>869</v>
      </c>
      <c r="F402" s="6">
        <v>5037.32</v>
      </c>
      <c r="G402" s="47" t="s">
        <v>18</v>
      </c>
      <c r="H402" s="12">
        <v>9971</v>
      </c>
      <c r="I402" s="6">
        <v>384.2</v>
      </c>
      <c r="J402" s="6">
        <v>384.2</v>
      </c>
      <c r="K402" s="6">
        <v>0</v>
      </c>
      <c r="L402" s="4">
        <v>0</v>
      </c>
      <c r="M402" s="12" t="s">
        <v>19</v>
      </c>
      <c r="N402" s="13">
        <f t="shared" si="13"/>
        <v>768.4</v>
      </c>
    </row>
    <row r="403" spans="1:14">
      <c r="A403" s="12">
        <v>402</v>
      </c>
      <c r="B403" s="1" t="s">
        <v>758</v>
      </c>
      <c r="C403" s="42" t="s">
        <v>759</v>
      </c>
      <c r="D403" s="42" t="s">
        <v>875</v>
      </c>
      <c r="E403" s="42" t="s">
        <v>876</v>
      </c>
      <c r="F403" s="4">
        <v>354000</v>
      </c>
      <c r="G403" s="47" t="s">
        <v>18</v>
      </c>
      <c r="H403" s="12">
        <v>998311</v>
      </c>
      <c r="I403" s="4">
        <v>0</v>
      </c>
      <c r="J403" s="4">
        <v>0</v>
      </c>
      <c r="K403" s="4">
        <v>54000</v>
      </c>
      <c r="L403" s="4">
        <v>0</v>
      </c>
      <c r="M403" s="12" t="s">
        <v>571</v>
      </c>
      <c r="N403" s="13">
        <f t="shared" si="13"/>
        <v>54000</v>
      </c>
    </row>
    <row r="404" spans="1:14">
      <c r="A404" s="12">
        <v>403</v>
      </c>
      <c r="B404" s="1" t="s">
        <v>768</v>
      </c>
      <c r="C404" s="42" t="s">
        <v>769</v>
      </c>
      <c r="D404" s="42" t="s">
        <v>875</v>
      </c>
      <c r="E404" s="42" t="s">
        <v>877</v>
      </c>
      <c r="F404" s="4">
        <v>354000</v>
      </c>
      <c r="G404" s="47" t="s">
        <v>18</v>
      </c>
      <c r="H404" s="12">
        <v>998311</v>
      </c>
      <c r="I404" s="4">
        <v>27000</v>
      </c>
      <c r="J404" s="4">
        <v>27000</v>
      </c>
      <c r="K404" s="4">
        <v>0</v>
      </c>
      <c r="L404" s="4">
        <v>0</v>
      </c>
      <c r="M404" s="12" t="s">
        <v>19</v>
      </c>
      <c r="N404" s="13">
        <f t="shared" si="13"/>
        <v>54000</v>
      </c>
    </row>
    <row r="405" spans="1:14">
      <c r="A405" s="12">
        <v>404</v>
      </c>
      <c r="B405" s="1" t="s">
        <v>257</v>
      </c>
      <c r="C405" s="42" t="s">
        <v>258</v>
      </c>
      <c r="D405" s="42" t="s">
        <v>878</v>
      </c>
      <c r="E405" s="42" t="s">
        <v>107</v>
      </c>
      <c r="F405" s="4">
        <v>49560</v>
      </c>
      <c r="G405" s="47" t="s">
        <v>18</v>
      </c>
      <c r="H405" s="12">
        <v>9983</v>
      </c>
      <c r="I405" s="4">
        <v>0</v>
      </c>
      <c r="J405" s="4">
        <v>0</v>
      </c>
      <c r="K405" s="4">
        <v>7560</v>
      </c>
      <c r="L405" s="4">
        <v>0</v>
      </c>
      <c r="M405" s="12" t="s">
        <v>19</v>
      </c>
      <c r="N405" s="13">
        <f t="shared" ref="N405:N428" si="14">SUM(I405:L405)</f>
        <v>7560</v>
      </c>
    </row>
    <row r="406" spans="1:14">
      <c r="A406" s="12">
        <v>405</v>
      </c>
      <c r="B406" s="1" t="s">
        <v>606</v>
      </c>
      <c r="C406" s="43" t="s">
        <v>607</v>
      </c>
      <c r="D406" s="42" t="s">
        <v>879</v>
      </c>
      <c r="E406" s="42" t="s">
        <v>880</v>
      </c>
      <c r="F406" s="4">
        <v>7298.99</v>
      </c>
      <c r="G406" s="47" t="s">
        <v>18</v>
      </c>
      <c r="H406" s="2">
        <v>997331</v>
      </c>
      <c r="I406" s="4">
        <v>0</v>
      </c>
      <c r="J406" s="4">
        <v>0</v>
      </c>
      <c r="K406" s="4">
        <v>1113.4000000000001</v>
      </c>
      <c r="L406" s="4">
        <v>0</v>
      </c>
      <c r="M406" s="12" t="s">
        <v>19</v>
      </c>
      <c r="N406" s="13">
        <f t="shared" si="14"/>
        <v>1113.4000000000001</v>
      </c>
    </row>
    <row r="407" spans="1:14">
      <c r="A407" s="12">
        <v>406</v>
      </c>
      <c r="B407" s="1" t="s">
        <v>528</v>
      </c>
      <c r="C407" s="42" t="s">
        <v>529</v>
      </c>
      <c r="D407" s="42" t="s">
        <v>881</v>
      </c>
      <c r="E407" s="42" t="s">
        <v>882</v>
      </c>
      <c r="F407" s="4">
        <v>5011.9799999999996</v>
      </c>
      <c r="G407" s="47" t="s">
        <v>18</v>
      </c>
      <c r="H407" s="12">
        <v>9971</v>
      </c>
      <c r="I407" s="4">
        <v>382.27</v>
      </c>
      <c r="J407" s="4">
        <v>382.27</v>
      </c>
      <c r="K407" s="4">
        <v>0</v>
      </c>
      <c r="L407" s="4">
        <v>0</v>
      </c>
      <c r="M407" s="12" t="s">
        <v>571</v>
      </c>
      <c r="N407" s="13">
        <f t="shared" si="14"/>
        <v>764.54</v>
      </c>
    </row>
    <row r="408" spans="1:14">
      <c r="A408" s="12">
        <v>407</v>
      </c>
      <c r="B408" s="1" t="s">
        <v>528</v>
      </c>
      <c r="C408" s="42" t="s">
        <v>529</v>
      </c>
      <c r="D408" s="42" t="s">
        <v>883</v>
      </c>
      <c r="E408" s="42" t="s">
        <v>884</v>
      </c>
      <c r="F408" s="4">
        <v>1476.49</v>
      </c>
      <c r="G408" s="47" t="s">
        <v>18</v>
      </c>
      <c r="H408" s="12">
        <v>9971</v>
      </c>
      <c r="I408" s="4">
        <v>112.61</v>
      </c>
      <c r="J408" s="4">
        <v>112.61</v>
      </c>
      <c r="K408" s="4">
        <v>0</v>
      </c>
      <c r="L408" s="4">
        <v>0</v>
      </c>
      <c r="M408" s="12" t="s">
        <v>571</v>
      </c>
      <c r="N408" s="13">
        <f t="shared" si="14"/>
        <v>225.22</v>
      </c>
    </row>
    <row r="409" spans="1:14">
      <c r="A409" s="12">
        <v>408</v>
      </c>
      <c r="B409" s="1" t="s">
        <v>528</v>
      </c>
      <c r="C409" s="42" t="s">
        <v>529</v>
      </c>
      <c r="D409" s="42" t="s">
        <v>885</v>
      </c>
      <c r="E409" s="42" t="s">
        <v>886</v>
      </c>
      <c r="F409" s="4">
        <v>1480.75</v>
      </c>
      <c r="G409" s="47" t="s">
        <v>18</v>
      </c>
      <c r="H409" s="12">
        <v>9971</v>
      </c>
      <c r="I409" s="4">
        <v>112.94</v>
      </c>
      <c r="J409" s="4">
        <v>112.94</v>
      </c>
      <c r="K409" s="4">
        <v>0</v>
      </c>
      <c r="L409" s="4">
        <v>0</v>
      </c>
      <c r="M409" s="12" t="s">
        <v>571</v>
      </c>
      <c r="N409" s="13">
        <f t="shared" si="14"/>
        <v>225.88</v>
      </c>
    </row>
    <row r="410" spans="1:14">
      <c r="A410" s="12">
        <v>409</v>
      </c>
      <c r="B410" s="1" t="s">
        <v>528</v>
      </c>
      <c r="C410" s="42" t="s">
        <v>529</v>
      </c>
      <c r="D410" s="42" t="s">
        <v>887</v>
      </c>
      <c r="E410" s="42" t="s">
        <v>888</v>
      </c>
      <c r="F410" s="4">
        <v>1487.58</v>
      </c>
      <c r="G410" s="47" t="s">
        <v>18</v>
      </c>
      <c r="H410" s="12">
        <v>9971</v>
      </c>
      <c r="I410" s="4">
        <v>113.46</v>
      </c>
      <c r="J410" s="4">
        <v>113.46</v>
      </c>
      <c r="K410" s="4">
        <v>0</v>
      </c>
      <c r="L410" s="4">
        <v>0</v>
      </c>
      <c r="M410" s="12" t="s">
        <v>571</v>
      </c>
      <c r="N410" s="13">
        <f t="shared" si="14"/>
        <v>226.92</v>
      </c>
    </row>
    <row r="411" spans="1:14">
      <c r="A411" s="12">
        <v>410</v>
      </c>
      <c r="B411" s="1" t="s">
        <v>528</v>
      </c>
      <c r="C411" s="42" t="s">
        <v>529</v>
      </c>
      <c r="D411" s="42" t="s">
        <v>889</v>
      </c>
      <c r="E411" s="42" t="s">
        <v>876</v>
      </c>
      <c r="F411" s="4">
        <v>1494.77</v>
      </c>
      <c r="G411" s="47" t="s">
        <v>18</v>
      </c>
      <c r="H411" s="12">
        <v>9971</v>
      </c>
      <c r="I411" s="4">
        <v>114.01</v>
      </c>
      <c r="J411" s="4">
        <v>114.01</v>
      </c>
      <c r="K411" s="4">
        <v>0</v>
      </c>
      <c r="L411" s="4">
        <v>0</v>
      </c>
      <c r="M411" s="12" t="s">
        <v>571</v>
      </c>
      <c r="N411" s="13">
        <f t="shared" si="14"/>
        <v>228.02</v>
      </c>
    </row>
    <row r="412" spans="1:14">
      <c r="A412" s="12">
        <v>411</v>
      </c>
      <c r="B412" s="1" t="s">
        <v>528</v>
      </c>
      <c r="C412" s="42" t="s">
        <v>529</v>
      </c>
      <c r="D412" s="42" t="s">
        <v>890</v>
      </c>
      <c r="E412" s="42" t="s">
        <v>882</v>
      </c>
      <c r="F412" s="4">
        <v>23.6</v>
      </c>
      <c r="G412" s="47" t="s">
        <v>18</v>
      </c>
      <c r="H412" s="12">
        <v>9971</v>
      </c>
      <c r="I412" s="4">
        <v>1.8</v>
      </c>
      <c r="J412" s="4">
        <v>1.8</v>
      </c>
      <c r="K412" s="4">
        <v>0</v>
      </c>
      <c r="L412" s="4">
        <v>0</v>
      </c>
      <c r="M412" s="12" t="s">
        <v>571</v>
      </c>
      <c r="N412" s="13">
        <f t="shared" si="14"/>
        <v>3.6</v>
      </c>
    </row>
    <row r="413" spans="1:14">
      <c r="A413" s="12">
        <v>412</v>
      </c>
      <c r="B413" s="1" t="s">
        <v>528</v>
      </c>
      <c r="C413" s="42" t="s">
        <v>529</v>
      </c>
      <c r="D413" s="42" t="s">
        <v>891</v>
      </c>
      <c r="E413" s="42" t="s">
        <v>882</v>
      </c>
      <c r="F413" s="4">
        <v>29.5</v>
      </c>
      <c r="G413" s="47" t="s">
        <v>18</v>
      </c>
      <c r="H413" s="12">
        <v>9971</v>
      </c>
      <c r="I413" s="4">
        <v>2.25</v>
      </c>
      <c r="J413" s="4">
        <v>2.25</v>
      </c>
      <c r="K413" s="4">
        <v>0</v>
      </c>
      <c r="L413" s="4">
        <v>0</v>
      </c>
      <c r="M413" s="12" t="s">
        <v>571</v>
      </c>
      <c r="N413" s="13">
        <f t="shared" si="14"/>
        <v>4.5</v>
      </c>
    </row>
    <row r="414" spans="1:14">
      <c r="A414" s="12">
        <v>413</v>
      </c>
      <c r="B414" s="1" t="s">
        <v>528</v>
      </c>
      <c r="C414" s="42" t="s">
        <v>529</v>
      </c>
      <c r="D414" s="42" t="s">
        <v>892</v>
      </c>
      <c r="E414" s="42" t="s">
        <v>893</v>
      </c>
      <c r="F414" s="4">
        <v>29.5</v>
      </c>
      <c r="G414" s="47" t="s">
        <v>18</v>
      </c>
      <c r="H414" s="12">
        <v>9971</v>
      </c>
      <c r="I414" s="4">
        <v>2.25</v>
      </c>
      <c r="J414" s="4">
        <v>2.25</v>
      </c>
      <c r="K414" s="4">
        <v>0</v>
      </c>
      <c r="L414" s="4">
        <v>0</v>
      </c>
      <c r="M414" s="12" t="s">
        <v>571</v>
      </c>
      <c r="N414" s="13">
        <f t="shared" si="14"/>
        <v>4.5</v>
      </c>
    </row>
    <row r="415" spans="1:14">
      <c r="A415" s="12">
        <v>414</v>
      </c>
      <c r="B415" s="1" t="s">
        <v>758</v>
      </c>
      <c r="C415" s="42" t="s">
        <v>759</v>
      </c>
      <c r="D415" s="42" t="s">
        <v>894</v>
      </c>
      <c r="E415" s="42" t="s">
        <v>895</v>
      </c>
      <c r="F415" s="4">
        <v>354000</v>
      </c>
      <c r="G415" s="47" t="s">
        <v>18</v>
      </c>
      <c r="H415" s="12">
        <v>998311</v>
      </c>
      <c r="I415" s="4">
        <v>0</v>
      </c>
      <c r="J415" s="4">
        <v>0</v>
      </c>
      <c r="K415" s="4">
        <v>54000</v>
      </c>
      <c r="L415" s="4">
        <v>0</v>
      </c>
      <c r="M415" s="12" t="s">
        <v>571</v>
      </c>
      <c r="N415" s="13">
        <f t="shared" si="14"/>
        <v>54000</v>
      </c>
    </row>
    <row r="416" spans="1:14">
      <c r="A416" s="12">
        <v>415</v>
      </c>
      <c r="B416" s="1" t="s">
        <v>768</v>
      </c>
      <c r="C416" s="42" t="s">
        <v>769</v>
      </c>
      <c r="D416" s="42" t="s">
        <v>894</v>
      </c>
      <c r="E416" s="42" t="s">
        <v>895</v>
      </c>
      <c r="F416" s="4">
        <v>354000</v>
      </c>
      <c r="G416" s="47" t="s">
        <v>18</v>
      </c>
      <c r="H416" s="12">
        <v>998311</v>
      </c>
      <c r="I416" s="4">
        <v>27000</v>
      </c>
      <c r="J416" s="4">
        <v>27000</v>
      </c>
      <c r="K416" s="4">
        <v>0</v>
      </c>
      <c r="L416" s="4">
        <v>0</v>
      </c>
      <c r="M416" s="12" t="s">
        <v>19</v>
      </c>
      <c r="N416" s="13">
        <f t="shared" si="14"/>
        <v>54000</v>
      </c>
    </row>
    <row r="417" spans="1:14">
      <c r="A417" s="12">
        <v>416</v>
      </c>
      <c r="B417" s="1" t="s">
        <v>528</v>
      </c>
      <c r="C417" s="42" t="s">
        <v>529</v>
      </c>
      <c r="D417" s="42" t="s">
        <v>896</v>
      </c>
      <c r="E417" s="42" t="s">
        <v>897</v>
      </c>
      <c r="F417" s="4">
        <v>1497</v>
      </c>
      <c r="G417" s="47" t="s">
        <v>18</v>
      </c>
      <c r="H417" s="12">
        <v>9971</v>
      </c>
      <c r="I417" s="4">
        <v>114.18</v>
      </c>
      <c r="J417" s="4">
        <v>114.18</v>
      </c>
      <c r="K417" s="4">
        <v>0</v>
      </c>
      <c r="L417" s="4">
        <v>0</v>
      </c>
      <c r="M417" s="12" t="s">
        <v>571</v>
      </c>
      <c r="N417" s="13">
        <f t="shared" si="14"/>
        <v>228.36</v>
      </c>
    </row>
    <row r="418" spans="1:14">
      <c r="A418" s="12">
        <v>417</v>
      </c>
      <c r="B418" s="1" t="s">
        <v>528</v>
      </c>
      <c r="C418" s="42" t="s">
        <v>529</v>
      </c>
      <c r="D418" s="42" t="s">
        <v>898</v>
      </c>
      <c r="E418" s="42" t="s">
        <v>899</v>
      </c>
      <c r="F418" s="4">
        <v>2322.9899999999998</v>
      </c>
      <c r="G418" s="47" t="s">
        <v>18</v>
      </c>
      <c r="H418" s="12">
        <v>9971</v>
      </c>
      <c r="I418" s="4">
        <v>177.18</v>
      </c>
      <c r="J418" s="4">
        <v>177.18</v>
      </c>
      <c r="K418" s="4">
        <v>0</v>
      </c>
      <c r="L418" s="4">
        <v>0</v>
      </c>
      <c r="M418" s="12" t="s">
        <v>571</v>
      </c>
      <c r="N418" s="13">
        <f t="shared" si="14"/>
        <v>354.36</v>
      </c>
    </row>
    <row r="419" spans="1:14">
      <c r="A419" s="12">
        <v>418</v>
      </c>
      <c r="B419" s="1" t="s">
        <v>528</v>
      </c>
      <c r="C419" s="42" t="s">
        <v>529</v>
      </c>
      <c r="D419" s="42" t="s">
        <v>900</v>
      </c>
      <c r="E419" s="42" t="s">
        <v>901</v>
      </c>
      <c r="F419" s="4">
        <v>2313.0500000000002</v>
      </c>
      <c r="G419" s="47" t="s">
        <v>18</v>
      </c>
      <c r="H419" s="12">
        <v>9971</v>
      </c>
      <c r="I419" s="4">
        <v>176.42</v>
      </c>
      <c r="J419" s="4">
        <v>176.42</v>
      </c>
      <c r="K419" s="4">
        <v>0</v>
      </c>
      <c r="L419" s="4">
        <v>0</v>
      </c>
      <c r="M419" s="12" t="s">
        <v>571</v>
      </c>
      <c r="N419" s="13">
        <f t="shared" si="14"/>
        <v>352.84</v>
      </c>
    </row>
    <row r="420" spans="1:14">
      <c r="A420" s="12">
        <v>419</v>
      </c>
      <c r="B420" s="1" t="s">
        <v>528</v>
      </c>
      <c r="C420" s="42" t="s">
        <v>529</v>
      </c>
      <c r="D420" s="42" t="s">
        <v>902</v>
      </c>
      <c r="E420" s="42" t="s">
        <v>126</v>
      </c>
      <c r="F420" s="4">
        <v>2324.77</v>
      </c>
      <c r="G420" s="47" t="s">
        <v>18</v>
      </c>
      <c r="H420" s="12">
        <v>9971</v>
      </c>
      <c r="I420" s="4">
        <v>177.31</v>
      </c>
      <c r="J420" s="4">
        <v>177.31</v>
      </c>
      <c r="K420" s="4">
        <v>0</v>
      </c>
      <c r="L420" s="4">
        <v>0</v>
      </c>
      <c r="M420" s="12" t="s">
        <v>571</v>
      </c>
      <c r="N420" s="13">
        <f t="shared" si="14"/>
        <v>354.62</v>
      </c>
    </row>
    <row r="421" spans="1:14">
      <c r="A421" s="12">
        <v>420</v>
      </c>
      <c r="B421" s="1" t="s">
        <v>768</v>
      </c>
      <c r="C421" s="42" t="s">
        <v>769</v>
      </c>
      <c r="D421" s="42" t="s">
        <v>903</v>
      </c>
      <c r="E421" s="42" t="s">
        <v>904</v>
      </c>
      <c r="F421" s="4">
        <v>354000</v>
      </c>
      <c r="G421" s="47" t="s">
        <v>18</v>
      </c>
      <c r="H421" s="12">
        <v>998311</v>
      </c>
      <c r="I421" s="4">
        <v>27000</v>
      </c>
      <c r="J421" s="4">
        <v>27000</v>
      </c>
      <c r="K421" s="4">
        <v>0</v>
      </c>
      <c r="L421" s="4">
        <v>0</v>
      </c>
      <c r="M421" s="12" t="s">
        <v>19</v>
      </c>
      <c r="N421" s="13">
        <f t="shared" si="14"/>
        <v>54000</v>
      </c>
    </row>
    <row r="422" spans="1:14">
      <c r="A422" s="12">
        <v>421</v>
      </c>
      <c r="B422" s="1" t="s">
        <v>758</v>
      </c>
      <c r="C422" s="42" t="s">
        <v>759</v>
      </c>
      <c r="D422" s="42" t="s">
        <v>903</v>
      </c>
      <c r="E422" s="42" t="s">
        <v>904</v>
      </c>
      <c r="F422" s="4">
        <v>354000</v>
      </c>
      <c r="G422" s="47" t="s">
        <v>18</v>
      </c>
      <c r="H422" s="12">
        <v>998311</v>
      </c>
      <c r="I422" s="4">
        <v>0</v>
      </c>
      <c r="J422" s="4">
        <v>0</v>
      </c>
      <c r="K422" s="4">
        <v>54000</v>
      </c>
      <c r="L422" s="4">
        <v>0</v>
      </c>
      <c r="M422" s="12" t="s">
        <v>571</v>
      </c>
      <c r="N422" s="13">
        <f t="shared" si="14"/>
        <v>54000</v>
      </c>
    </row>
    <row r="423" spans="1:14">
      <c r="A423" s="12">
        <v>422</v>
      </c>
      <c r="B423" s="1" t="s">
        <v>528</v>
      </c>
      <c r="C423" s="42" t="s">
        <v>529</v>
      </c>
      <c r="D423" s="42" t="s">
        <v>905</v>
      </c>
      <c r="E423" s="42" t="s">
        <v>906</v>
      </c>
      <c r="F423" s="4">
        <v>2333.41</v>
      </c>
      <c r="G423" s="47" t="s">
        <v>18</v>
      </c>
      <c r="H423" s="12">
        <v>9971</v>
      </c>
      <c r="I423" s="4">
        <v>177.97</v>
      </c>
      <c r="J423" s="4">
        <v>177.97</v>
      </c>
      <c r="K423" s="4">
        <v>0</v>
      </c>
      <c r="L423" s="4">
        <v>0</v>
      </c>
      <c r="M423" s="12" t="s">
        <v>571</v>
      </c>
      <c r="N423" s="13">
        <f t="shared" si="14"/>
        <v>355.94</v>
      </c>
    </row>
    <row r="424" spans="1:14">
      <c r="A424" s="12">
        <v>423</v>
      </c>
      <c r="B424" s="1" t="s">
        <v>528</v>
      </c>
      <c r="C424" s="42" t="s">
        <v>529</v>
      </c>
      <c r="D424" s="42" t="s">
        <v>907</v>
      </c>
      <c r="E424" s="42" t="s">
        <v>908</v>
      </c>
      <c r="F424" s="4">
        <v>2331.83</v>
      </c>
      <c r="G424" s="47" t="s">
        <v>18</v>
      </c>
      <c r="H424" s="12">
        <v>9971</v>
      </c>
      <c r="I424" s="4">
        <v>177.85</v>
      </c>
      <c r="J424" s="4">
        <v>177.85</v>
      </c>
      <c r="K424" s="4">
        <v>0</v>
      </c>
      <c r="L424" s="4">
        <v>0</v>
      </c>
      <c r="M424" s="12" t="s">
        <v>571</v>
      </c>
      <c r="N424" s="13">
        <f t="shared" si="14"/>
        <v>355.7</v>
      </c>
    </row>
    <row r="425" spans="1:14">
      <c r="A425" s="12">
        <v>424</v>
      </c>
      <c r="B425" s="1" t="s">
        <v>528</v>
      </c>
      <c r="C425" s="42" t="s">
        <v>529</v>
      </c>
      <c r="D425" s="42" t="s">
        <v>909</v>
      </c>
      <c r="E425" s="42" t="s">
        <v>910</v>
      </c>
      <c r="F425" s="4">
        <v>3493.5</v>
      </c>
      <c r="G425" s="47" t="s">
        <v>18</v>
      </c>
      <c r="H425" s="12">
        <v>9971</v>
      </c>
      <c r="I425" s="4">
        <v>266.45</v>
      </c>
      <c r="J425" s="4">
        <v>266.45</v>
      </c>
      <c r="K425" s="4">
        <v>0</v>
      </c>
      <c r="L425" s="4">
        <v>0</v>
      </c>
      <c r="M425" s="12" t="s">
        <v>571</v>
      </c>
      <c r="N425" s="13">
        <f t="shared" si="14"/>
        <v>532.9</v>
      </c>
    </row>
    <row r="426" spans="1:14">
      <c r="A426" s="12">
        <v>425</v>
      </c>
      <c r="B426" s="1" t="s">
        <v>528</v>
      </c>
      <c r="C426" s="42" t="s">
        <v>529</v>
      </c>
      <c r="D426" s="42" t="s">
        <v>911</v>
      </c>
      <c r="E426" s="42" t="s">
        <v>912</v>
      </c>
      <c r="F426" s="4">
        <v>3517.83</v>
      </c>
      <c r="G426" s="47" t="s">
        <v>18</v>
      </c>
      <c r="H426" s="12">
        <v>9971</v>
      </c>
      <c r="I426" s="4">
        <v>268.31</v>
      </c>
      <c r="J426" s="4">
        <v>268.31</v>
      </c>
      <c r="K426" s="4">
        <v>0</v>
      </c>
      <c r="L426" s="4">
        <v>0</v>
      </c>
      <c r="M426" s="12" t="s">
        <v>571</v>
      </c>
      <c r="N426" s="13">
        <f t="shared" si="14"/>
        <v>536.62</v>
      </c>
    </row>
    <row r="427" spans="1:14">
      <c r="A427" s="12">
        <v>426</v>
      </c>
      <c r="B427" s="1" t="s">
        <v>528</v>
      </c>
      <c r="C427" s="42" t="s">
        <v>529</v>
      </c>
      <c r="D427" s="42" t="s">
        <v>913</v>
      </c>
      <c r="E427" s="42" t="s">
        <v>914</v>
      </c>
      <c r="F427" s="4">
        <v>3516.67</v>
      </c>
      <c r="G427" s="47" t="s">
        <v>18</v>
      </c>
      <c r="H427" s="12">
        <v>9971</v>
      </c>
      <c r="I427" s="4">
        <v>268.22000000000003</v>
      </c>
      <c r="J427" s="4">
        <v>268.22000000000003</v>
      </c>
      <c r="K427" s="4">
        <v>0</v>
      </c>
      <c r="L427" s="4">
        <v>0</v>
      </c>
      <c r="M427" s="12" t="s">
        <v>571</v>
      </c>
      <c r="N427" s="13">
        <f t="shared" si="14"/>
        <v>536.44000000000005</v>
      </c>
    </row>
    <row r="428" spans="1:14">
      <c r="A428" s="12">
        <v>427</v>
      </c>
      <c r="B428" s="1" t="s">
        <v>528</v>
      </c>
      <c r="C428" s="42" t="s">
        <v>529</v>
      </c>
      <c r="D428" s="42" t="s">
        <v>915</v>
      </c>
      <c r="E428" s="42" t="s">
        <v>916</v>
      </c>
      <c r="F428" s="4">
        <v>29.5</v>
      </c>
      <c r="G428" s="47" t="s">
        <v>18</v>
      </c>
      <c r="H428" s="12">
        <v>9971</v>
      </c>
      <c r="I428" s="4">
        <v>2.25</v>
      </c>
      <c r="J428" s="4">
        <v>2.25</v>
      </c>
      <c r="K428" s="4">
        <v>0</v>
      </c>
      <c r="L428" s="4">
        <v>0</v>
      </c>
      <c r="M428" s="12" t="s">
        <v>571</v>
      </c>
      <c r="N428" s="13">
        <f t="shared" si="14"/>
        <v>4.5</v>
      </c>
    </row>
    <row r="429" spans="1:14">
      <c r="A429" s="12">
        <v>428</v>
      </c>
      <c r="B429" s="3" t="s">
        <v>917</v>
      </c>
      <c r="C429" s="43" t="s">
        <v>918</v>
      </c>
      <c r="D429" s="43" t="s">
        <v>919</v>
      </c>
      <c r="E429" s="43" t="s">
        <v>749</v>
      </c>
      <c r="F429" s="6">
        <v>2761.2</v>
      </c>
      <c r="G429" s="45" t="s">
        <v>18</v>
      </c>
      <c r="H429" s="14">
        <v>998399</v>
      </c>
      <c r="I429" s="6">
        <v>210.6</v>
      </c>
      <c r="J429" s="6">
        <v>210.6</v>
      </c>
      <c r="K429" s="6">
        <v>0</v>
      </c>
      <c r="L429" s="4">
        <v>0</v>
      </c>
      <c r="M429" s="14" t="s">
        <v>19</v>
      </c>
      <c r="N429" s="15">
        <f t="shared" ref="N429:N434" si="15">SUM(I429:L429)</f>
        <v>421.2</v>
      </c>
    </row>
    <row r="430" spans="1:14">
      <c r="A430" s="12">
        <v>429</v>
      </c>
      <c r="B430" s="3" t="s">
        <v>917</v>
      </c>
      <c r="C430" s="43" t="s">
        <v>918</v>
      </c>
      <c r="D430" s="43" t="s">
        <v>920</v>
      </c>
      <c r="E430" s="43" t="s">
        <v>921</v>
      </c>
      <c r="F430" s="6">
        <v>2761.2</v>
      </c>
      <c r="G430" s="45" t="s">
        <v>18</v>
      </c>
      <c r="H430" s="14">
        <v>998399</v>
      </c>
      <c r="I430" s="6">
        <v>210.6</v>
      </c>
      <c r="J430" s="6">
        <v>210.6</v>
      </c>
      <c r="K430" s="6">
        <v>0</v>
      </c>
      <c r="L430" s="4">
        <v>0</v>
      </c>
      <c r="M430" s="14" t="s">
        <v>19</v>
      </c>
      <c r="N430" s="15">
        <f t="shared" si="15"/>
        <v>421.2</v>
      </c>
    </row>
    <row r="431" spans="1:14">
      <c r="A431" s="12">
        <v>430</v>
      </c>
      <c r="B431" s="3" t="s">
        <v>917</v>
      </c>
      <c r="C431" s="43" t="s">
        <v>918</v>
      </c>
      <c r="D431" s="43" t="s">
        <v>922</v>
      </c>
      <c r="E431" s="43" t="s">
        <v>766</v>
      </c>
      <c r="F431" s="6">
        <v>4602</v>
      </c>
      <c r="G431" s="45" t="s">
        <v>18</v>
      </c>
      <c r="H431" s="14">
        <v>998399</v>
      </c>
      <c r="I431" s="6">
        <v>351</v>
      </c>
      <c r="J431" s="6">
        <v>351</v>
      </c>
      <c r="K431" s="6">
        <v>0</v>
      </c>
      <c r="L431" s="4">
        <v>0</v>
      </c>
      <c r="M431" s="14" t="s">
        <v>19</v>
      </c>
      <c r="N431" s="15">
        <f t="shared" si="15"/>
        <v>702</v>
      </c>
    </row>
    <row r="432" spans="1:14">
      <c r="A432" s="12">
        <v>431</v>
      </c>
      <c r="B432" s="3" t="s">
        <v>917</v>
      </c>
      <c r="C432" s="43" t="s">
        <v>918</v>
      </c>
      <c r="D432" s="43" t="s">
        <v>923</v>
      </c>
      <c r="E432" s="43" t="s">
        <v>924</v>
      </c>
      <c r="F432" s="6">
        <v>7080</v>
      </c>
      <c r="G432" s="45" t="s">
        <v>18</v>
      </c>
      <c r="H432" s="14">
        <v>998399</v>
      </c>
      <c r="I432" s="6">
        <v>540</v>
      </c>
      <c r="J432" s="6">
        <v>540</v>
      </c>
      <c r="K432" s="6">
        <v>0</v>
      </c>
      <c r="L432" s="4">
        <v>0</v>
      </c>
      <c r="M432" s="14" t="s">
        <v>19</v>
      </c>
      <c r="N432" s="15">
        <f t="shared" si="15"/>
        <v>1080</v>
      </c>
    </row>
    <row r="433" spans="1:14">
      <c r="A433" s="12">
        <v>432</v>
      </c>
      <c r="B433" s="3" t="s">
        <v>917</v>
      </c>
      <c r="C433" s="43" t="s">
        <v>918</v>
      </c>
      <c r="D433" s="43" t="s">
        <v>925</v>
      </c>
      <c r="E433" s="43" t="s">
        <v>829</v>
      </c>
      <c r="F433" s="6">
        <v>13285.62</v>
      </c>
      <c r="G433" s="45" t="s">
        <v>18</v>
      </c>
      <c r="H433" s="14">
        <v>998399</v>
      </c>
      <c r="I433" s="6">
        <v>1013.31</v>
      </c>
      <c r="J433" s="6">
        <v>1013.31</v>
      </c>
      <c r="K433" s="6">
        <v>0</v>
      </c>
      <c r="L433" s="4">
        <v>0</v>
      </c>
      <c r="M433" s="14" t="s">
        <v>19</v>
      </c>
      <c r="N433" s="15">
        <f t="shared" si="15"/>
        <v>2026.62</v>
      </c>
    </row>
    <row r="434" spans="1:14">
      <c r="A434" s="12">
        <v>433</v>
      </c>
      <c r="B434" s="3" t="s">
        <v>917</v>
      </c>
      <c r="C434" s="43" t="s">
        <v>918</v>
      </c>
      <c r="D434" s="43" t="s">
        <v>926</v>
      </c>
      <c r="E434" s="43" t="s">
        <v>927</v>
      </c>
      <c r="F434" s="6">
        <v>1699</v>
      </c>
      <c r="G434" s="45" t="s">
        <v>18</v>
      </c>
      <c r="H434" s="14">
        <v>998399</v>
      </c>
      <c r="I434" s="6">
        <v>129.6</v>
      </c>
      <c r="J434" s="6">
        <v>129.6</v>
      </c>
      <c r="K434" s="6">
        <v>0</v>
      </c>
      <c r="L434" s="4">
        <v>0</v>
      </c>
      <c r="M434" s="14" t="s">
        <v>19</v>
      </c>
      <c r="N434" s="15">
        <f t="shared" si="15"/>
        <v>259.2</v>
      </c>
    </row>
    <row r="435" spans="1:14">
      <c r="A435" s="12">
        <v>434</v>
      </c>
      <c r="B435" s="3" t="s">
        <v>928</v>
      </c>
      <c r="C435" s="43" t="s">
        <v>929</v>
      </c>
      <c r="D435" s="43" t="s">
        <v>930</v>
      </c>
      <c r="E435" s="43" t="s">
        <v>931</v>
      </c>
      <c r="F435" s="6">
        <v>236</v>
      </c>
      <c r="G435" s="45" t="s">
        <v>18</v>
      </c>
      <c r="H435" s="3">
        <v>440249</v>
      </c>
      <c r="I435" s="6">
        <v>0</v>
      </c>
      <c r="J435" s="6">
        <v>0</v>
      </c>
      <c r="K435" s="6">
        <v>36</v>
      </c>
      <c r="L435" s="4">
        <v>0</v>
      </c>
      <c r="M435" s="14" t="s">
        <v>157</v>
      </c>
      <c r="N435" s="15" t="s">
        <v>202</v>
      </c>
    </row>
    <row r="436" spans="1:14">
      <c r="A436" s="12">
        <v>435</v>
      </c>
      <c r="B436" s="3" t="s">
        <v>928</v>
      </c>
      <c r="C436" s="43" t="s">
        <v>929</v>
      </c>
      <c r="D436" s="43" t="s">
        <v>932</v>
      </c>
      <c r="E436" s="43" t="s">
        <v>73</v>
      </c>
      <c r="F436" s="6">
        <v>236</v>
      </c>
      <c r="G436" s="45" t="s">
        <v>18</v>
      </c>
      <c r="H436" s="3">
        <v>440249</v>
      </c>
      <c r="I436" s="6">
        <v>0</v>
      </c>
      <c r="J436" s="6">
        <v>0</v>
      </c>
      <c r="K436" s="6">
        <v>36</v>
      </c>
      <c r="L436" s="4">
        <v>0</v>
      </c>
      <c r="M436" s="14" t="s">
        <v>157</v>
      </c>
      <c r="N436" s="15" t="s">
        <v>202</v>
      </c>
    </row>
    <row r="437" spans="1:14">
      <c r="A437" s="12">
        <v>436</v>
      </c>
      <c r="B437" s="3" t="s">
        <v>928</v>
      </c>
      <c r="C437" s="43" t="s">
        <v>929</v>
      </c>
      <c r="D437" s="43" t="s">
        <v>933</v>
      </c>
      <c r="E437" s="43" t="s">
        <v>934</v>
      </c>
      <c r="F437" s="6">
        <v>236</v>
      </c>
      <c r="G437" s="45" t="s">
        <v>18</v>
      </c>
      <c r="H437" s="3">
        <v>440249</v>
      </c>
      <c r="I437" s="6">
        <v>0</v>
      </c>
      <c r="J437" s="6">
        <v>0</v>
      </c>
      <c r="K437" s="6">
        <v>36</v>
      </c>
      <c r="L437" s="4">
        <v>0</v>
      </c>
      <c r="M437" s="14" t="s">
        <v>157</v>
      </c>
      <c r="N437" s="15" t="s">
        <v>202</v>
      </c>
    </row>
    <row r="438" spans="1:14">
      <c r="A438" s="12">
        <v>437</v>
      </c>
      <c r="B438" s="3" t="s">
        <v>928</v>
      </c>
      <c r="C438" s="43" t="s">
        <v>929</v>
      </c>
      <c r="D438" s="43" t="s">
        <v>935</v>
      </c>
      <c r="E438" s="43" t="s">
        <v>934</v>
      </c>
      <c r="F438" s="6">
        <v>236</v>
      </c>
      <c r="G438" s="45" t="s">
        <v>18</v>
      </c>
      <c r="H438" s="3">
        <v>440249</v>
      </c>
      <c r="I438" s="6">
        <v>0</v>
      </c>
      <c r="J438" s="6">
        <v>0</v>
      </c>
      <c r="K438" s="6">
        <v>36</v>
      </c>
      <c r="L438" s="4">
        <v>0</v>
      </c>
      <c r="M438" s="14" t="s">
        <v>157</v>
      </c>
      <c r="N438" s="15" t="s">
        <v>202</v>
      </c>
    </row>
    <row r="439" spans="1:14">
      <c r="A439" s="12">
        <v>438</v>
      </c>
      <c r="B439" s="3" t="s">
        <v>928</v>
      </c>
      <c r="C439" s="43" t="s">
        <v>929</v>
      </c>
      <c r="D439" s="43" t="s">
        <v>936</v>
      </c>
      <c r="E439" s="43" t="s">
        <v>93</v>
      </c>
      <c r="F439" s="6">
        <v>236</v>
      </c>
      <c r="G439" s="45" t="s">
        <v>18</v>
      </c>
      <c r="H439" s="3">
        <v>440249</v>
      </c>
      <c r="I439" s="6">
        <v>0</v>
      </c>
      <c r="J439" s="6">
        <v>0</v>
      </c>
      <c r="K439" s="6">
        <v>36</v>
      </c>
      <c r="L439" s="4">
        <v>0</v>
      </c>
      <c r="M439" s="14" t="s">
        <v>157</v>
      </c>
      <c r="N439" s="15" t="s">
        <v>202</v>
      </c>
    </row>
    <row r="440" spans="1:14">
      <c r="A440" s="12">
        <v>439</v>
      </c>
      <c r="B440" s="3" t="s">
        <v>928</v>
      </c>
      <c r="C440" s="43" t="s">
        <v>929</v>
      </c>
      <c r="D440" s="43" t="s">
        <v>937</v>
      </c>
      <c r="E440" s="43" t="s">
        <v>93</v>
      </c>
      <c r="F440" s="6">
        <v>236</v>
      </c>
      <c r="G440" s="45" t="s">
        <v>18</v>
      </c>
      <c r="H440" s="3">
        <v>440249</v>
      </c>
      <c r="I440" s="6">
        <v>0</v>
      </c>
      <c r="J440" s="6">
        <v>0</v>
      </c>
      <c r="K440" s="6">
        <v>36</v>
      </c>
      <c r="L440" s="4">
        <v>0</v>
      </c>
      <c r="M440" s="14" t="s">
        <v>157</v>
      </c>
      <c r="N440" s="15" t="s">
        <v>202</v>
      </c>
    </row>
    <row r="441" spans="1:14">
      <c r="A441" s="12">
        <v>440</v>
      </c>
      <c r="B441" s="3" t="s">
        <v>928</v>
      </c>
      <c r="C441" s="43" t="s">
        <v>929</v>
      </c>
      <c r="D441" s="43" t="s">
        <v>938</v>
      </c>
      <c r="E441" s="43" t="s">
        <v>93</v>
      </c>
      <c r="F441" s="6">
        <v>236</v>
      </c>
      <c r="G441" s="45" t="s">
        <v>18</v>
      </c>
      <c r="H441" s="3">
        <v>440249</v>
      </c>
      <c r="I441" s="6">
        <v>0</v>
      </c>
      <c r="J441" s="6">
        <v>0</v>
      </c>
      <c r="K441" s="6">
        <v>36</v>
      </c>
      <c r="L441" s="4">
        <v>0</v>
      </c>
      <c r="M441" s="14" t="s">
        <v>157</v>
      </c>
      <c r="N441" s="15" t="s">
        <v>202</v>
      </c>
    </row>
    <row r="442" spans="1:14">
      <c r="A442" s="12">
        <v>441</v>
      </c>
      <c r="B442" s="3" t="s">
        <v>928</v>
      </c>
      <c r="C442" s="43" t="s">
        <v>929</v>
      </c>
      <c r="D442" s="43" t="s">
        <v>939</v>
      </c>
      <c r="E442" s="43" t="s">
        <v>93</v>
      </c>
      <c r="F442" s="6">
        <v>236</v>
      </c>
      <c r="G442" s="45" t="s">
        <v>18</v>
      </c>
      <c r="H442" s="3">
        <v>440249</v>
      </c>
      <c r="I442" s="6">
        <v>0</v>
      </c>
      <c r="J442" s="6">
        <v>0</v>
      </c>
      <c r="K442" s="6">
        <v>36</v>
      </c>
      <c r="L442" s="4">
        <v>0</v>
      </c>
      <c r="M442" s="14" t="s">
        <v>157</v>
      </c>
      <c r="N442" s="15" t="s">
        <v>202</v>
      </c>
    </row>
    <row r="443" spans="1:14">
      <c r="A443" s="12">
        <v>442</v>
      </c>
      <c r="B443" s="3" t="s">
        <v>928</v>
      </c>
      <c r="C443" s="43" t="s">
        <v>929</v>
      </c>
      <c r="D443" s="43" t="s">
        <v>940</v>
      </c>
      <c r="E443" s="43" t="s">
        <v>941</v>
      </c>
      <c r="F443" s="6">
        <v>236</v>
      </c>
      <c r="G443" s="45" t="s">
        <v>18</v>
      </c>
      <c r="H443" s="3">
        <v>440249</v>
      </c>
      <c r="I443" s="6">
        <v>0</v>
      </c>
      <c r="J443" s="6">
        <v>0</v>
      </c>
      <c r="K443" s="6">
        <v>36</v>
      </c>
      <c r="L443" s="4">
        <v>0</v>
      </c>
      <c r="M443" s="14" t="s">
        <v>157</v>
      </c>
      <c r="N443" s="15" t="s">
        <v>202</v>
      </c>
    </row>
    <row r="444" spans="1:14">
      <c r="A444" s="12">
        <v>443</v>
      </c>
      <c r="B444" s="3" t="s">
        <v>942</v>
      </c>
      <c r="C444" s="43" t="s">
        <v>943</v>
      </c>
      <c r="D444" s="43" t="s">
        <v>944</v>
      </c>
      <c r="E444" s="43" t="s">
        <v>84</v>
      </c>
      <c r="F444" s="6">
        <v>122999.66</v>
      </c>
      <c r="G444" s="45" t="s">
        <v>18</v>
      </c>
      <c r="H444" s="3" t="s">
        <v>847</v>
      </c>
      <c r="I444" s="6">
        <v>0</v>
      </c>
      <c r="J444" s="6">
        <v>0</v>
      </c>
      <c r="K444" s="6">
        <v>18762.66</v>
      </c>
      <c r="L444" s="4">
        <v>0</v>
      </c>
      <c r="M444" s="14" t="s">
        <v>19</v>
      </c>
      <c r="N444" s="15">
        <f t="shared" ref="N444:N461" si="16">SUM(I444:L444)</f>
        <v>18762.66</v>
      </c>
    </row>
    <row r="445" spans="1:14">
      <c r="A445" s="12">
        <v>444</v>
      </c>
      <c r="B445" s="14"/>
      <c r="C445" s="44" t="s">
        <v>945</v>
      </c>
      <c r="D445" s="45" t="s">
        <v>946</v>
      </c>
      <c r="E445" s="55">
        <v>45747</v>
      </c>
      <c r="F445" s="34">
        <v>71935</v>
      </c>
      <c r="G445" s="45" t="s">
        <v>18</v>
      </c>
      <c r="H445" s="14">
        <v>996511</v>
      </c>
      <c r="I445" s="14">
        <v>0</v>
      </c>
      <c r="J445" s="14">
        <v>0</v>
      </c>
      <c r="K445" s="14">
        <v>3596.75</v>
      </c>
      <c r="L445" s="4">
        <v>0</v>
      </c>
      <c r="M445" s="14" t="s">
        <v>19</v>
      </c>
      <c r="N445" s="14">
        <f t="shared" si="16"/>
        <v>3596.75</v>
      </c>
    </row>
    <row r="446" spans="1:14">
      <c r="A446" s="12">
        <v>445</v>
      </c>
      <c r="B446" s="3" t="s">
        <v>947</v>
      </c>
      <c r="C446" s="43" t="s">
        <v>948</v>
      </c>
      <c r="D446" s="43" t="s">
        <v>949</v>
      </c>
      <c r="E446" s="43" t="s">
        <v>23</v>
      </c>
      <c r="F446" s="6">
        <v>6494.76</v>
      </c>
      <c r="G446" s="45" t="s">
        <v>18</v>
      </c>
      <c r="H446" s="3" t="s">
        <v>950</v>
      </c>
      <c r="I446" s="6">
        <v>0</v>
      </c>
      <c r="J446" s="6">
        <v>0</v>
      </c>
      <c r="K446" s="6">
        <v>990.72</v>
      </c>
      <c r="L446" s="4">
        <v>0</v>
      </c>
      <c r="M446" s="14" t="s">
        <v>19</v>
      </c>
      <c r="N446" s="15">
        <f t="shared" si="16"/>
        <v>990.72</v>
      </c>
    </row>
    <row r="447" spans="1:14">
      <c r="A447" s="12">
        <v>446</v>
      </c>
      <c r="B447" s="3" t="s">
        <v>947</v>
      </c>
      <c r="C447" s="43" t="s">
        <v>948</v>
      </c>
      <c r="D447" s="43" t="s">
        <v>951</v>
      </c>
      <c r="E447" s="43" t="s">
        <v>40</v>
      </c>
      <c r="F447" s="6">
        <v>12180.74</v>
      </c>
      <c r="G447" s="45" t="s">
        <v>18</v>
      </c>
      <c r="H447" s="3" t="s">
        <v>950</v>
      </c>
      <c r="I447" s="6">
        <v>0</v>
      </c>
      <c r="J447" s="6">
        <v>0</v>
      </c>
      <c r="K447" s="6">
        <v>1858.08</v>
      </c>
      <c r="L447" s="4">
        <v>0</v>
      </c>
      <c r="M447" s="14" t="s">
        <v>19</v>
      </c>
      <c r="N447" s="15">
        <f t="shared" si="16"/>
        <v>1858.08</v>
      </c>
    </row>
    <row r="448" spans="1:14">
      <c r="A448" s="12">
        <v>447</v>
      </c>
      <c r="B448" s="3" t="s">
        <v>947</v>
      </c>
      <c r="C448" s="43" t="s">
        <v>948</v>
      </c>
      <c r="D448" s="43" t="s">
        <v>952</v>
      </c>
      <c r="E448" s="43" t="s">
        <v>40</v>
      </c>
      <c r="F448" s="6">
        <v>14383.27</v>
      </c>
      <c r="G448" s="45" t="s">
        <v>18</v>
      </c>
      <c r="H448" s="3" t="s">
        <v>950</v>
      </c>
      <c r="I448" s="6">
        <v>0</v>
      </c>
      <c r="J448" s="6">
        <v>0</v>
      </c>
      <c r="K448" s="6">
        <v>2194.06</v>
      </c>
      <c r="L448" s="4">
        <v>0</v>
      </c>
      <c r="M448" s="14" t="s">
        <v>19</v>
      </c>
      <c r="N448" s="15">
        <f t="shared" si="16"/>
        <v>2194.06</v>
      </c>
    </row>
    <row r="449" spans="1:14">
      <c r="A449" s="12">
        <v>448</v>
      </c>
      <c r="B449" s="3" t="s">
        <v>947</v>
      </c>
      <c r="C449" s="43" t="s">
        <v>948</v>
      </c>
      <c r="D449" s="43" t="s">
        <v>953</v>
      </c>
      <c r="E449" s="43" t="s">
        <v>40</v>
      </c>
      <c r="F449" s="6">
        <v>6529.77</v>
      </c>
      <c r="G449" s="45" t="s">
        <v>18</v>
      </c>
      <c r="H449" s="3" t="s">
        <v>950</v>
      </c>
      <c r="I449" s="6">
        <v>0</v>
      </c>
      <c r="J449" s="6">
        <v>0</v>
      </c>
      <c r="K449" s="6">
        <v>996.07</v>
      </c>
      <c r="L449" s="4">
        <v>0</v>
      </c>
      <c r="M449" s="14" t="s">
        <v>19</v>
      </c>
      <c r="N449" s="15">
        <f t="shared" si="16"/>
        <v>996.07</v>
      </c>
    </row>
    <row r="450" spans="1:14">
      <c r="A450" s="12">
        <v>449</v>
      </c>
      <c r="B450" s="3" t="s">
        <v>947</v>
      </c>
      <c r="C450" s="43" t="s">
        <v>948</v>
      </c>
      <c r="D450" s="43" t="s">
        <v>954</v>
      </c>
      <c r="E450" s="43" t="s">
        <v>40</v>
      </c>
      <c r="F450" s="6">
        <v>8796.7199999999993</v>
      </c>
      <c r="G450" s="45" t="s">
        <v>18</v>
      </c>
      <c r="H450" s="3" t="s">
        <v>950</v>
      </c>
      <c r="I450" s="6">
        <v>0</v>
      </c>
      <c r="J450" s="6">
        <v>0</v>
      </c>
      <c r="K450" s="6">
        <v>1341.87</v>
      </c>
      <c r="L450" s="4">
        <v>0</v>
      </c>
      <c r="M450" s="14" t="s">
        <v>19</v>
      </c>
      <c r="N450" s="15">
        <f t="shared" si="16"/>
        <v>1341.87</v>
      </c>
    </row>
    <row r="451" spans="1:14">
      <c r="A451" s="12">
        <v>450</v>
      </c>
      <c r="B451" s="3" t="s">
        <v>947</v>
      </c>
      <c r="C451" s="43" t="s">
        <v>948</v>
      </c>
      <c r="D451" s="43" t="s">
        <v>955</v>
      </c>
      <c r="E451" s="43" t="s">
        <v>34</v>
      </c>
      <c r="F451" s="6">
        <v>3994.95</v>
      </c>
      <c r="G451" s="45" t="s">
        <v>18</v>
      </c>
      <c r="H451" s="3" t="s">
        <v>950</v>
      </c>
      <c r="I451" s="6">
        <v>0</v>
      </c>
      <c r="J451" s="6">
        <v>0</v>
      </c>
      <c r="K451" s="6">
        <v>609.4</v>
      </c>
      <c r="L451" s="4">
        <v>0</v>
      </c>
      <c r="M451" s="14" t="s">
        <v>19</v>
      </c>
      <c r="N451" s="15">
        <f t="shared" si="16"/>
        <v>609.4</v>
      </c>
    </row>
    <row r="452" spans="1:14">
      <c r="A452" s="12">
        <v>451</v>
      </c>
      <c r="B452" s="3" t="s">
        <v>947</v>
      </c>
      <c r="C452" s="43" t="s">
        <v>948</v>
      </c>
      <c r="D452" s="43" t="s">
        <v>956</v>
      </c>
      <c r="E452" s="43" t="s">
        <v>34</v>
      </c>
      <c r="F452" s="6">
        <v>2774.13</v>
      </c>
      <c r="G452" s="45" t="s">
        <v>18</v>
      </c>
      <c r="H452" s="3" t="s">
        <v>950</v>
      </c>
      <c r="I452" s="6">
        <v>0</v>
      </c>
      <c r="J452" s="6">
        <v>0</v>
      </c>
      <c r="K452" s="6">
        <v>423.17</v>
      </c>
      <c r="L452" s="4">
        <v>0</v>
      </c>
      <c r="M452" s="14" t="s">
        <v>19</v>
      </c>
      <c r="N452" s="15">
        <f t="shared" si="16"/>
        <v>423.17</v>
      </c>
    </row>
    <row r="453" spans="1:14">
      <c r="A453" s="12">
        <v>452</v>
      </c>
      <c r="B453" s="3" t="s">
        <v>947</v>
      </c>
      <c r="C453" s="43" t="s">
        <v>948</v>
      </c>
      <c r="D453" s="43" t="s">
        <v>957</v>
      </c>
      <c r="E453" s="43" t="s">
        <v>34</v>
      </c>
      <c r="F453" s="6">
        <v>5919.66</v>
      </c>
      <c r="G453" s="45" t="s">
        <v>18</v>
      </c>
      <c r="H453" s="3" t="s">
        <v>950</v>
      </c>
      <c r="I453" s="6">
        <v>0</v>
      </c>
      <c r="J453" s="6">
        <v>0</v>
      </c>
      <c r="K453" s="6">
        <v>903</v>
      </c>
      <c r="L453" s="4">
        <v>0</v>
      </c>
      <c r="M453" s="14" t="s">
        <v>19</v>
      </c>
      <c r="N453" s="15">
        <f t="shared" si="16"/>
        <v>903</v>
      </c>
    </row>
    <row r="454" spans="1:14">
      <c r="A454" s="12">
        <v>453</v>
      </c>
      <c r="B454" s="3" t="s">
        <v>947</v>
      </c>
      <c r="C454" s="43" t="s">
        <v>948</v>
      </c>
      <c r="D454" s="43" t="s">
        <v>958</v>
      </c>
      <c r="E454" s="43" t="s">
        <v>34</v>
      </c>
      <c r="F454" s="6">
        <v>4456.16</v>
      </c>
      <c r="G454" s="45" t="s">
        <v>18</v>
      </c>
      <c r="H454" s="3" t="s">
        <v>950</v>
      </c>
      <c r="I454" s="6">
        <v>0</v>
      </c>
      <c r="J454" s="6">
        <v>0</v>
      </c>
      <c r="K454" s="6">
        <v>679.75</v>
      </c>
      <c r="L454" s="4">
        <v>0</v>
      </c>
      <c r="M454" s="14" t="s">
        <v>19</v>
      </c>
      <c r="N454" s="15">
        <f t="shared" si="16"/>
        <v>679.75</v>
      </c>
    </row>
    <row r="455" spans="1:14">
      <c r="A455" s="12">
        <v>454</v>
      </c>
      <c r="B455" s="3" t="s">
        <v>947</v>
      </c>
      <c r="C455" s="43" t="s">
        <v>948</v>
      </c>
      <c r="D455" s="43" t="s">
        <v>959</v>
      </c>
      <c r="E455" s="43" t="s">
        <v>28</v>
      </c>
      <c r="F455" s="6">
        <v>2972.28</v>
      </c>
      <c r="G455" s="45" t="s">
        <v>18</v>
      </c>
      <c r="H455" s="3" t="s">
        <v>950</v>
      </c>
      <c r="I455" s="6">
        <v>0</v>
      </c>
      <c r="J455" s="6">
        <v>0</v>
      </c>
      <c r="K455" s="6">
        <v>453.4</v>
      </c>
      <c r="L455" s="4">
        <v>0</v>
      </c>
      <c r="M455" s="14" t="s">
        <v>19</v>
      </c>
      <c r="N455" s="15">
        <f t="shared" si="16"/>
        <v>453.4</v>
      </c>
    </row>
    <row r="456" spans="1:14">
      <c r="A456" s="12">
        <v>455</v>
      </c>
      <c r="B456" s="3" t="s">
        <v>947</v>
      </c>
      <c r="C456" s="43" t="s">
        <v>948</v>
      </c>
      <c r="D456" s="43" t="s">
        <v>960</v>
      </c>
      <c r="E456" s="43" t="s">
        <v>28</v>
      </c>
      <c r="F456" s="6">
        <v>4280.3</v>
      </c>
      <c r="G456" s="45" t="s">
        <v>18</v>
      </c>
      <c r="H456" s="3" t="s">
        <v>950</v>
      </c>
      <c r="I456" s="6">
        <v>0</v>
      </c>
      <c r="J456" s="6">
        <v>0</v>
      </c>
      <c r="K456" s="6">
        <v>652.92999999999995</v>
      </c>
      <c r="L456" s="4">
        <v>0</v>
      </c>
      <c r="M456" s="14" t="s">
        <v>19</v>
      </c>
      <c r="N456" s="15">
        <f t="shared" si="16"/>
        <v>652.92999999999995</v>
      </c>
    </row>
    <row r="457" spans="1:14">
      <c r="A457" s="12">
        <v>456</v>
      </c>
      <c r="B457" s="3" t="s">
        <v>947</v>
      </c>
      <c r="C457" s="43" t="s">
        <v>948</v>
      </c>
      <c r="D457" s="43" t="s">
        <v>961</v>
      </c>
      <c r="E457" s="43" t="s">
        <v>28</v>
      </c>
      <c r="F457" s="6">
        <v>25.58</v>
      </c>
      <c r="G457" s="45" t="s">
        <v>18</v>
      </c>
      <c r="H457" s="3" t="s">
        <v>950</v>
      </c>
      <c r="I457" s="6">
        <v>0</v>
      </c>
      <c r="J457" s="6">
        <v>0</v>
      </c>
      <c r="K457" s="6">
        <v>3.9</v>
      </c>
      <c r="L457" s="4">
        <v>0</v>
      </c>
      <c r="M457" s="14" t="s">
        <v>19</v>
      </c>
      <c r="N457" s="15">
        <f t="shared" si="16"/>
        <v>3.9</v>
      </c>
    </row>
    <row r="458" spans="1:14">
      <c r="A458" s="12">
        <v>457</v>
      </c>
      <c r="B458" s="3" t="s">
        <v>947</v>
      </c>
      <c r="C458" s="43" t="s">
        <v>948</v>
      </c>
      <c r="D458" s="43" t="s">
        <v>962</v>
      </c>
      <c r="E458" s="43" t="s">
        <v>28</v>
      </c>
      <c r="F458" s="6">
        <v>6342.5</v>
      </c>
      <c r="G458" s="45" t="s">
        <v>18</v>
      </c>
      <c r="H458" s="3" t="s">
        <v>950</v>
      </c>
      <c r="I458" s="6">
        <v>0</v>
      </c>
      <c r="J458" s="6">
        <v>0</v>
      </c>
      <c r="K458" s="6">
        <v>967.5</v>
      </c>
      <c r="L458" s="4">
        <v>0</v>
      </c>
      <c r="M458" s="14" t="s">
        <v>19</v>
      </c>
      <c r="N458" s="15">
        <f t="shared" si="16"/>
        <v>967.5</v>
      </c>
    </row>
    <row r="459" spans="1:14">
      <c r="A459" s="12">
        <v>458</v>
      </c>
      <c r="B459" s="3" t="s">
        <v>947</v>
      </c>
      <c r="C459" s="43" t="s">
        <v>948</v>
      </c>
      <c r="D459" s="43" t="s">
        <v>963</v>
      </c>
      <c r="E459" s="43" t="s">
        <v>964</v>
      </c>
      <c r="F459" s="6">
        <v>118</v>
      </c>
      <c r="G459" s="45" t="s">
        <v>18</v>
      </c>
      <c r="H459" s="3" t="s">
        <v>950</v>
      </c>
      <c r="I459" s="6">
        <v>0</v>
      </c>
      <c r="J459" s="6">
        <v>0</v>
      </c>
      <c r="K459" s="6">
        <v>18</v>
      </c>
      <c r="L459" s="4">
        <v>0</v>
      </c>
      <c r="M459" s="14" t="s">
        <v>19</v>
      </c>
      <c r="N459" s="15">
        <f t="shared" si="16"/>
        <v>18</v>
      </c>
    </row>
    <row r="460" spans="1:14">
      <c r="A460" s="12">
        <v>459</v>
      </c>
      <c r="B460" s="3" t="s">
        <v>947</v>
      </c>
      <c r="C460" s="43" t="s">
        <v>948</v>
      </c>
      <c r="D460" s="43" t="s">
        <v>965</v>
      </c>
      <c r="E460" s="43" t="s">
        <v>95</v>
      </c>
      <c r="F460" s="6">
        <v>15092.47</v>
      </c>
      <c r="G460" s="45" t="s">
        <v>18</v>
      </c>
      <c r="H460" s="3" t="s">
        <v>950</v>
      </c>
      <c r="I460" s="6">
        <v>0</v>
      </c>
      <c r="J460" s="6">
        <v>0</v>
      </c>
      <c r="K460" s="6">
        <v>2302.2399999999998</v>
      </c>
      <c r="L460" s="4">
        <v>0</v>
      </c>
      <c r="M460" s="14" t="s">
        <v>19</v>
      </c>
      <c r="N460" s="15">
        <f t="shared" si="16"/>
        <v>2302.2399999999998</v>
      </c>
    </row>
    <row r="461" spans="1:14">
      <c r="A461" s="12">
        <v>460</v>
      </c>
      <c r="B461" s="3" t="s">
        <v>947</v>
      </c>
      <c r="C461" s="43" t="s">
        <v>948</v>
      </c>
      <c r="D461" s="43" t="s">
        <v>966</v>
      </c>
      <c r="E461" s="43" t="s">
        <v>95</v>
      </c>
      <c r="F461" s="6">
        <v>28183.35</v>
      </c>
      <c r="G461" s="45" t="s">
        <v>18</v>
      </c>
      <c r="H461" s="3" t="s">
        <v>950</v>
      </c>
      <c r="I461" s="6">
        <v>0</v>
      </c>
      <c r="J461" s="6">
        <v>0</v>
      </c>
      <c r="K461" s="6">
        <v>4299.1499999999996</v>
      </c>
      <c r="L461" s="4">
        <v>0</v>
      </c>
      <c r="M461" s="14" t="s">
        <v>19</v>
      </c>
      <c r="N461" s="15">
        <f t="shared" si="16"/>
        <v>4299.1499999999996</v>
      </c>
    </row>
    <row r="462" spans="1:14">
      <c r="A462" s="12">
        <v>461</v>
      </c>
      <c r="B462" s="3" t="s">
        <v>967</v>
      </c>
      <c r="C462" s="43" t="s">
        <v>968</v>
      </c>
      <c r="D462" s="43" t="s">
        <v>969</v>
      </c>
      <c r="E462" s="43" t="s">
        <v>970</v>
      </c>
      <c r="F462" s="6">
        <v>12800</v>
      </c>
      <c r="G462" s="45" t="s">
        <v>156</v>
      </c>
      <c r="H462" s="3" t="s">
        <v>971</v>
      </c>
      <c r="I462" s="6">
        <v>1399.99</v>
      </c>
      <c r="J462" s="6">
        <v>1399.99</v>
      </c>
      <c r="K462" s="6">
        <v>0</v>
      </c>
      <c r="L462" s="4">
        <v>0</v>
      </c>
      <c r="M462" s="14" t="s">
        <v>157</v>
      </c>
      <c r="N462" s="15" t="s">
        <v>202</v>
      </c>
    </row>
    <row r="463" spans="1:14">
      <c r="A463" s="12">
        <v>462</v>
      </c>
      <c r="B463" s="3" t="s">
        <v>972</v>
      </c>
      <c r="C463" s="43" t="s">
        <v>973</v>
      </c>
      <c r="D463" s="43" t="s">
        <v>974</v>
      </c>
      <c r="E463" s="43" t="s">
        <v>51</v>
      </c>
      <c r="F463" s="6">
        <v>26550</v>
      </c>
      <c r="G463" s="45" t="s">
        <v>18</v>
      </c>
      <c r="H463" s="3">
        <v>997135</v>
      </c>
      <c r="I463" s="6">
        <v>0</v>
      </c>
      <c r="J463" s="6">
        <v>0</v>
      </c>
      <c r="K463" s="6">
        <v>4050</v>
      </c>
      <c r="L463" s="4">
        <v>0</v>
      </c>
      <c r="M463" s="14" t="s">
        <v>19</v>
      </c>
      <c r="N463" s="15">
        <f t="shared" ref="N463:N526" si="17">SUM(I463:L463)</f>
        <v>4050</v>
      </c>
    </row>
    <row r="464" spans="1:14">
      <c r="A464" s="12">
        <v>463</v>
      </c>
      <c r="B464" s="3" t="s">
        <v>975</v>
      </c>
      <c r="C464" s="43" t="s">
        <v>976</v>
      </c>
      <c r="D464" s="43" t="s">
        <v>977</v>
      </c>
      <c r="E464" s="43" t="s">
        <v>34</v>
      </c>
      <c r="F464" s="6">
        <v>1256005</v>
      </c>
      <c r="G464" s="45" t="s">
        <v>182</v>
      </c>
      <c r="H464" s="3">
        <v>1006</v>
      </c>
      <c r="I464" s="6">
        <v>0</v>
      </c>
      <c r="J464" s="6">
        <v>0</v>
      </c>
      <c r="K464" s="6">
        <v>1254.75</v>
      </c>
      <c r="L464" s="4">
        <v>0</v>
      </c>
      <c r="M464" s="14" t="s">
        <v>108</v>
      </c>
      <c r="N464" s="15">
        <f t="shared" si="17"/>
        <v>1254.75</v>
      </c>
    </row>
    <row r="465" spans="1:14">
      <c r="A465" s="12">
        <v>464</v>
      </c>
      <c r="B465" s="3" t="s">
        <v>975</v>
      </c>
      <c r="C465" s="43" t="s">
        <v>976</v>
      </c>
      <c r="D465" s="43" t="s">
        <v>978</v>
      </c>
      <c r="E465" s="43" t="s">
        <v>34</v>
      </c>
      <c r="F465" s="6">
        <v>1256005</v>
      </c>
      <c r="G465" s="45" t="s">
        <v>182</v>
      </c>
      <c r="H465" s="3">
        <v>1006</v>
      </c>
      <c r="I465" s="6">
        <v>0</v>
      </c>
      <c r="J465" s="6">
        <v>0</v>
      </c>
      <c r="K465" s="6">
        <v>1254.75</v>
      </c>
      <c r="L465" s="4">
        <v>0</v>
      </c>
      <c r="M465" s="14" t="s">
        <v>108</v>
      </c>
      <c r="N465" s="15">
        <f t="shared" si="17"/>
        <v>1254.75</v>
      </c>
    </row>
    <row r="466" spans="1:14">
      <c r="A466" s="12">
        <v>465</v>
      </c>
      <c r="B466" s="3" t="s">
        <v>975</v>
      </c>
      <c r="C466" s="43" t="s">
        <v>976</v>
      </c>
      <c r="D466" s="43" t="s">
        <v>979</v>
      </c>
      <c r="E466" s="43" t="s">
        <v>444</v>
      </c>
      <c r="F466" s="6">
        <v>1256005</v>
      </c>
      <c r="G466" s="45" t="s">
        <v>182</v>
      </c>
      <c r="H466" s="3">
        <v>1006</v>
      </c>
      <c r="I466" s="6">
        <v>0</v>
      </c>
      <c r="J466" s="6">
        <v>0</v>
      </c>
      <c r="K466" s="6">
        <v>1254.75</v>
      </c>
      <c r="L466" s="4">
        <v>0</v>
      </c>
      <c r="M466" s="14" t="s">
        <v>108</v>
      </c>
      <c r="N466" s="15">
        <f t="shared" si="17"/>
        <v>1254.75</v>
      </c>
    </row>
    <row r="467" spans="1:14">
      <c r="A467" s="12">
        <v>466</v>
      </c>
      <c r="B467" s="3" t="s">
        <v>975</v>
      </c>
      <c r="C467" s="43" t="s">
        <v>976</v>
      </c>
      <c r="D467" s="43" t="s">
        <v>57</v>
      </c>
      <c r="E467" s="43" t="s">
        <v>921</v>
      </c>
      <c r="F467" s="6">
        <v>1076576</v>
      </c>
      <c r="G467" s="45" t="s">
        <v>182</v>
      </c>
      <c r="H467" s="3">
        <v>1006</v>
      </c>
      <c r="I467" s="6">
        <v>0</v>
      </c>
      <c r="J467" s="6">
        <v>0</v>
      </c>
      <c r="K467" s="6">
        <v>1075.5</v>
      </c>
      <c r="L467" s="4">
        <v>0</v>
      </c>
      <c r="M467" s="14" t="s">
        <v>108</v>
      </c>
      <c r="N467" s="15">
        <f t="shared" si="17"/>
        <v>1075.5</v>
      </c>
    </row>
    <row r="468" spans="1:14">
      <c r="A468" s="12">
        <v>467</v>
      </c>
      <c r="B468" s="3" t="s">
        <v>975</v>
      </c>
      <c r="C468" s="43" t="s">
        <v>976</v>
      </c>
      <c r="D468" s="43" t="s">
        <v>980</v>
      </c>
      <c r="E468" s="43" t="s">
        <v>921</v>
      </c>
      <c r="F468" s="6">
        <v>179429</v>
      </c>
      <c r="G468" s="45" t="s">
        <v>182</v>
      </c>
      <c r="H468" s="3">
        <v>1006</v>
      </c>
      <c r="I468" s="6">
        <v>0</v>
      </c>
      <c r="J468" s="6">
        <v>0</v>
      </c>
      <c r="K468" s="6">
        <v>179.25</v>
      </c>
      <c r="L468" s="4">
        <v>0</v>
      </c>
      <c r="M468" s="14" t="s">
        <v>108</v>
      </c>
      <c r="N468" s="15">
        <f t="shared" si="17"/>
        <v>179.25</v>
      </c>
    </row>
    <row r="469" spans="1:14">
      <c r="A469" s="12">
        <v>468</v>
      </c>
      <c r="B469" s="3" t="s">
        <v>981</v>
      </c>
      <c r="C469" s="43" t="s">
        <v>982</v>
      </c>
      <c r="D469" s="43" t="s">
        <v>983</v>
      </c>
      <c r="E469" s="43" t="s">
        <v>23</v>
      </c>
      <c r="F469" s="6">
        <v>1771121</v>
      </c>
      <c r="G469" s="45" t="s">
        <v>18</v>
      </c>
      <c r="H469" s="3">
        <v>996111</v>
      </c>
      <c r="I469" s="6">
        <v>135085.5</v>
      </c>
      <c r="J469" s="6">
        <v>135085.5</v>
      </c>
      <c r="K469" s="6">
        <v>0</v>
      </c>
      <c r="L469" s="4">
        <v>0</v>
      </c>
      <c r="M469" s="14" t="s">
        <v>19</v>
      </c>
      <c r="N469" s="15">
        <f t="shared" si="17"/>
        <v>270171</v>
      </c>
    </row>
    <row r="470" spans="1:14">
      <c r="A470" s="12">
        <v>469</v>
      </c>
      <c r="B470" s="3" t="s">
        <v>984</v>
      </c>
      <c r="C470" s="43" t="s">
        <v>985</v>
      </c>
      <c r="D470" s="43" t="s">
        <v>986</v>
      </c>
      <c r="E470" s="43" t="s">
        <v>825</v>
      </c>
      <c r="F470" s="6">
        <v>69300</v>
      </c>
      <c r="G470" s="45" t="s">
        <v>18</v>
      </c>
      <c r="H470" s="3">
        <v>996511</v>
      </c>
      <c r="I470" s="6">
        <v>0</v>
      </c>
      <c r="J470" s="6">
        <v>0</v>
      </c>
      <c r="K470" s="6">
        <v>3465</v>
      </c>
      <c r="L470" s="4">
        <v>0</v>
      </c>
      <c r="M470" s="14" t="s">
        <v>19</v>
      </c>
      <c r="N470" s="15">
        <f t="shared" si="17"/>
        <v>3465</v>
      </c>
    </row>
    <row r="471" spans="1:14">
      <c r="A471" s="12">
        <v>470</v>
      </c>
      <c r="B471" s="3" t="s">
        <v>984</v>
      </c>
      <c r="C471" s="43" t="s">
        <v>985</v>
      </c>
      <c r="D471" s="43" t="s">
        <v>987</v>
      </c>
      <c r="E471" s="43" t="s">
        <v>825</v>
      </c>
      <c r="F471" s="6">
        <v>65100</v>
      </c>
      <c r="G471" s="45" t="s">
        <v>18</v>
      </c>
      <c r="H471" s="3">
        <v>996511</v>
      </c>
      <c r="I471" s="6">
        <v>0</v>
      </c>
      <c r="J471" s="6">
        <v>0</v>
      </c>
      <c r="K471" s="6">
        <v>3255</v>
      </c>
      <c r="L471" s="4">
        <v>0</v>
      </c>
      <c r="M471" s="14" t="s">
        <v>19</v>
      </c>
      <c r="N471" s="15">
        <f t="shared" si="17"/>
        <v>3255</v>
      </c>
    </row>
    <row r="472" spans="1:14">
      <c r="A472" s="12">
        <v>471</v>
      </c>
      <c r="B472" s="3" t="s">
        <v>988</v>
      </c>
      <c r="C472" s="43" t="s">
        <v>989</v>
      </c>
      <c r="D472" s="43" t="s">
        <v>990</v>
      </c>
      <c r="E472" s="43" t="s">
        <v>991</v>
      </c>
      <c r="F472" s="6">
        <v>102018.38</v>
      </c>
      <c r="G472" s="45" t="s">
        <v>18</v>
      </c>
      <c r="H472" s="3" t="s">
        <v>992</v>
      </c>
      <c r="I472" s="6">
        <v>0</v>
      </c>
      <c r="J472" s="6">
        <v>0</v>
      </c>
      <c r="K472" s="6">
        <v>15562.13</v>
      </c>
      <c r="L472" s="4">
        <v>0</v>
      </c>
      <c r="M472" s="14" t="s">
        <v>19</v>
      </c>
      <c r="N472" s="15">
        <f t="shared" si="17"/>
        <v>15562.13</v>
      </c>
    </row>
    <row r="473" spans="1:14">
      <c r="A473" s="12">
        <v>472</v>
      </c>
      <c r="B473" s="3" t="s">
        <v>988</v>
      </c>
      <c r="C473" s="43" t="s">
        <v>989</v>
      </c>
      <c r="D473" s="43" t="s">
        <v>993</v>
      </c>
      <c r="E473" s="43" t="s">
        <v>994</v>
      </c>
      <c r="F473" s="6">
        <v>38202.5</v>
      </c>
      <c r="G473" s="45" t="s">
        <v>18</v>
      </c>
      <c r="H473" s="3" t="s">
        <v>992</v>
      </c>
      <c r="I473" s="6">
        <v>0</v>
      </c>
      <c r="J473" s="6">
        <v>0</v>
      </c>
      <c r="K473" s="6">
        <v>5827.5</v>
      </c>
      <c r="L473" s="4">
        <v>0</v>
      </c>
      <c r="M473" s="14" t="s">
        <v>19</v>
      </c>
      <c r="N473" s="15">
        <f t="shared" si="17"/>
        <v>5827.5</v>
      </c>
    </row>
    <row r="474" spans="1:14">
      <c r="A474" s="12">
        <v>473</v>
      </c>
      <c r="B474" s="3" t="s">
        <v>995</v>
      </c>
      <c r="C474" s="43" t="s">
        <v>989</v>
      </c>
      <c r="D474" s="43" t="s">
        <v>996</v>
      </c>
      <c r="E474" s="43" t="s">
        <v>997</v>
      </c>
      <c r="F474" s="6">
        <v>11151</v>
      </c>
      <c r="G474" s="45" t="s">
        <v>18</v>
      </c>
      <c r="H474" s="3" t="s">
        <v>992</v>
      </c>
      <c r="I474" s="6">
        <v>0</v>
      </c>
      <c r="J474" s="6">
        <v>0</v>
      </c>
      <c r="K474" s="6">
        <v>1701</v>
      </c>
      <c r="L474" s="4">
        <v>0</v>
      </c>
      <c r="M474" s="14" t="s">
        <v>19</v>
      </c>
      <c r="N474" s="15">
        <f t="shared" si="17"/>
        <v>1701</v>
      </c>
    </row>
    <row r="475" spans="1:14">
      <c r="A475" s="12">
        <v>474</v>
      </c>
      <c r="B475" s="3" t="s">
        <v>995</v>
      </c>
      <c r="C475" s="43" t="s">
        <v>989</v>
      </c>
      <c r="D475" s="43" t="s">
        <v>998</v>
      </c>
      <c r="E475" s="43" t="s">
        <v>997</v>
      </c>
      <c r="F475" s="6">
        <v>15340</v>
      </c>
      <c r="G475" s="45" t="s">
        <v>18</v>
      </c>
      <c r="H475" s="3" t="s">
        <v>992</v>
      </c>
      <c r="I475" s="6">
        <v>0</v>
      </c>
      <c r="J475" s="6">
        <v>0</v>
      </c>
      <c r="K475" s="6">
        <v>2340</v>
      </c>
      <c r="L475" s="4">
        <v>0</v>
      </c>
      <c r="M475" s="14" t="s">
        <v>19</v>
      </c>
      <c r="N475" s="15">
        <f t="shared" si="17"/>
        <v>2340</v>
      </c>
    </row>
    <row r="476" spans="1:14">
      <c r="A476" s="12">
        <v>475</v>
      </c>
      <c r="B476" s="3" t="s">
        <v>995</v>
      </c>
      <c r="C476" s="43" t="s">
        <v>989</v>
      </c>
      <c r="D476" s="43" t="s">
        <v>999</v>
      </c>
      <c r="E476" s="43" t="s">
        <v>1000</v>
      </c>
      <c r="F476" s="6">
        <v>9705.5</v>
      </c>
      <c r="G476" s="45" t="s">
        <v>18</v>
      </c>
      <c r="H476" s="3" t="s">
        <v>992</v>
      </c>
      <c r="I476" s="6">
        <v>0</v>
      </c>
      <c r="J476" s="6">
        <v>0</v>
      </c>
      <c r="K476" s="6">
        <v>1480.5</v>
      </c>
      <c r="L476" s="4">
        <v>0</v>
      </c>
      <c r="M476" s="14" t="s">
        <v>19</v>
      </c>
      <c r="N476" s="15">
        <f t="shared" si="17"/>
        <v>1480.5</v>
      </c>
    </row>
    <row r="477" spans="1:14">
      <c r="A477" s="12">
        <v>476</v>
      </c>
      <c r="B477" s="3" t="s">
        <v>995</v>
      </c>
      <c r="C477" s="43" t="s">
        <v>989</v>
      </c>
      <c r="D477" s="43" t="s">
        <v>1001</v>
      </c>
      <c r="E477" s="43" t="s">
        <v>1000</v>
      </c>
      <c r="F477" s="6">
        <v>13806</v>
      </c>
      <c r="G477" s="45" t="s">
        <v>18</v>
      </c>
      <c r="H477" s="3" t="s">
        <v>992</v>
      </c>
      <c r="I477" s="6">
        <v>0</v>
      </c>
      <c r="J477" s="6">
        <v>0</v>
      </c>
      <c r="K477" s="6">
        <v>2106</v>
      </c>
      <c r="L477" s="4">
        <v>0</v>
      </c>
      <c r="M477" s="14" t="s">
        <v>19</v>
      </c>
      <c r="N477" s="15">
        <f t="shared" si="17"/>
        <v>2106</v>
      </c>
    </row>
    <row r="478" spans="1:14">
      <c r="A478" s="12">
        <v>477</v>
      </c>
      <c r="B478" s="3" t="s">
        <v>995</v>
      </c>
      <c r="C478" s="43" t="s">
        <v>989</v>
      </c>
      <c r="D478" s="43" t="s">
        <v>1002</v>
      </c>
      <c r="E478" s="43" t="s">
        <v>1000</v>
      </c>
      <c r="F478" s="6">
        <v>11151</v>
      </c>
      <c r="G478" s="45" t="s">
        <v>18</v>
      </c>
      <c r="H478" s="3" t="s">
        <v>992</v>
      </c>
      <c r="I478" s="6">
        <v>0</v>
      </c>
      <c r="J478" s="6">
        <v>0</v>
      </c>
      <c r="K478" s="6">
        <v>1701</v>
      </c>
      <c r="L478" s="4">
        <v>0</v>
      </c>
      <c r="M478" s="14" t="s">
        <v>19</v>
      </c>
      <c r="N478" s="15">
        <f t="shared" si="17"/>
        <v>1701</v>
      </c>
    </row>
    <row r="479" spans="1:14">
      <c r="A479" s="12">
        <v>478</v>
      </c>
      <c r="B479" s="3" t="s">
        <v>995</v>
      </c>
      <c r="C479" s="43" t="s">
        <v>989</v>
      </c>
      <c r="D479" s="43" t="s">
        <v>1003</v>
      </c>
      <c r="E479" s="43" t="s">
        <v>1000</v>
      </c>
      <c r="F479" s="6">
        <v>15340</v>
      </c>
      <c r="G479" s="45" t="s">
        <v>18</v>
      </c>
      <c r="H479" s="3" t="s">
        <v>992</v>
      </c>
      <c r="I479" s="6">
        <v>0</v>
      </c>
      <c r="J479" s="6">
        <v>0</v>
      </c>
      <c r="K479" s="6">
        <v>2340</v>
      </c>
      <c r="L479" s="4">
        <v>0</v>
      </c>
      <c r="M479" s="14" t="s">
        <v>19</v>
      </c>
      <c r="N479" s="15">
        <f t="shared" si="17"/>
        <v>2340</v>
      </c>
    </row>
    <row r="480" spans="1:14">
      <c r="A480" s="12">
        <v>479</v>
      </c>
      <c r="B480" s="3" t="s">
        <v>995</v>
      </c>
      <c r="C480" s="43" t="s">
        <v>989</v>
      </c>
      <c r="D480" s="43" t="s">
        <v>1004</v>
      </c>
      <c r="E480" s="43" t="s">
        <v>1000</v>
      </c>
      <c r="F480" s="6">
        <v>11151</v>
      </c>
      <c r="G480" s="45" t="s">
        <v>18</v>
      </c>
      <c r="H480" s="3" t="s">
        <v>992</v>
      </c>
      <c r="I480" s="6">
        <v>0</v>
      </c>
      <c r="J480" s="6">
        <v>0</v>
      </c>
      <c r="K480" s="6">
        <v>1701</v>
      </c>
      <c r="L480" s="4">
        <v>0</v>
      </c>
      <c r="M480" s="14" t="s">
        <v>19</v>
      </c>
      <c r="N480" s="15">
        <f t="shared" si="17"/>
        <v>1701</v>
      </c>
    </row>
    <row r="481" spans="1:14">
      <c r="A481" s="12">
        <v>480</v>
      </c>
      <c r="B481" s="3" t="s">
        <v>995</v>
      </c>
      <c r="C481" s="43" t="s">
        <v>989</v>
      </c>
      <c r="D481" s="43" t="s">
        <v>1005</v>
      </c>
      <c r="E481" s="43" t="s">
        <v>1000</v>
      </c>
      <c r="F481" s="6">
        <v>15340</v>
      </c>
      <c r="G481" s="45" t="s">
        <v>18</v>
      </c>
      <c r="H481" s="3" t="s">
        <v>992</v>
      </c>
      <c r="I481" s="6">
        <v>0</v>
      </c>
      <c r="J481" s="6">
        <v>0</v>
      </c>
      <c r="K481" s="6">
        <v>2340</v>
      </c>
      <c r="L481" s="4">
        <v>0</v>
      </c>
      <c r="M481" s="14" t="s">
        <v>19</v>
      </c>
      <c r="N481" s="15">
        <f t="shared" si="17"/>
        <v>2340</v>
      </c>
    </row>
    <row r="482" spans="1:14">
      <c r="A482" s="12">
        <v>481</v>
      </c>
      <c r="B482" s="3" t="s">
        <v>1006</v>
      </c>
      <c r="C482" s="43" t="s">
        <v>1007</v>
      </c>
      <c r="D482" s="43" t="s">
        <v>1008</v>
      </c>
      <c r="E482" s="43" t="s">
        <v>835</v>
      </c>
      <c r="F482" s="6">
        <v>206500</v>
      </c>
      <c r="G482" s="45" t="s">
        <v>18</v>
      </c>
      <c r="H482" s="3">
        <v>996711</v>
      </c>
      <c r="I482" s="6">
        <v>0</v>
      </c>
      <c r="J482" s="6">
        <v>0</v>
      </c>
      <c r="K482" s="6">
        <v>31500</v>
      </c>
      <c r="L482" s="4">
        <v>0</v>
      </c>
      <c r="M482" s="14" t="s">
        <v>19</v>
      </c>
      <c r="N482" s="15">
        <f t="shared" si="17"/>
        <v>31500</v>
      </c>
    </row>
    <row r="483" spans="1:14">
      <c r="A483" s="12">
        <v>482</v>
      </c>
      <c r="B483" s="3" t="s">
        <v>1006</v>
      </c>
      <c r="C483" s="43" t="s">
        <v>1007</v>
      </c>
      <c r="D483" s="43" t="s">
        <v>1009</v>
      </c>
      <c r="E483" s="43" t="s">
        <v>835</v>
      </c>
      <c r="F483" s="6">
        <v>42480</v>
      </c>
      <c r="G483" s="45" t="s">
        <v>18</v>
      </c>
      <c r="H483" s="3">
        <v>996711</v>
      </c>
      <c r="I483" s="6">
        <v>0</v>
      </c>
      <c r="J483" s="6">
        <v>0</v>
      </c>
      <c r="K483" s="6">
        <v>6480</v>
      </c>
      <c r="L483" s="4">
        <v>0</v>
      </c>
      <c r="M483" s="14" t="s">
        <v>19</v>
      </c>
      <c r="N483" s="15">
        <f t="shared" si="17"/>
        <v>6480</v>
      </c>
    </row>
    <row r="484" spans="1:14">
      <c r="A484" s="12">
        <v>483</v>
      </c>
      <c r="B484" s="3" t="s">
        <v>1010</v>
      </c>
      <c r="C484" s="43" t="s">
        <v>1011</v>
      </c>
      <c r="D484" s="43" t="s">
        <v>1012</v>
      </c>
      <c r="E484" s="43" t="s">
        <v>40</v>
      </c>
      <c r="F484" s="6">
        <v>324736</v>
      </c>
      <c r="G484" s="45" t="s">
        <v>182</v>
      </c>
      <c r="H484" s="3">
        <v>63051030</v>
      </c>
      <c r="I484" s="6">
        <v>0</v>
      </c>
      <c r="J484" s="6">
        <v>0</v>
      </c>
      <c r="K484" s="6">
        <v>49536</v>
      </c>
      <c r="L484" s="4">
        <v>0</v>
      </c>
      <c r="M484" s="14" t="s">
        <v>108</v>
      </c>
      <c r="N484" s="15">
        <f t="shared" si="17"/>
        <v>49536</v>
      </c>
    </row>
    <row r="485" spans="1:14">
      <c r="A485" s="12">
        <v>484</v>
      </c>
      <c r="B485" s="3" t="s">
        <v>1010</v>
      </c>
      <c r="C485" s="43" t="s">
        <v>1011</v>
      </c>
      <c r="D485" s="43" t="s">
        <v>1013</v>
      </c>
      <c r="E485" s="43" t="s">
        <v>1014</v>
      </c>
      <c r="F485" s="6">
        <v>330986</v>
      </c>
      <c r="G485" s="45" t="s">
        <v>182</v>
      </c>
      <c r="H485" s="3">
        <v>63051030</v>
      </c>
      <c r="I485" s="6">
        <v>0</v>
      </c>
      <c r="J485" s="6">
        <v>0</v>
      </c>
      <c r="K485" s="6">
        <v>50489.46</v>
      </c>
      <c r="L485" s="4">
        <v>0</v>
      </c>
      <c r="M485" s="14" t="s">
        <v>108</v>
      </c>
      <c r="N485" s="15">
        <f t="shared" si="17"/>
        <v>50489.46</v>
      </c>
    </row>
    <row r="486" spans="1:14">
      <c r="A486" s="12">
        <v>485</v>
      </c>
      <c r="B486" s="3" t="s">
        <v>1010</v>
      </c>
      <c r="C486" s="43" t="s">
        <v>1011</v>
      </c>
      <c r="D486" s="43" t="s">
        <v>1015</v>
      </c>
      <c r="E486" s="43" t="s">
        <v>1014</v>
      </c>
      <c r="F486" s="6">
        <v>12517</v>
      </c>
      <c r="G486" s="45" t="s">
        <v>182</v>
      </c>
      <c r="H486" s="3">
        <v>63051030</v>
      </c>
      <c r="I486" s="6">
        <v>0</v>
      </c>
      <c r="J486" s="6">
        <v>0</v>
      </c>
      <c r="K486" s="6">
        <v>1909.44</v>
      </c>
      <c r="L486" s="4">
        <v>0</v>
      </c>
      <c r="M486" s="14" t="s">
        <v>108</v>
      </c>
      <c r="N486" s="15">
        <f t="shared" si="17"/>
        <v>1909.44</v>
      </c>
    </row>
    <row r="487" spans="1:14">
      <c r="A487" s="12">
        <v>486</v>
      </c>
      <c r="B487" s="3" t="s">
        <v>1010</v>
      </c>
      <c r="C487" s="43" t="s">
        <v>1011</v>
      </c>
      <c r="D487" s="43" t="s">
        <v>1016</v>
      </c>
      <c r="E487" s="43" t="s">
        <v>843</v>
      </c>
      <c r="F487" s="6">
        <v>178235</v>
      </c>
      <c r="G487" s="45" t="s">
        <v>182</v>
      </c>
      <c r="H487" s="3">
        <v>63051030</v>
      </c>
      <c r="I487" s="6">
        <v>0</v>
      </c>
      <c r="J487" s="6">
        <v>0</v>
      </c>
      <c r="K487" s="6">
        <v>27188.46</v>
      </c>
      <c r="L487" s="4">
        <v>0</v>
      </c>
      <c r="M487" s="14" t="s">
        <v>108</v>
      </c>
      <c r="N487" s="15">
        <f t="shared" si="17"/>
        <v>27188.46</v>
      </c>
    </row>
    <row r="488" spans="1:14">
      <c r="A488" s="12">
        <v>487</v>
      </c>
      <c r="B488" s="3" t="s">
        <v>1010</v>
      </c>
      <c r="C488" s="43" t="s">
        <v>1011</v>
      </c>
      <c r="D488" s="43" t="s">
        <v>1017</v>
      </c>
      <c r="E488" s="43" t="s">
        <v>843</v>
      </c>
      <c r="F488" s="6">
        <v>176569</v>
      </c>
      <c r="G488" s="45" t="s">
        <v>182</v>
      </c>
      <c r="H488" s="3">
        <v>63051030</v>
      </c>
      <c r="I488" s="6">
        <v>0</v>
      </c>
      <c r="J488" s="6">
        <v>0</v>
      </c>
      <c r="K488" s="6">
        <v>26934.3</v>
      </c>
      <c r="L488" s="4">
        <v>0</v>
      </c>
      <c r="M488" s="14" t="s">
        <v>108</v>
      </c>
      <c r="N488" s="15">
        <f t="shared" si="17"/>
        <v>26934.3</v>
      </c>
    </row>
    <row r="489" spans="1:14">
      <c r="A489" s="12">
        <v>488</v>
      </c>
      <c r="B489" s="3" t="s">
        <v>1010</v>
      </c>
      <c r="C489" s="43" t="s">
        <v>1011</v>
      </c>
      <c r="D489" s="43" t="s">
        <v>1018</v>
      </c>
      <c r="E489" s="43" t="s">
        <v>1019</v>
      </c>
      <c r="F489" s="6">
        <v>688589</v>
      </c>
      <c r="G489" s="45" t="s">
        <v>182</v>
      </c>
      <c r="H489" s="3">
        <v>63051030</v>
      </c>
      <c r="I489" s="6">
        <v>0</v>
      </c>
      <c r="J489" s="6">
        <v>0</v>
      </c>
      <c r="K489" s="6">
        <v>105039</v>
      </c>
      <c r="L489" s="4">
        <v>0</v>
      </c>
      <c r="M489" s="14" t="s">
        <v>108</v>
      </c>
      <c r="N489" s="15">
        <f t="shared" si="17"/>
        <v>105039</v>
      </c>
    </row>
    <row r="490" spans="1:14">
      <c r="A490" s="12">
        <v>489</v>
      </c>
      <c r="B490" s="3" t="s">
        <v>1020</v>
      </c>
      <c r="C490" s="43" t="s">
        <v>1021</v>
      </c>
      <c r="D490" s="43" t="s">
        <v>1022</v>
      </c>
      <c r="E490" s="43" t="s">
        <v>46</v>
      </c>
      <c r="F490" s="6">
        <v>1075074</v>
      </c>
      <c r="G490" s="45" t="s">
        <v>182</v>
      </c>
      <c r="H490" s="3">
        <v>1006</v>
      </c>
      <c r="I490" s="6">
        <v>0</v>
      </c>
      <c r="J490" s="6">
        <v>0</v>
      </c>
      <c r="K490" s="6">
        <v>1074</v>
      </c>
      <c r="L490" s="4">
        <v>0</v>
      </c>
      <c r="M490" s="14" t="s">
        <v>108</v>
      </c>
      <c r="N490" s="15">
        <f t="shared" si="17"/>
        <v>1074</v>
      </c>
    </row>
    <row r="491" spans="1:14">
      <c r="A491" s="12">
        <v>490</v>
      </c>
      <c r="B491" s="3" t="s">
        <v>1020</v>
      </c>
      <c r="C491" s="43" t="s">
        <v>1021</v>
      </c>
      <c r="D491" s="43" t="s">
        <v>1023</v>
      </c>
      <c r="E491" s="43" t="s">
        <v>46</v>
      </c>
      <c r="F491" s="6">
        <v>1075074</v>
      </c>
      <c r="G491" s="45" t="s">
        <v>182</v>
      </c>
      <c r="H491" s="3">
        <v>1006</v>
      </c>
      <c r="I491" s="6">
        <v>0</v>
      </c>
      <c r="J491" s="6">
        <v>0</v>
      </c>
      <c r="K491" s="6">
        <v>1074</v>
      </c>
      <c r="L491" s="4">
        <v>0</v>
      </c>
      <c r="M491" s="14" t="s">
        <v>108</v>
      </c>
      <c r="N491" s="15">
        <f t="shared" si="17"/>
        <v>1074</v>
      </c>
    </row>
    <row r="492" spans="1:14">
      <c r="A492" s="12">
        <v>491</v>
      </c>
      <c r="B492" s="3" t="s">
        <v>1020</v>
      </c>
      <c r="C492" s="43" t="s">
        <v>1021</v>
      </c>
      <c r="D492" s="43" t="s">
        <v>1024</v>
      </c>
      <c r="E492" s="43" t="s">
        <v>1025</v>
      </c>
      <c r="F492" s="6">
        <v>1075074</v>
      </c>
      <c r="G492" s="45" t="s">
        <v>182</v>
      </c>
      <c r="H492" s="3">
        <v>1006</v>
      </c>
      <c r="I492" s="6">
        <v>0</v>
      </c>
      <c r="J492" s="6">
        <v>0</v>
      </c>
      <c r="K492" s="6">
        <v>1074</v>
      </c>
      <c r="L492" s="4">
        <v>0</v>
      </c>
      <c r="M492" s="14" t="s">
        <v>108</v>
      </c>
      <c r="N492" s="15">
        <f t="shared" si="17"/>
        <v>1074</v>
      </c>
    </row>
    <row r="493" spans="1:14">
      <c r="A493" s="12">
        <v>492</v>
      </c>
      <c r="B493" s="3" t="s">
        <v>1020</v>
      </c>
      <c r="C493" s="43" t="s">
        <v>1021</v>
      </c>
      <c r="D493" s="43" t="s">
        <v>1026</v>
      </c>
      <c r="E493" s="43" t="s">
        <v>766</v>
      </c>
      <c r="F493" s="6">
        <v>1075074</v>
      </c>
      <c r="G493" s="45" t="s">
        <v>182</v>
      </c>
      <c r="H493" s="3">
        <v>1006</v>
      </c>
      <c r="I493" s="6">
        <v>0</v>
      </c>
      <c r="J493" s="6">
        <v>0</v>
      </c>
      <c r="K493" s="6">
        <v>1074</v>
      </c>
      <c r="L493" s="4">
        <v>0</v>
      </c>
      <c r="M493" s="14" t="s">
        <v>108</v>
      </c>
      <c r="N493" s="15">
        <f t="shared" si="17"/>
        <v>1074</v>
      </c>
    </row>
    <row r="494" spans="1:14">
      <c r="A494" s="12">
        <v>493</v>
      </c>
      <c r="B494" s="3" t="s">
        <v>1020</v>
      </c>
      <c r="C494" s="43" t="s">
        <v>1021</v>
      </c>
      <c r="D494" s="43" t="s">
        <v>1027</v>
      </c>
      <c r="E494" s="43" t="s">
        <v>766</v>
      </c>
      <c r="F494" s="6">
        <v>1075074</v>
      </c>
      <c r="G494" s="45" t="s">
        <v>182</v>
      </c>
      <c r="H494" s="3">
        <v>1006</v>
      </c>
      <c r="I494" s="6">
        <v>0</v>
      </c>
      <c r="J494" s="6">
        <v>0</v>
      </c>
      <c r="K494" s="6">
        <v>1074</v>
      </c>
      <c r="L494" s="4">
        <v>0</v>
      </c>
      <c r="M494" s="14" t="s">
        <v>108</v>
      </c>
      <c r="N494" s="15">
        <f t="shared" si="17"/>
        <v>1074</v>
      </c>
    </row>
    <row r="495" spans="1:14">
      <c r="A495" s="12">
        <v>494</v>
      </c>
      <c r="B495" s="3" t="s">
        <v>1028</v>
      </c>
      <c r="C495" s="43" t="s">
        <v>1029</v>
      </c>
      <c r="D495" s="43" t="s">
        <v>1030</v>
      </c>
      <c r="E495" s="43" t="s">
        <v>924</v>
      </c>
      <c r="F495" s="6">
        <v>531000</v>
      </c>
      <c r="G495" s="45" t="s">
        <v>18</v>
      </c>
      <c r="H495" s="3" t="s">
        <v>1031</v>
      </c>
      <c r="I495" s="6">
        <v>40500</v>
      </c>
      <c r="J495" s="6">
        <v>40500</v>
      </c>
      <c r="K495" s="6">
        <v>0</v>
      </c>
      <c r="L495" s="4">
        <v>0</v>
      </c>
      <c r="M495" s="14" t="s">
        <v>19</v>
      </c>
      <c r="N495" s="15">
        <f t="shared" si="17"/>
        <v>81000</v>
      </c>
    </row>
    <row r="496" spans="1:14">
      <c r="A496" s="12">
        <v>495</v>
      </c>
      <c r="B496" s="3" t="s">
        <v>1032</v>
      </c>
      <c r="C496" s="43" t="s">
        <v>1033</v>
      </c>
      <c r="D496" s="43" t="s">
        <v>1034</v>
      </c>
      <c r="E496" s="43" t="s">
        <v>766</v>
      </c>
      <c r="F496" s="6">
        <v>176744.22</v>
      </c>
      <c r="G496" s="45" t="s">
        <v>18</v>
      </c>
      <c r="H496" s="3">
        <v>996799</v>
      </c>
      <c r="I496" s="6">
        <v>0</v>
      </c>
      <c r="J496" s="6">
        <v>0</v>
      </c>
      <c r="K496" s="6">
        <v>26960.98</v>
      </c>
      <c r="L496" s="4">
        <v>0</v>
      </c>
      <c r="M496" s="14" t="s">
        <v>19</v>
      </c>
      <c r="N496" s="15">
        <f t="shared" si="17"/>
        <v>26960.98</v>
      </c>
    </row>
    <row r="497" spans="1:14">
      <c r="A497" s="12">
        <v>496</v>
      </c>
      <c r="B497" s="3" t="s">
        <v>1032</v>
      </c>
      <c r="C497" s="43" t="s">
        <v>1033</v>
      </c>
      <c r="D497" s="43" t="s">
        <v>1035</v>
      </c>
      <c r="E497" s="43" t="s">
        <v>766</v>
      </c>
      <c r="F497" s="6">
        <v>2123823.77</v>
      </c>
      <c r="G497" s="45" t="s">
        <v>18</v>
      </c>
      <c r="H497" s="3">
        <v>996799</v>
      </c>
      <c r="I497" s="6">
        <v>0</v>
      </c>
      <c r="J497" s="6">
        <v>0</v>
      </c>
      <c r="K497" s="6">
        <v>101134.47</v>
      </c>
      <c r="L497" s="4">
        <v>0</v>
      </c>
      <c r="M497" s="14" t="s">
        <v>19</v>
      </c>
      <c r="N497" s="15">
        <f t="shared" si="17"/>
        <v>101134.47</v>
      </c>
    </row>
    <row r="498" spans="1:14">
      <c r="A498" s="12">
        <v>497</v>
      </c>
      <c r="B498" s="3" t="s">
        <v>1032</v>
      </c>
      <c r="C498" s="43" t="s">
        <v>1033</v>
      </c>
      <c r="D498" s="43" t="s">
        <v>1036</v>
      </c>
      <c r="E498" s="43" t="s">
        <v>766</v>
      </c>
      <c r="F498" s="6">
        <v>176744.22</v>
      </c>
      <c r="G498" s="45" t="s">
        <v>18</v>
      </c>
      <c r="H498" s="3">
        <v>996799</v>
      </c>
      <c r="I498" s="6">
        <v>0</v>
      </c>
      <c r="J498" s="6">
        <v>0</v>
      </c>
      <c r="K498" s="6">
        <v>26960.98</v>
      </c>
      <c r="L498" s="4">
        <v>0</v>
      </c>
      <c r="M498" s="14" t="s">
        <v>19</v>
      </c>
      <c r="N498" s="15">
        <f t="shared" si="17"/>
        <v>26960.98</v>
      </c>
    </row>
    <row r="499" spans="1:14">
      <c r="A499" s="12">
        <v>498</v>
      </c>
      <c r="B499" s="3" t="s">
        <v>1032</v>
      </c>
      <c r="C499" s="43" t="s">
        <v>1033</v>
      </c>
      <c r="D499" s="43" t="s">
        <v>1037</v>
      </c>
      <c r="E499" s="43" t="s">
        <v>766</v>
      </c>
      <c r="F499" s="6">
        <v>2123823.77</v>
      </c>
      <c r="G499" s="45" t="s">
        <v>18</v>
      </c>
      <c r="H499" s="3">
        <v>996799</v>
      </c>
      <c r="I499" s="6">
        <v>0</v>
      </c>
      <c r="J499" s="6">
        <v>0</v>
      </c>
      <c r="K499" s="6">
        <v>101134.47</v>
      </c>
      <c r="L499" s="4">
        <v>0</v>
      </c>
      <c r="M499" s="14" t="s">
        <v>19</v>
      </c>
      <c r="N499" s="15">
        <f t="shared" si="17"/>
        <v>101134.47</v>
      </c>
    </row>
    <row r="500" spans="1:14">
      <c r="A500" s="12">
        <v>499</v>
      </c>
      <c r="B500" s="3" t="s">
        <v>1032</v>
      </c>
      <c r="C500" s="43" t="s">
        <v>1033</v>
      </c>
      <c r="D500" s="43" t="s">
        <v>1038</v>
      </c>
      <c r="E500" s="43" t="s">
        <v>766</v>
      </c>
      <c r="F500" s="6">
        <v>176744.22</v>
      </c>
      <c r="G500" s="45" t="s">
        <v>18</v>
      </c>
      <c r="H500" s="3">
        <v>996799</v>
      </c>
      <c r="I500" s="6">
        <v>0</v>
      </c>
      <c r="J500" s="6">
        <v>0</v>
      </c>
      <c r="K500" s="6">
        <v>26960.98</v>
      </c>
      <c r="L500" s="4">
        <v>0</v>
      </c>
      <c r="M500" s="14" t="s">
        <v>19</v>
      </c>
      <c r="N500" s="15">
        <f t="shared" si="17"/>
        <v>26960.98</v>
      </c>
    </row>
    <row r="501" spans="1:14">
      <c r="A501" s="12">
        <v>500</v>
      </c>
      <c r="B501" s="3" t="s">
        <v>1032</v>
      </c>
      <c r="C501" s="43" t="s">
        <v>1033</v>
      </c>
      <c r="D501" s="43" t="s">
        <v>1039</v>
      </c>
      <c r="E501" s="43" t="s">
        <v>766</v>
      </c>
      <c r="F501" s="6">
        <v>2123823.77</v>
      </c>
      <c r="G501" s="45" t="s">
        <v>18</v>
      </c>
      <c r="H501" s="3">
        <v>996799</v>
      </c>
      <c r="I501" s="6">
        <v>0</v>
      </c>
      <c r="J501" s="6">
        <v>0</v>
      </c>
      <c r="K501" s="6">
        <v>101134.47</v>
      </c>
      <c r="L501" s="4">
        <v>0</v>
      </c>
      <c r="M501" s="14" t="s">
        <v>19</v>
      </c>
      <c r="N501" s="15">
        <f t="shared" si="17"/>
        <v>101134.47</v>
      </c>
    </row>
    <row r="502" spans="1:14">
      <c r="A502" s="12">
        <v>501</v>
      </c>
      <c r="B502" s="3" t="s">
        <v>1032</v>
      </c>
      <c r="C502" s="43" t="s">
        <v>1033</v>
      </c>
      <c r="D502" s="43" t="s">
        <v>1040</v>
      </c>
      <c r="E502" s="43" t="s">
        <v>766</v>
      </c>
      <c r="F502" s="6">
        <v>262284.34999999998</v>
      </c>
      <c r="G502" s="45" t="s">
        <v>18</v>
      </c>
      <c r="H502" s="3">
        <v>996799</v>
      </c>
      <c r="I502" s="6">
        <v>0</v>
      </c>
      <c r="J502" s="6">
        <v>0</v>
      </c>
      <c r="K502" s="6">
        <v>40009.480000000003</v>
      </c>
      <c r="L502" s="4">
        <v>0</v>
      </c>
      <c r="M502" s="14" t="s">
        <v>19</v>
      </c>
      <c r="N502" s="15">
        <f t="shared" si="17"/>
        <v>40009.480000000003</v>
      </c>
    </row>
    <row r="503" spans="1:14">
      <c r="A503" s="12">
        <v>502</v>
      </c>
      <c r="B503" s="3" t="s">
        <v>1032</v>
      </c>
      <c r="C503" s="43" t="s">
        <v>1033</v>
      </c>
      <c r="D503" s="43" t="s">
        <v>1041</v>
      </c>
      <c r="E503" s="43" t="s">
        <v>766</v>
      </c>
      <c r="F503" s="6">
        <v>3185735.65</v>
      </c>
      <c r="G503" s="45" t="s">
        <v>18</v>
      </c>
      <c r="H503" s="3">
        <v>996799</v>
      </c>
      <c r="I503" s="6">
        <v>0</v>
      </c>
      <c r="J503" s="6">
        <v>0</v>
      </c>
      <c r="K503" s="6">
        <v>151701.70000000001</v>
      </c>
      <c r="L503" s="4">
        <v>0</v>
      </c>
      <c r="M503" s="14" t="s">
        <v>19</v>
      </c>
      <c r="N503" s="15">
        <f t="shared" si="17"/>
        <v>151701.70000000001</v>
      </c>
    </row>
    <row r="504" spans="1:14">
      <c r="A504" s="12">
        <v>503</v>
      </c>
      <c r="B504" s="3" t="s">
        <v>1032</v>
      </c>
      <c r="C504" s="43" t="s">
        <v>1033</v>
      </c>
      <c r="D504" s="43" t="s">
        <v>1042</v>
      </c>
      <c r="E504" s="43" t="s">
        <v>766</v>
      </c>
      <c r="F504" s="6">
        <v>56988.08</v>
      </c>
      <c r="G504" s="45" t="s">
        <v>18</v>
      </c>
      <c r="H504" s="3">
        <v>996799</v>
      </c>
      <c r="I504" s="6">
        <v>0</v>
      </c>
      <c r="J504" s="6">
        <v>0</v>
      </c>
      <c r="K504" s="6">
        <v>8693.1</v>
      </c>
      <c r="L504" s="4">
        <v>0</v>
      </c>
      <c r="M504" s="14" t="s">
        <v>19</v>
      </c>
      <c r="N504" s="15">
        <f t="shared" si="17"/>
        <v>8693.1</v>
      </c>
    </row>
    <row r="505" spans="1:14">
      <c r="A505" s="12">
        <v>504</v>
      </c>
      <c r="B505" s="3" t="s">
        <v>1032</v>
      </c>
      <c r="C505" s="43" t="s">
        <v>1033</v>
      </c>
      <c r="D505" s="43" t="s">
        <v>1043</v>
      </c>
      <c r="E505" s="43" t="s">
        <v>766</v>
      </c>
      <c r="F505" s="6">
        <v>637147.13</v>
      </c>
      <c r="G505" s="45" t="s">
        <v>18</v>
      </c>
      <c r="H505" s="3">
        <v>996799</v>
      </c>
      <c r="I505" s="6">
        <v>0</v>
      </c>
      <c r="J505" s="6">
        <v>0</v>
      </c>
      <c r="K505" s="6">
        <v>30340.34</v>
      </c>
      <c r="L505" s="4">
        <v>0</v>
      </c>
      <c r="M505" s="14" t="s">
        <v>19</v>
      </c>
      <c r="N505" s="15">
        <f t="shared" si="17"/>
        <v>30340.34</v>
      </c>
    </row>
    <row r="506" spans="1:14">
      <c r="A506" s="12">
        <v>505</v>
      </c>
      <c r="B506" s="3" t="s">
        <v>1032</v>
      </c>
      <c r="C506" s="43" t="s">
        <v>1033</v>
      </c>
      <c r="D506" s="43" t="s">
        <v>1044</v>
      </c>
      <c r="E506" s="43" t="s">
        <v>766</v>
      </c>
      <c r="F506" s="6">
        <v>176744.22</v>
      </c>
      <c r="G506" s="45" t="s">
        <v>18</v>
      </c>
      <c r="H506" s="3">
        <v>996799</v>
      </c>
      <c r="I506" s="6">
        <v>0</v>
      </c>
      <c r="J506" s="6">
        <v>0</v>
      </c>
      <c r="K506" s="6">
        <v>26960.98</v>
      </c>
      <c r="L506" s="4">
        <v>0</v>
      </c>
      <c r="M506" s="14" t="s">
        <v>19</v>
      </c>
      <c r="N506" s="15">
        <f t="shared" si="17"/>
        <v>26960.98</v>
      </c>
    </row>
    <row r="507" spans="1:14">
      <c r="A507" s="12">
        <v>506</v>
      </c>
      <c r="B507" s="3" t="s">
        <v>1032</v>
      </c>
      <c r="C507" s="43" t="s">
        <v>1033</v>
      </c>
      <c r="D507" s="43" t="s">
        <v>1045</v>
      </c>
      <c r="E507" s="43" t="s">
        <v>766</v>
      </c>
      <c r="F507" s="6">
        <v>2123823.77</v>
      </c>
      <c r="G507" s="45" t="s">
        <v>18</v>
      </c>
      <c r="H507" s="3">
        <v>996799</v>
      </c>
      <c r="I507" s="6">
        <v>0</v>
      </c>
      <c r="J507" s="6">
        <v>0</v>
      </c>
      <c r="K507" s="6">
        <v>101134.47</v>
      </c>
      <c r="L507" s="4">
        <v>0</v>
      </c>
      <c r="M507" s="14" t="s">
        <v>19</v>
      </c>
      <c r="N507" s="15">
        <f t="shared" si="17"/>
        <v>101134.47</v>
      </c>
    </row>
    <row r="508" spans="1:14">
      <c r="A508" s="12">
        <v>507</v>
      </c>
      <c r="B508" s="3" t="s">
        <v>1032</v>
      </c>
      <c r="C508" s="43" t="s">
        <v>1033</v>
      </c>
      <c r="D508" s="43" t="s">
        <v>1046</v>
      </c>
      <c r="E508" s="43" t="s">
        <v>766</v>
      </c>
      <c r="F508" s="6">
        <v>1061911.8799999999</v>
      </c>
      <c r="G508" s="45" t="s">
        <v>18</v>
      </c>
      <c r="H508" s="3">
        <v>996799</v>
      </c>
      <c r="I508" s="6">
        <v>0</v>
      </c>
      <c r="J508" s="6">
        <v>0</v>
      </c>
      <c r="K508" s="6">
        <v>50567.23</v>
      </c>
      <c r="L508" s="4">
        <v>0</v>
      </c>
      <c r="M508" s="14" t="s">
        <v>19</v>
      </c>
      <c r="N508" s="15">
        <f t="shared" si="17"/>
        <v>50567.23</v>
      </c>
    </row>
    <row r="509" spans="1:14">
      <c r="A509" s="12">
        <v>508</v>
      </c>
      <c r="B509" s="3" t="s">
        <v>1032</v>
      </c>
      <c r="C509" s="43" t="s">
        <v>1033</v>
      </c>
      <c r="D509" s="43" t="s">
        <v>1047</v>
      </c>
      <c r="E509" s="43" t="s">
        <v>766</v>
      </c>
      <c r="F509" s="6">
        <v>91204.13</v>
      </c>
      <c r="G509" s="45" t="s">
        <v>18</v>
      </c>
      <c r="H509" s="3">
        <v>996799</v>
      </c>
      <c r="I509" s="6">
        <v>0</v>
      </c>
      <c r="J509" s="6">
        <v>0</v>
      </c>
      <c r="K509" s="6">
        <v>13912.5</v>
      </c>
      <c r="L509" s="4">
        <v>0</v>
      </c>
      <c r="M509" s="14" t="s">
        <v>19</v>
      </c>
      <c r="N509" s="15">
        <f t="shared" si="17"/>
        <v>13912.5</v>
      </c>
    </row>
    <row r="510" spans="1:14">
      <c r="A510" s="12">
        <v>509</v>
      </c>
      <c r="B510" s="3" t="s">
        <v>1032</v>
      </c>
      <c r="C510" s="43" t="s">
        <v>1033</v>
      </c>
      <c r="D510" s="43" t="s">
        <v>1048</v>
      </c>
      <c r="E510" s="43" t="s">
        <v>766</v>
      </c>
      <c r="F510" s="6">
        <v>91204.13</v>
      </c>
      <c r="G510" s="45" t="s">
        <v>18</v>
      </c>
      <c r="H510" s="3">
        <v>996799</v>
      </c>
      <c r="I510" s="6">
        <v>0</v>
      </c>
      <c r="J510" s="6">
        <v>0</v>
      </c>
      <c r="K510" s="6">
        <v>13912.5</v>
      </c>
      <c r="L510" s="4">
        <v>0</v>
      </c>
      <c r="M510" s="14" t="s">
        <v>19</v>
      </c>
      <c r="N510" s="15">
        <f t="shared" si="17"/>
        <v>13912.5</v>
      </c>
    </row>
    <row r="511" spans="1:14">
      <c r="A511" s="12">
        <v>510</v>
      </c>
      <c r="B511" s="3" t="s">
        <v>1032</v>
      </c>
      <c r="C511" s="43" t="s">
        <v>1033</v>
      </c>
      <c r="D511" s="43" t="s">
        <v>1049</v>
      </c>
      <c r="E511" s="43" t="s">
        <v>766</v>
      </c>
      <c r="F511" s="6">
        <v>1061911.8799999999</v>
      </c>
      <c r="G511" s="45" t="s">
        <v>18</v>
      </c>
      <c r="H511" s="3">
        <v>996799</v>
      </c>
      <c r="I511" s="6">
        <v>0</v>
      </c>
      <c r="J511" s="6">
        <v>0</v>
      </c>
      <c r="K511" s="6">
        <v>50567.23</v>
      </c>
      <c r="L511" s="4">
        <v>0</v>
      </c>
      <c r="M511" s="14" t="s">
        <v>19</v>
      </c>
      <c r="N511" s="15">
        <f t="shared" si="17"/>
        <v>50567.23</v>
      </c>
    </row>
    <row r="512" spans="1:14">
      <c r="A512" s="12">
        <v>511</v>
      </c>
      <c r="B512" s="3" t="s">
        <v>1032</v>
      </c>
      <c r="C512" s="43" t="s">
        <v>1033</v>
      </c>
      <c r="D512" s="43" t="s">
        <v>1050</v>
      </c>
      <c r="E512" s="43" t="s">
        <v>766</v>
      </c>
      <c r="F512" s="6">
        <v>1061911.8799999999</v>
      </c>
      <c r="G512" s="45" t="s">
        <v>18</v>
      </c>
      <c r="H512" s="3">
        <v>996799</v>
      </c>
      <c r="I512" s="6">
        <v>0</v>
      </c>
      <c r="J512" s="6">
        <v>0</v>
      </c>
      <c r="K512" s="6">
        <v>50567.23</v>
      </c>
      <c r="L512" s="4">
        <v>0</v>
      </c>
      <c r="M512" s="14" t="s">
        <v>19</v>
      </c>
      <c r="N512" s="15">
        <f t="shared" si="17"/>
        <v>50567.23</v>
      </c>
    </row>
    <row r="513" spans="1:14">
      <c r="A513" s="12">
        <v>512</v>
      </c>
      <c r="B513" s="3" t="s">
        <v>1032</v>
      </c>
      <c r="C513" s="43" t="s">
        <v>1033</v>
      </c>
      <c r="D513" s="43" t="s">
        <v>1051</v>
      </c>
      <c r="E513" s="43" t="s">
        <v>766</v>
      </c>
      <c r="F513" s="6">
        <v>91204.13</v>
      </c>
      <c r="G513" s="45" t="s">
        <v>18</v>
      </c>
      <c r="H513" s="3">
        <v>996799</v>
      </c>
      <c r="I513" s="6">
        <v>0</v>
      </c>
      <c r="J513" s="6">
        <v>0</v>
      </c>
      <c r="K513" s="6">
        <v>13912.5</v>
      </c>
      <c r="L513" s="4">
        <v>0</v>
      </c>
      <c r="M513" s="14" t="s">
        <v>19</v>
      </c>
      <c r="N513" s="15">
        <f t="shared" si="17"/>
        <v>13912.5</v>
      </c>
    </row>
    <row r="514" spans="1:14">
      <c r="A514" s="12">
        <v>513</v>
      </c>
      <c r="B514" s="3" t="s">
        <v>1032</v>
      </c>
      <c r="C514" s="43" t="s">
        <v>1033</v>
      </c>
      <c r="D514" s="43" t="s">
        <v>1052</v>
      </c>
      <c r="E514" s="43" t="s">
        <v>766</v>
      </c>
      <c r="F514" s="6">
        <v>91204.13</v>
      </c>
      <c r="G514" s="45" t="s">
        <v>18</v>
      </c>
      <c r="H514" s="3">
        <v>996799</v>
      </c>
      <c r="I514" s="6">
        <v>0</v>
      </c>
      <c r="J514" s="6">
        <v>0</v>
      </c>
      <c r="K514" s="6">
        <v>13912.5</v>
      </c>
      <c r="L514" s="4">
        <v>0</v>
      </c>
      <c r="M514" s="14" t="s">
        <v>19</v>
      </c>
      <c r="N514" s="15">
        <f t="shared" si="17"/>
        <v>13912.5</v>
      </c>
    </row>
    <row r="515" spans="1:14">
      <c r="A515" s="12">
        <v>514</v>
      </c>
      <c r="B515" s="3" t="s">
        <v>1032</v>
      </c>
      <c r="C515" s="43" t="s">
        <v>1033</v>
      </c>
      <c r="D515" s="43" t="s">
        <v>1053</v>
      </c>
      <c r="E515" s="43" t="s">
        <v>766</v>
      </c>
      <c r="F515" s="6">
        <v>1061911.8799999999</v>
      </c>
      <c r="G515" s="45" t="s">
        <v>18</v>
      </c>
      <c r="H515" s="3">
        <v>996799</v>
      </c>
      <c r="I515" s="6">
        <v>0</v>
      </c>
      <c r="J515" s="6">
        <v>0</v>
      </c>
      <c r="K515" s="6">
        <v>50567.23</v>
      </c>
      <c r="L515" s="4">
        <v>0</v>
      </c>
      <c r="M515" s="14" t="s">
        <v>19</v>
      </c>
      <c r="N515" s="15">
        <f t="shared" si="17"/>
        <v>50567.23</v>
      </c>
    </row>
    <row r="516" spans="1:14">
      <c r="A516" s="12">
        <v>515</v>
      </c>
      <c r="B516" s="3" t="s">
        <v>1032</v>
      </c>
      <c r="C516" s="43" t="s">
        <v>1033</v>
      </c>
      <c r="D516" s="43" t="s">
        <v>1054</v>
      </c>
      <c r="E516" s="43" t="s">
        <v>1055</v>
      </c>
      <c r="F516" s="6">
        <v>2360</v>
      </c>
      <c r="G516" s="45" t="s">
        <v>18</v>
      </c>
      <c r="H516" s="3">
        <v>996799</v>
      </c>
      <c r="I516" s="6">
        <v>0</v>
      </c>
      <c r="J516" s="6">
        <v>0</v>
      </c>
      <c r="K516" s="6">
        <v>360</v>
      </c>
      <c r="L516" s="4">
        <v>0</v>
      </c>
      <c r="M516" s="14" t="s">
        <v>19</v>
      </c>
      <c r="N516" s="15">
        <f t="shared" si="17"/>
        <v>360</v>
      </c>
    </row>
    <row r="517" spans="1:14">
      <c r="A517" s="12">
        <v>516</v>
      </c>
      <c r="B517" s="3" t="s">
        <v>1032</v>
      </c>
      <c r="C517" s="43" t="s">
        <v>1033</v>
      </c>
      <c r="D517" s="43" t="s">
        <v>1056</v>
      </c>
      <c r="E517" s="43" t="s">
        <v>1055</v>
      </c>
      <c r="F517" s="6">
        <v>2360</v>
      </c>
      <c r="G517" s="45" t="s">
        <v>18</v>
      </c>
      <c r="H517" s="3">
        <v>996799</v>
      </c>
      <c r="I517" s="6">
        <v>0</v>
      </c>
      <c r="J517" s="6">
        <v>0</v>
      </c>
      <c r="K517" s="6">
        <v>360</v>
      </c>
      <c r="L517" s="4">
        <v>0</v>
      </c>
      <c r="M517" s="14" t="s">
        <v>19</v>
      </c>
      <c r="N517" s="15">
        <f t="shared" si="17"/>
        <v>360</v>
      </c>
    </row>
    <row r="518" spans="1:14">
      <c r="A518" s="12">
        <v>517</v>
      </c>
      <c r="B518" s="3" t="s">
        <v>1032</v>
      </c>
      <c r="C518" s="43" t="s">
        <v>1033</v>
      </c>
      <c r="D518" s="43" t="s">
        <v>1057</v>
      </c>
      <c r="E518" s="43" t="s">
        <v>1055</v>
      </c>
      <c r="F518" s="6">
        <v>2360</v>
      </c>
      <c r="G518" s="45" t="s">
        <v>18</v>
      </c>
      <c r="H518" s="3">
        <v>996799</v>
      </c>
      <c r="I518" s="6">
        <v>0</v>
      </c>
      <c r="J518" s="6">
        <v>0</v>
      </c>
      <c r="K518" s="6">
        <v>360</v>
      </c>
      <c r="L518" s="4">
        <v>0</v>
      </c>
      <c r="M518" s="14" t="s">
        <v>19</v>
      </c>
      <c r="N518" s="15">
        <f t="shared" si="17"/>
        <v>360</v>
      </c>
    </row>
    <row r="519" spans="1:14">
      <c r="A519" s="12">
        <v>518</v>
      </c>
      <c r="B519" s="3" t="s">
        <v>1032</v>
      </c>
      <c r="C519" s="43" t="s">
        <v>1033</v>
      </c>
      <c r="D519" s="43" t="s">
        <v>1058</v>
      </c>
      <c r="E519" s="43" t="s">
        <v>1055</v>
      </c>
      <c r="F519" s="6">
        <v>2360</v>
      </c>
      <c r="G519" s="45" t="s">
        <v>18</v>
      </c>
      <c r="H519" s="3">
        <v>996799</v>
      </c>
      <c r="I519" s="6">
        <v>0</v>
      </c>
      <c r="J519" s="6">
        <v>0</v>
      </c>
      <c r="K519" s="6">
        <v>360</v>
      </c>
      <c r="L519" s="4">
        <v>0</v>
      </c>
      <c r="M519" s="14" t="s">
        <v>19</v>
      </c>
      <c r="N519" s="15">
        <f t="shared" si="17"/>
        <v>360</v>
      </c>
    </row>
    <row r="520" spans="1:14">
      <c r="A520" s="12">
        <v>519</v>
      </c>
      <c r="B520" s="3" t="s">
        <v>1032</v>
      </c>
      <c r="C520" s="43" t="s">
        <v>1033</v>
      </c>
      <c r="D520" s="43" t="s">
        <v>1059</v>
      </c>
      <c r="E520" s="43" t="s">
        <v>1055</v>
      </c>
      <c r="F520" s="6">
        <v>2360</v>
      </c>
      <c r="G520" s="45" t="s">
        <v>18</v>
      </c>
      <c r="H520" s="3">
        <v>996799</v>
      </c>
      <c r="I520" s="6">
        <v>0</v>
      </c>
      <c r="J520" s="6">
        <v>0</v>
      </c>
      <c r="K520" s="6">
        <v>360</v>
      </c>
      <c r="L520" s="4">
        <v>0</v>
      </c>
      <c r="M520" s="14" t="s">
        <v>19</v>
      </c>
      <c r="N520" s="15">
        <f t="shared" si="17"/>
        <v>360</v>
      </c>
    </row>
    <row r="521" spans="1:14">
      <c r="A521" s="12">
        <v>520</v>
      </c>
      <c r="B521" s="3" t="s">
        <v>1032</v>
      </c>
      <c r="C521" s="43" t="s">
        <v>1033</v>
      </c>
      <c r="D521" s="43" t="s">
        <v>1060</v>
      </c>
      <c r="E521" s="43" t="s">
        <v>1055</v>
      </c>
      <c r="F521" s="6">
        <v>2360</v>
      </c>
      <c r="G521" s="45" t="s">
        <v>18</v>
      </c>
      <c r="H521" s="3">
        <v>996799</v>
      </c>
      <c r="I521" s="6">
        <v>0</v>
      </c>
      <c r="J521" s="6">
        <v>0</v>
      </c>
      <c r="K521" s="6">
        <v>360</v>
      </c>
      <c r="L521" s="4">
        <v>0</v>
      </c>
      <c r="M521" s="14" t="s">
        <v>19</v>
      </c>
      <c r="N521" s="15">
        <f t="shared" si="17"/>
        <v>360</v>
      </c>
    </row>
    <row r="522" spans="1:14">
      <c r="A522" s="12">
        <v>521</v>
      </c>
      <c r="B522" s="3" t="s">
        <v>1032</v>
      </c>
      <c r="C522" s="43" t="s">
        <v>1033</v>
      </c>
      <c r="D522" s="43" t="s">
        <v>1061</v>
      </c>
      <c r="E522" s="43" t="s">
        <v>1055</v>
      </c>
      <c r="F522" s="6">
        <v>2360</v>
      </c>
      <c r="G522" s="45" t="s">
        <v>18</v>
      </c>
      <c r="H522" s="3">
        <v>996799</v>
      </c>
      <c r="I522" s="6">
        <v>0</v>
      </c>
      <c r="J522" s="6">
        <v>0</v>
      </c>
      <c r="K522" s="6">
        <v>360</v>
      </c>
      <c r="L522" s="4">
        <v>0</v>
      </c>
      <c r="M522" s="14" t="s">
        <v>19</v>
      </c>
      <c r="N522" s="15">
        <f t="shared" si="17"/>
        <v>360</v>
      </c>
    </row>
    <row r="523" spans="1:14">
      <c r="A523" s="12">
        <v>522</v>
      </c>
      <c r="B523" s="3" t="s">
        <v>1032</v>
      </c>
      <c r="C523" s="43" t="s">
        <v>1033</v>
      </c>
      <c r="D523" s="43" t="s">
        <v>1062</v>
      </c>
      <c r="E523" s="43" t="s">
        <v>1055</v>
      </c>
      <c r="F523" s="6">
        <v>2360</v>
      </c>
      <c r="G523" s="45" t="s">
        <v>18</v>
      </c>
      <c r="H523" s="3">
        <v>996799</v>
      </c>
      <c r="I523" s="6">
        <v>0</v>
      </c>
      <c r="J523" s="6">
        <v>0</v>
      </c>
      <c r="K523" s="6">
        <v>360</v>
      </c>
      <c r="L523" s="4">
        <v>0</v>
      </c>
      <c r="M523" s="14" t="s">
        <v>19</v>
      </c>
      <c r="N523" s="15">
        <f t="shared" si="17"/>
        <v>360</v>
      </c>
    </row>
    <row r="524" spans="1:14">
      <c r="A524" s="12">
        <v>523</v>
      </c>
      <c r="B524" s="3" t="s">
        <v>1032</v>
      </c>
      <c r="C524" s="43" t="s">
        <v>1033</v>
      </c>
      <c r="D524" s="43" t="s">
        <v>1063</v>
      </c>
      <c r="E524" s="43" t="s">
        <v>1055</v>
      </c>
      <c r="F524" s="6">
        <v>2360</v>
      </c>
      <c r="G524" s="45" t="s">
        <v>18</v>
      </c>
      <c r="H524" s="3">
        <v>996799</v>
      </c>
      <c r="I524" s="6">
        <v>0</v>
      </c>
      <c r="J524" s="6">
        <v>0</v>
      </c>
      <c r="K524" s="6">
        <v>360</v>
      </c>
      <c r="L524" s="4">
        <v>0</v>
      </c>
      <c r="M524" s="14" t="s">
        <v>19</v>
      </c>
      <c r="N524" s="15">
        <f t="shared" si="17"/>
        <v>360</v>
      </c>
    </row>
    <row r="525" spans="1:14">
      <c r="A525" s="12">
        <v>524</v>
      </c>
      <c r="B525" s="3" t="s">
        <v>1032</v>
      </c>
      <c r="C525" s="43" t="s">
        <v>1033</v>
      </c>
      <c r="D525" s="43" t="s">
        <v>1064</v>
      </c>
      <c r="E525" s="43" t="s">
        <v>1055</v>
      </c>
      <c r="F525" s="6">
        <v>2360</v>
      </c>
      <c r="G525" s="45" t="s">
        <v>18</v>
      </c>
      <c r="H525" s="3">
        <v>996799</v>
      </c>
      <c r="I525" s="6">
        <v>0</v>
      </c>
      <c r="J525" s="6">
        <v>0</v>
      </c>
      <c r="K525" s="6">
        <v>360</v>
      </c>
      <c r="L525" s="4">
        <v>0</v>
      </c>
      <c r="M525" s="14" t="s">
        <v>19</v>
      </c>
      <c r="N525" s="15">
        <f t="shared" si="17"/>
        <v>360</v>
      </c>
    </row>
    <row r="526" spans="1:14">
      <c r="A526" s="12">
        <v>525</v>
      </c>
      <c r="B526" s="3" t="s">
        <v>1032</v>
      </c>
      <c r="C526" s="43" t="s">
        <v>1033</v>
      </c>
      <c r="D526" s="43" t="s">
        <v>1065</v>
      </c>
      <c r="E526" s="43" t="s">
        <v>447</v>
      </c>
      <c r="F526" s="15">
        <v>-2360</v>
      </c>
      <c r="G526" s="45" t="s">
        <v>18</v>
      </c>
      <c r="H526" s="3">
        <v>996799</v>
      </c>
      <c r="I526" s="14">
        <v>0</v>
      </c>
      <c r="J526" s="14">
        <v>0</v>
      </c>
      <c r="K526" s="14">
        <v>-360</v>
      </c>
      <c r="L526" s="4">
        <v>0</v>
      </c>
      <c r="M526" s="14" t="s">
        <v>19</v>
      </c>
      <c r="N526" s="15">
        <f t="shared" si="17"/>
        <v>-360</v>
      </c>
    </row>
    <row r="527" spans="1:14">
      <c r="A527" s="12">
        <v>526</v>
      </c>
      <c r="B527" s="3" t="s">
        <v>1032</v>
      </c>
      <c r="C527" s="43" t="s">
        <v>1033</v>
      </c>
      <c r="D527" s="43" t="s">
        <v>1066</v>
      </c>
      <c r="E527" s="43" t="s">
        <v>447</v>
      </c>
      <c r="F527" s="15">
        <v>-2360</v>
      </c>
      <c r="G527" s="45" t="s">
        <v>18</v>
      </c>
      <c r="H527" s="3">
        <v>996799</v>
      </c>
      <c r="I527" s="14">
        <v>0</v>
      </c>
      <c r="J527" s="14">
        <v>0</v>
      </c>
      <c r="K527" s="14">
        <v>-360</v>
      </c>
      <c r="L527" s="4">
        <v>0</v>
      </c>
      <c r="M527" s="14" t="s">
        <v>19</v>
      </c>
      <c r="N527" s="15">
        <f t="shared" ref="N527:N561" si="18">SUM(I527:L527)</f>
        <v>-360</v>
      </c>
    </row>
    <row r="528" spans="1:14">
      <c r="A528" s="12">
        <v>527</v>
      </c>
      <c r="B528" s="3" t="s">
        <v>1032</v>
      </c>
      <c r="C528" s="43" t="s">
        <v>1033</v>
      </c>
      <c r="D528" s="43" t="s">
        <v>1067</v>
      </c>
      <c r="E528" s="43" t="s">
        <v>447</v>
      </c>
      <c r="F528" s="15">
        <v>-2360</v>
      </c>
      <c r="G528" s="45" t="s">
        <v>18</v>
      </c>
      <c r="H528" s="3">
        <v>996799</v>
      </c>
      <c r="I528" s="14">
        <v>0</v>
      </c>
      <c r="J528" s="14">
        <v>0</v>
      </c>
      <c r="K528" s="14">
        <v>-360</v>
      </c>
      <c r="L528" s="4">
        <v>0</v>
      </c>
      <c r="M528" s="14" t="s">
        <v>19</v>
      </c>
      <c r="N528" s="15">
        <f t="shared" si="18"/>
        <v>-360</v>
      </c>
    </row>
    <row r="529" spans="1:14">
      <c r="A529" s="12">
        <v>528</v>
      </c>
      <c r="B529" s="3" t="s">
        <v>1032</v>
      </c>
      <c r="C529" s="43" t="s">
        <v>1033</v>
      </c>
      <c r="D529" s="43" t="s">
        <v>1068</v>
      </c>
      <c r="E529" s="43" t="s">
        <v>447</v>
      </c>
      <c r="F529" s="15">
        <v>-2360</v>
      </c>
      <c r="G529" s="45" t="s">
        <v>18</v>
      </c>
      <c r="H529" s="3">
        <v>996799</v>
      </c>
      <c r="I529" s="14">
        <v>0</v>
      </c>
      <c r="J529" s="14">
        <v>0</v>
      </c>
      <c r="K529" s="14">
        <v>-360</v>
      </c>
      <c r="L529" s="4">
        <v>0</v>
      </c>
      <c r="M529" s="14" t="s">
        <v>19</v>
      </c>
      <c r="N529" s="15">
        <f t="shared" si="18"/>
        <v>-360</v>
      </c>
    </row>
    <row r="530" spans="1:14">
      <c r="A530" s="12">
        <v>529</v>
      </c>
      <c r="B530" s="3" t="s">
        <v>1032</v>
      </c>
      <c r="C530" s="43" t="s">
        <v>1033</v>
      </c>
      <c r="D530" s="43" t="s">
        <v>1069</v>
      </c>
      <c r="E530" s="43" t="s">
        <v>447</v>
      </c>
      <c r="F530" s="15">
        <v>-2360</v>
      </c>
      <c r="G530" s="45" t="s">
        <v>18</v>
      </c>
      <c r="H530" s="3">
        <v>996799</v>
      </c>
      <c r="I530" s="14">
        <v>0</v>
      </c>
      <c r="J530" s="14">
        <v>0</v>
      </c>
      <c r="K530" s="14">
        <v>-360</v>
      </c>
      <c r="L530" s="4">
        <v>0</v>
      </c>
      <c r="M530" s="14" t="s">
        <v>19</v>
      </c>
      <c r="N530" s="15">
        <f t="shared" si="18"/>
        <v>-360</v>
      </c>
    </row>
    <row r="531" spans="1:14">
      <c r="A531" s="12">
        <v>530</v>
      </c>
      <c r="B531" s="3" t="s">
        <v>1032</v>
      </c>
      <c r="C531" s="43" t="s">
        <v>1033</v>
      </c>
      <c r="D531" s="43" t="s">
        <v>1070</v>
      </c>
      <c r="E531" s="43" t="s">
        <v>447</v>
      </c>
      <c r="F531" s="15">
        <v>-2360</v>
      </c>
      <c r="G531" s="45" t="s">
        <v>18</v>
      </c>
      <c r="H531" s="3">
        <v>996799</v>
      </c>
      <c r="I531" s="14">
        <v>0</v>
      </c>
      <c r="J531" s="14">
        <v>0</v>
      </c>
      <c r="K531" s="14">
        <v>-360</v>
      </c>
      <c r="L531" s="4">
        <v>0</v>
      </c>
      <c r="M531" s="14" t="s">
        <v>19</v>
      </c>
      <c r="N531" s="15">
        <f t="shared" si="18"/>
        <v>-360</v>
      </c>
    </row>
    <row r="532" spans="1:14">
      <c r="A532" s="12">
        <v>531</v>
      </c>
      <c r="B532" s="3" t="s">
        <v>1032</v>
      </c>
      <c r="C532" s="43" t="s">
        <v>1033</v>
      </c>
      <c r="D532" s="43" t="s">
        <v>1071</v>
      </c>
      <c r="E532" s="43" t="s">
        <v>447</v>
      </c>
      <c r="F532" s="15">
        <v>-2360</v>
      </c>
      <c r="G532" s="45" t="s">
        <v>18</v>
      </c>
      <c r="H532" s="3">
        <v>996799</v>
      </c>
      <c r="I532" s="14">
        <v>0</v>
      </c>
      <c r="J532" s="14">
        <v>0</v>
      </c>
      <c r="K532" s="14">
        <v>-360</v>
      </c>
      <c r="L532" s="4">
        <v>0</v>
      </c>
      <c r="M532" s="14" t="s">
        <v>19</v>
      </c>
      <c r="N532" s="15">
        <f t="shared" si="18"/>
        <v>-360</v>
      </c>
    </row>
    <row r="533" spans="1:14">
      <c r="A533" s="12">
        <v>532</v>
      </c>
      <c r="B533" s="3" t="s">
        <v>1032</v>
      </c>
      <c r="C533" s="43" t="s">
        <v>1033</v>
      </c>
      <c r="D533" s="43" t="s">
        <v>1072</v>
      </c>
      <c r="E533" s="43" t="s">
        <v>447</v>
      </c>
      <c r="F533" s="15">
        <v>-2360</v>
      </c>
      <c r="G533" s="45" t="s">
        <v>18</v>
      </c>
      <c r="H533" s="3">
        <v>996799</v>
      </c>
      <c r="I533" s="14">
        <v>0</v>
      </c>
      <c r="J533" s="14">
        <v>0</v>
      </c>
      <c r="K533" s="14">
        <v>-360</v>
      </c>
      <c r="L533" s="4">
        <v>0</v>
      </c>
      <c r="M533" s="14" t="s">
        <v>19</v>
      </c>
      <c r="N533" s="15">
        <f t="shared" si="18"/>
        <v>-360</v>
      </c>
    </row>
    <row r="534" spans="1:14">
      <c r="A534" s="12">
        <v>533</v>
      </c>
      <c r="B534" s="3" t="s">
        <v>1032</v>
      </c>
      <c r="C534" s="43" t="s">
        <v>1033</v>
      </c>
      <c r="D534" s="43" t="s">
        <v>1073</v>
      </c>
      <c r="E534" s="43" t="s">
        <v>447</v>
      </c>
      <c r="F534" s="15">
        <v>-2360</v>
      </c>
      <c r="G534" s="45" t="s">
        <v>18</v>
      </c>
      <c r="H534" s="3">
        <v>996799</v>
      </c>
      <c r="I534" s="14">
        <v>0</v>
      </c>
      <c r="J534" s="14">
        <v>0</v>
      </c>
      <c r="K534" s="14">
        <v>-360</v>
      </c>
      <c r="L534" s="4">
        <v>0</v>
      </c>
      <c r="M534" s="14" t="s">
        <v>19</v>
      </c>
      <c r="N534" s="15">
        <f t="shared" si="18"/>
        <v>-360</v>
      </c>
    </row>
    <row r="535" spans="1:14">
      <c r="A535" s="12">
        <v>534</v>
      </c>
      <c r="B535" s="3" t="s">
        <v>1032</v>
      </c>
      <c r="C535" s="43" t="s">
        <v>1033</v>
      </c>
      <c r="D535" s="43" t="s">
        <v>1074</v>
      </c>
      <c r="E535" s="43" t="s">
        <v>447</v>
      </c>
      <c r="F535" s="15">
        <v>-2360</v>
      </c>
      <c r="G535" s="45" t="s">
        <v>18</v>
      </c>
      <c r="H535" s="3">
        <v>996799</v>
      </c>
      <c r="I535" s="14">
        <v>0</v>
      </c>
      <c r="J535" s="14">
        <v>0</v>
      </c>
      <c r="K535" s="14">
        <v>-360</v>
      </c>
      <c r="L535" s="4">
        <v>0</v>
      </c>
      <c r="M535" s="14" t="s">
        <v>19</v>
      </c>
      <c r="N535" s="15">
        <f t="shared" si="18"/>
        <v>-360</v>
      </c>
    </row>
    <row r="536" spans="1:14">
      <c r="A536" s="12">
        <v>535</v>
      </c>
      <c r="B536" s="3" t="s">
        <v>1032</v>
      </c>
      <c r="C536" s="43" t="s">
        <v>1033</v>
      </c>
      <c r="D536" s="43" t="s">
        <v>1075</v>
      </c>
      <c r="E536" s="43" t="s">
        <v>1076</v>
      </c>
      <c r="F536" s="6">
        <v>17549.96</v>
      </c>
      <c r="G536" s="45" t="s">
        <v>18</v>
      </c>
      <c r="H536" s="3">
        <v>996799</v>
      </c>
      <c r="I536" s="6">
        <v>0</v>
      </c>
      <c r="J536" s="6">
        <v>0</v>
      </c>
      <c r="K536" s="6">
        <v>2677.11</v>
      </c>
      <c r="L536" s="4">
        <v>0</v>
      </c>
      <c r="M536" s="14" t="s">
        <v>19</v>
      </c>
      <c r="N536" s="15">
        <f t="shared" si="18"/>
        <v>2677.11</v>
      </c>
    </row>
    <row r="537" spans="1:14">
      <c r="A537" s="12">
        <v>536</v>
      </c>
      <c r="B537" s="3" t="s">
        <v>1032</v>
      </c>
      <c r="C537" s="43" t="s">
        <v>1033</v>
      </c>
      <c r="D537" s="43" t="s">
        <v>1077</v>
      </c>
      <c r="E537" s="43" t="s">
        <v>831</v>
      </c>
      <c r="F537" s="6">
        <v>1191936.32</v>
      </c>
      <c r="G537" s="45" t="s">
        <v>18</v>
      </c>
      <c r="H537" s="3">
        <v>996799</v>
      </c>
      <c r="I537" s="6">
        <v>0</v>
      </c>
      <c r="J537" s="6">
        <v>0</v>
      </c>
      <c r="K537" s="6">
        <v>56758.86</v>
      </c>
      <c r="L537" s="4">
        <v>0</v>
      </c>
      <c r="M537" s="14" t="s">
        <v>19</v>
      </c>
      <c r="N537" s="15">
        <f t="shared" si="18"/>
        <v>56758.86</v>
      </c>
    </row>
    <row r="538" spans="1:14">
      <c r="A538" s="12">
        <v>537</v>
      </c>
      <c r="B538" s="3" t="s">
        <v>1032</v>
      </c>
      <c r="C538" s="43" t="s">
        <v>1033</v>
      </c>
      <c r="D538" s="43" t="s">
        <v>1078</v>
      </c>
      <c r="E538" s="43" t="s">
        <v>831</v>
      </c>
      <c r="F538" s="6">
        <v>159388.01999999999</v>
      </c>
      <c r="G538" s="45" t="s">
        <v>18</v>
      </c>
      <c r="H538" s="3">
        <v>996799</v>
      </c>
      <c r="I538" s="6">
        <v>0</v>
      </c>
      <c r="J538" s="6">
        <v>0</v>
      </c>
      <c r="K538" s="6">
        <v>24313.43</v>
      </c>
      <c r="L538" s="4">
        <v>0</v>
      </c>
      <c r="M538" s="14" t="s">
        <v>19</v>
      </c>
      <c r="N538" s="15">
        <f t="shared" si="18"/>
        <v>24313.43</v>
      </c>
    </row>
    <row r="539" spans="1:14">
      <c r="A539" s="12">
        <v>538</v>
      </c>
      <c r="B539" s="3" t="s">
        <v>1032</v>
      </c>
      <c r="C539" s="43" t="s">
        <v>1033</v>
      </c>
      <c r="D539" s="43" t="s">
        <v>1079</v>
      </c>
      <c r="E539" s="43" t="s">
        <v>831</v>
      </c>
      <c r="F539" s="6">
        <v>794624.21</v>
      </c>
      <c r="G539" s="45" t="s">
        <v>18</v>
      </c>
      <c r="H539" s="3">
        <v>996799</v>
      </c>
      <c r="I539" s="6">
        <v>0</v>
      </c>
      <c r="J539" s="6">
        <v>0</v>
      </c>
      <c r="K539" s="6">
        <v>37839.230000000003</v>
      </c>
      <c r="L539" s="4">
        <v>0</v>
      </c>
      <c r="M539" s="14" t="s">
        <v>19</v>
      </c>
      <c r="N539" s="15">
        <f t="shared" si="18"/>
        <v>37839.230000000003</v>
      </c>
    </row>
    <row r="540" spans="1:14">
      <c r="A540" s="12">
        <v>539</v>
      </c>
      <c r="B540" s="3" t="s">
        <v>1032</v>
      </c>
      <c r="C540" s="43" t="s">
        <v>1033</v>
      </c>
      <c r="D540" s="43" t="s">
        <v>1080</v>
      </c>
      <c r="E540" s="43" t="s">
        <v>831</v>
      </c>
      <c r="F540" s="6">
        <v>108146.68</v>
      </c>
      <c r="G540" s="45" t="s">
        <v>18</v>
      </c>
      <c r="H540" s="3">
        <v>996799</v>
      </c>
      <c r="I540" s="6">
        <v>0</v>
      </c>
      <c r="J540" s="6">
        <v>0</v>
      </c>
      <c r="K540" s="6">
        <v>16496.95</v>
      </c>
      <c r="L540" s="4">
        <v>0</v>
      </c>
      <c r="M540" s="14" t="s">
        <v>19</v>
      </c>
      <c r="N540" s="15">
        <f t="shared" si="18"/>
        <v>16496.95</v>
      </c>
    </row>
    <row r="541" spans="1:14">
      <c r="A541" s="12">
        <v>540</v>
      </c>
      <c r="B541" s="3" t="s">
        <v>1032</v>
      </c>
      <c r="C541" s="43" t="s">
        <v>1033</v>
      </c>
      <c r="D541" s="43" t="s">
        <v>1081</v>
      </c>
      <c r="E541" s="43" t="s">
        <v>997</v>
      </c>
      <c r="F541" s="6">
        <v>23496.37</v>
      </c>
      <c r="G541" s="45" t="s">
        <v>18</v>
      </c>
      <c r="H541" s="3">
        <v>996799</v>
      </c>
      <c r="I541" s="6">
        <v>0</v>
      </c>
      <c r="J541" s="6">
        <v>0</v>
      </c>
      <c r="K541" s="6">
        <v>3584.19</v>
      </c>
      <c r="L541" s="4">
        <v>0</v>
      </c>
      <c r="M541" s="14" t="s">
        <v>19</v>
      </c>
      <c r="N541" s="15">
        <f t="shared" si="18"/>
        <v>3584.19</v>
      </c>
    </row>
    <row r="542" spans="1:14">
      <c r="A542" s="12">
        <v>541</v>
      </c>
      <c r="B542" s="3" t="s">
        <v>1032</v>
      </c>
      <c r="C542" s="43" t="s">
        <v>1033</v>
      </c>
      <c r="D542" s="43" t="s">
        <v>1082</v>
      </c>
      <c r="E542" s="43" t="s">
        <v>997</v>
      </c>
      <c r="F542" s="6">
        <v>23496.37</v>
      </c>
      <c r="G542" s="45" t="s">
        <v>18</v>
      </c>
      <c r="H542" s="3">
        <v>996799</v>
      </c>
      <c r="I542" s="6">
        <v>0</v>
      </c>
      <c r="J542" s="6">
        <v>0</v>
      </c>
      <c r="K542" s="6">
        <v>3584.19</v>
      </c>
      <c r="L542" s="4">
        <v>0</v>
      </c>
      <c r="M542" s="14" t="s">
        <v>19</v>
      </c>
      <c r="N542" s="15">
        <f t="shared" si="18"/>
        <v>3584.19</v>
      </c>
    </row>
    <row r="543" spans="1:14">
      <c r="A543" s="12">
        <v>542</v>
      </c>
      <c r="B543" s="3" t="s">
        <v>1032</v>
      </c>
      <c r="C543" s="43" t="s">
        <v>1033</v>
      </c>
      <c r="D543" s="43" t="s">
        <v>1083</v>
      </c>
      <c r="E543" s="43" t="s">
        <v>1084</v>
      </c>
      <c r="F543" s="6">
        <v>6313</v>
      </c>
      <c r="G543" s="45" t="s">
        <v>18</v>
      </c>
      <c r="H543" s="3">
        <v>996799</v>
      </c>
      <c r="I543" s="6">
        <v>0</v>
      </c>
      <c r="J543" s="6">
        <v>0</v>
      </c>
      <c r="K543" s="6">
        <v>963</v>
      </c>
      <c r="L543" s="4">
        <v>0</v>
      </c>
      <c r="M543" s="14" t="s">
        <v>19</v>
      </c>
      <c r="N543" s="15">
        <f t="shared" si="18"/>
        <v>963</v>
      </c>
    </row>
    <row r="544" spans="1:14">
      <c r="A544" s="12">
        <v>543</v>
      </c>
      <c r="B544" s="3" t="s">
        <v>1032</v>
      </c>
      <c r="C544" s="43" t="s">
        <v>1033</v>
      </c>
      <c r="D544" s="43" t="s">
        <v>1085</v>
      </c>
      <c r="E544" s="43" t="s">
        <v>1084</v>
      </c>
      <c r="F544" s="6">
        <v>6313</v>
      </c>
      <c r="G544" s="45" t="s">
        <v>18</v>
      </c>
      <c r="H544" s="3">
        <v>996799</v>
      </c>
      <c r="I544" s="6">
        <v>0</v>
      </c>
      <c r="J544" s="6">
        <v>0</v>
      </c>
      <c r="K544" s="6">
        <v>963</v>
      </c>
      <c r="L544" s="4">
        <v>0</v>
      </c>
      <c r="M544" s="14" t="s">
        <v>19</v>
      </c>
      <c r="N544" s="15">
        <f t="shared" si="18"/>
        <v>963</v>
      </c>
    </row>
    <row r="545" spans="1:14">
      <c r="A545" s="12">
        <v>544</v>
      </c>
      <c r="B545" s="3" t="s">
        <v>1086</v>
      </c>
      <c r="C545" s="43" t="s">
        <v>1087</v>
      </c>
      <c r="D545" s="43" t="s">
        <v>1088</v>
      </c>
      <c r="E545" s="43" t="s">
        <v>438</v>
      </c>
      <c r="F545" s="15">
        <v>-874380</v>
      </c>
      <c r="G545" s="45" t="s">
        <v>18</v>
      </c>
      <c r="H545" s="3">
        <v>996713</v>
      </c>
      <c r="I545" s="14">
        <v>0</v>
      </c>
      <c r="J545" s="14">
        <v>0</v>
      </c>
      <c r="K545" s="14">
        <v>-133380</v>
      </c>
      <c r="L545" s="4">
        <v>0</v>
      </c>
      <c r="M545" s="14" t="s">
        <v>19</v>
      </c>
      <c r="N545" s="15">
        <f t="shared" si="18"/>
        <v>-133380</v>
      </c>
    </row>
    <row r="546" spans="1:14">
      <c r="A546" s="12">
        <v>545</v>
      </c>
      <c r="B546" s="3" t="s">
        <v>1086</v>
      </c>
      <c r="C546" s="43" t="s">
        <v>1087</v>
      </c>
      <c r="D546" s="43" t="s">
        <v>1089</v>
      </c>
      <c r="E546" s="43" t="s">
        <v>1090</v>
      </c>
      <c r="F546" s="6">
        <v>109787</v>
      </c>
      <c r="G546" s="45" t="s">
        <v>18</v>
      </c>
      <c r="H546" s="3">
        <v>996713</v>
      </c>
      <c r="I546" s="6">
        <v>0</v>
      </c>
      <c r="J546" s="6">
        <v>0</v>
      </c>
      <c r="K546" s="6">
        <v>16747.2</v>
      </c>
      <c r="L546" s="4">
        <v>0</v>
      </c>
      <c r="M546" s="14" t="s">
        <v>19</v>
      </c>
      <c r="N546" s="15">
        <f t="shared" si="18"/>
        <v>16747.2</v>
      </c>
    </row>
    <row r="547" spans="1:14">
      <c r="A547" s="12">
        <v>546</v>
      </c>
      <c r="B547" s="3" t="s">
        <v>1086</v>
      </c>
      <c r="C547" s="43" t="s">
        <v>1087</v>
      </c>
      <c r="D547" s="43" t="s">
        <v>1091</v>
      </c>
      <c r="E547" s="43" t="s">
        <v>1090</v>
      </c>
      <c r="F547" s="6">
        <v>2180939</v>
      </c>
      <c r="G547" s="45" t="s">
        <v>18</v>
      </c>
      <c r="H547" s="3">
        <v>996713</v>
      </c>
      <c r="I547" s="6">
        <v>0</v>
      </c>
      <c r="J547" s="6">
        <v>0</v>
      </c>
      <c r="K547" s="6">
        <v>104832.83</v>
      </c>
      <c r="L547" s="4">
        <v>0</v>
      </c>
      <c r="M547" s="14" t="s">
        <v>19</v>
      </c>
      <c r="N547" s="15">
        <f t="shared" si="18"/>
        <v>104832.83</v>
      </c>
    </row>
    <row r="548" spans="1:14">
      <c r="A548" s="12">
        <v>547</v>
      </c>
      <c r="B548" s="14"/>
      <c r="C548" s="44" t="s">
        <v>1092</v>
      </c>
      <c r="D548" s="45" t="s">
        <v>946</v>
      </c>
      <c r="E548" s="55">
        <v>45777</v>
      </c>
      <c r="F548" s="15">
        <v>131905</v>
      </c>
      <c r="G548" s="45" t="s">
        <v>18</v>
      </c>
      <c r="H548" s="14">
        <v>996511</v>
      </c>
      <c r="I548" s="14">
        <v>0</v>
      </c>
      <c r="J548" s="14"/>
      <c r="K548" s="14">
        <v>6595.25</v>
      </c>
      <c r="L548" s="4">
        <v>0</v>
      </c>
      <c r="M548" s="14" t="s">
        <v>19</v>
      </c>
      <c r="N548" s="14">
        <f t="shared" si="18"/>
        <v>6595.25</v>
      </c>
    </row>
    <row r="549" spans="1:14">
      <c r="A549" s="12">
        <v>548</v>
      </c>
      <c r="B549" s="3" t="s">
        <v>1093</v>
      </c>
      <c r="C549" s="43" t="s">
        <v>1094</v>
      </c>
      <c r="D549" s="43" t="s">
        <v>1095</v>
      </c>
      <c r="E549" s="43" t="s">
        <v>438</v>
      </c>
      <c r="F549" s="6">
        <v>309750</v>
      </c>
      <c r="G549" s="45" t="s">
        <v>18</v>
      </c>
      <c r="H549" s="3" t="s">
        <v>1096</v>
      </c>
      <c r="I549" s="6">
        <v>23625</v>
      </c>
      <c r="J549" s="6">
        <v>23625</v>
      </c>
      <c r="K549" s="6">
        <v>0</v>
      </c>
      <c r="L549" s="4">
        <v>0</v>
      </c>
      <c r="M549" s="14" t="s">
        <v>19</v>
      </c>
      <c r="N549" s="15">
        <f t="shared" si="18"/>
        <v>47250</v>
      </c>
    </row>
    <row r="550" spans="1:14">
      <c r="A550" s="12">
        <v>549</v>
      </c>
      <c r="B550" s="3" t="s">
        <v>1093</v>
      </c>
      <c r="C550" s="43" t="s">
        <v>1094</v>
      </c>
      <c r="D550" s="43" t="s">
        <v>1097</v>
      </c>
      <c r="E550" s="43" t="s">
        <v>1090</v>
      </c>
      <c r="F550" s="6">
        <v>309750</v>
      </c>
      <c r="G550" s="45" t="s">
        <v>18</v>
      </c>
      <c r="H550" s="3" t="s">
        <v>1096</v>
      </c>
      <c r="I550" s="6">
        <v>23625</v>
      </c>
      <c r="J550" s="6">
        <v>23625</v>
      </c>
      <c r="K550" s="6">
        <v>0</v>
      </c>
      <c r="L550" s="4">
        <v>0</v>
      </c>
      <c r="M550" s="14" t="s">
        <v>19</v>
      </c>
      <c r="N550" s="15">
        <f t="shared" si="18"/>
        <v>47250</v>
      </c>
    </row>
    <row r="551" spans="1:14">
      <c r="A551" s="12">
        <v>550</v>
      </c>
      <c r="B551" s="3" t="s">
        <v>1093</v>
      </c>
      <c r="C551" s="43" t="s">
        <v>1094</v>
      </c>
      <c r="D551" s="43" t="s">
        <v>1098</v>
      </c>
      <c r="E551" s="43" t="s">
        <v>798</v>
      </c>
      <c r="F551" s="6">
        <v>309750</v>
      </c>
      <c r="G551" s="45" t="s">
        <v>18</v>
      </c>
      <c r="H551" s="3" t="s">
        <v>1096</v>
      </c>
      <c r="I551" s="6">
        <v>23625</v>
      </c>
      <c r="J551" s="6">
        <v>23625</v>
      </c>
      <c r="K551" s="6">
        <v>0</v>
      </c>
      <c r="L551" s="4">
        <v>0</v>
      </c>
      <c r="M551" s="14" t="s">
        <v>19</v>
      </c>
      <c r="N551" s="15">
        <f t="shared" si="18"/>
        <v>47250</v>
      </c>
    </row>
    <row r="552" spans="1:14">
      <c r="A552" s="12">
        <v>551</v>
      </c>
      <c r="B552" s="3" t="s">
        <v>1093</v>
      </c>
      <c r="C552" s="43" t="s">
        <v>1094</v>
      </c>
      <c r="D552" s="43" t="s">
        <v>1099</v>
      </c>
      <c r="E552" s="43" t="s">
        <v>1100</v>
      </c>
      <c r="F552" s="6">
        <v>325237.5</v>
      </c>
      <c r="G552" s="45" t="s">
        <v>18</v>
      </c>
      <c r="H552" s="3" t="s">
        <v>1096</v>
      </c>
      <c r="I552" s="6">
        <v>24806.25</v>
      </c>
      <c r="J552" s="6">
        <v>24806.25</v>
      </c>
      <c r="K552" s="6">
        <v>0</v>
      </c>
      <c r="L552" s="4">
        <v>0</v>
      </c>
      <c r="M552" s="14" t="s">
        <v>19</v>
      </c>
      <c r="N552" s="15">
        <f t="shared" si="18"/>
        <v>49612.5</v>
      </c>
    </row>
    <row r="553" spans="1:14">
      <c r="A553" s="12">
        <v>552</v>
      </c>
      <c r="B553" s="3" t="s">
        <v>1093</v>
      </c>
      <c r="C553" s="43" t="s">
        <v>1094</v>
      </c>
      <c r="D553" s="43" t="s">
        <v>1101</v>
      </c>
      <c r="E553" s="43" t="s">
        <v>1102</v>
      </c>
      <c r="F553" s="6">
        <v>325237.5</v>
      </c>
      <c r="G553" s="45" t="s">
        <v>18</v>
      </c>
      <c r="H553" s="3" t="s">
        <v>1096</v>
      </c>
      <c r="I553" s="6">
        <v>24806.25</v>
      </c>
      <c r="J553" s="6">
        <v>24806.25</v>
      </c>
      <c r="K553" s="6">
        <v>0</v>
      </c>
      <c r="L553" s="4">
        <v>0</v>
      </c>
      <c r="M553" s="14" t="s">
        <v>19</v>
      </c>
      <c r="N553" s="15">
        <f t="shared" si="18"/>
        <v>49612.5</v>
      </c>
    </row>
    <row r="554" spans="1:14">
      <c r="A554" s="12">
        <v>553</v>
      </c>
      <c r="B554" s="3" t="s">
        <v>1093</v>
      </c>
      <c r="C554" s="43" t="s">
        <v>1094</v>
      </c>
      <c r="D554" s="43" t="s">
        <v>1103</v>
      </c>
      <c r="E554" s="43" t="s">
        <v>868</v>
      </c>
      <c r="F554" s="6">
        <v>325237.5</v>
      </c>
      <c r="G554" s="45" t="s">
        <v>18</v>
      </c>
      <c r="H554" s="3" t="s">
        <v>1096</v>
      </c>
      <c r="I554" s="6">
        <v>24806.25</v>
      </c>
      <c r="J554" s="6">
        <v>24806.25</v>
      </c>
      <c r="K554" s="6">
        <v>0</v>
      </c>
      <c r="L554" s="4">
        <v>0</v>
      </c>
      <c r="M554" s="14" t="s">
        <v>19</v>
      </c>
      <c r="N554" s="15">
        <f t="shared" si="18"/>
        <v>49612.5</v>
      </c>
    </row>
    <row r="555" spans="1:14">
      <c r="A555" s="12">
        <v>554</v>
      </c>
      <c r="B555" s="3" t="s">
        <v>1104</v>
      </c>
      <c r="C555" s="43" t="s">
        <v>1105</v>
      </c>
      <c r="D555" s="43" t="s">
        <v>1106</v>
      </c>
      <c r="E555" s="43" t="s">
        <v>1107</v>
      </c>
      <c r="F555" s="6">
        <v>3109.3</v>
      </c>
      <c r="G555" s="45" t="s">
        <v>18</v>
      </c>
      <c r="H555" s="3">
        <v>998531</v>
      </c>
      <c r="I555" s="6">
        <v>237.15</v>
      </c>
      <c r="J555" s="6">
        <v>237.15</v>
      </c>
      <c r="K555" s="6">
        <v>0</v>
      </c>
      <c r="L555" s="4">
        <v>0</v>
      </c>
      <c r="M555" s="14" t="s">
        <v>19</v>
      </c>
      <c r="N555" s="15">
        <f t="shared" si="18"/>
        <v>474.3</v>
      </c>
    </row>
    <row r="556" spans="1:14">
      <c r="A556" s="12">
        <v>555</v>
      </c>
      <c r="B556" s="3" t="s">
        <v>1108</v>
      </c>
      <c r="C556" s="43" t="s">
        <v>1109</v>
      </c>
      <c r="D556" s="43" t="s">
        <v>1110</v>
      </c>
      <c r="E556" s="43" t="s">
        <v>1111</v>
      </c>
      <c r="F556" s="6">
        <v>31742</v>
      </c>
      <c r="G556" s="45" t="s">
        <v>18</v>
      </c>
      <c r="H556" s="3">
        <v>998531</v>
      </c>
      <c r="I556" s="6">
        <v>0</v>
      </c>
      <c r="J556" s="6">
        <v>0</v>
      </c>
      <c r="K556" s="6">
        <v>4842</v>
      </c>
      <c r="L556" s="4">
        <v>0</v>
      </c>
      <c r="M556" s="14" t="s">
        <v>19</v>
      </c>
      <c r="N556" s="15">
        <f t="shared" si="18"/>
        <v>4842</v>
      </c>
    </row>
    <row r="557" spans="1:14">
      <c r="A557" s="12">
        <v>556</v>
      </c>
      <c r="B557" s="3" t="s">
        <v>1108</v>
      </c>
      <c r="C557" s="43" t="s">
        <v>1109</v>
      </c>
      <c r="D557" s="43" t="s">
        <v>1112</v>
      </c>
      <c r="E557" s="43" t="s">
        <v>1111</v>
      </c>
      <c r="F557" s="6">
        <v>16402</v>
      </c>
      <c r="G557" s="45" t="s">
        <v>18</v>
      </c>
      <c r="H557" s="3">
        <v>998531</v>
      </c>
      <c r="I557" s="6">
        <v>0</v>
      </c>
      <c r="J557" s="6">
        <v>0</v>
      </c>
      <c r="K557" s="6">
        <v>2502</v>
      </c>
      <c r="L557" s="4">
        <v>0</v>
      </c>
      <c r="M557" s="14" t="s">
        <v>19</v>
      </c>
      <c r="N557" s="15">
        <f t="shared" si="18"/>
        <v>2502</v>
      </c>
    </row>
    <row r="558" spans="1:14">
      <c r="A558" s="12">
        <v>557</v>
      </c>
      <c r="B558" s="3" t="s">
        <v>1108</v>
      </c>
      <c r="C558" s="43" t="s">
        <v>1109</v>
      </c>
      <c r="D558" s="43" t="s">
        <v>1113</v>
      </c>
      <c r="E558" s="43" t="s">
        <v>1111</v>
      </c>
      <c r="F558" s="6">
        <v>16402</v>
      </c>
      <c r="G558" s="45" t="s">
        <v>18</v>
      </c>
      <c r="H558" s="3">
        <v>998531</v>
      </c>
      <c r="I558" s="6">
        <v>0</v>
      </c>
      <c r="J558" s="6">
        <v>0</v>
      </c>
      <c r="K558" s="6">
        <v>2502</v>
      </c>
      <c r="L558" s="4">
        <v>0</v>
      </c>
      <c r="M558" s="14" t="s">
        <v>19</v>
      </c>
      <c r="N558" s="15">
        <f t="shared" si="18"/>
        <v>2502</v>
      </c>
    </row>
    <row r="559" spans="1:14">
      <c r="A559" s="12">
        <v>558</v>
      </c>
      <c r="B559" s="3" t="s">
        <v>1108</v>
      </c>
      <c r="C559" s="43" t="s">
        <v>1109</v>
      </c>
      <c r="D559" s="43" t="s">
        <v>1114</v>
      </c>
      <c r="E559" s="43" t="s">
        <v>1111</v>
      </c>
      <c r="F559" s="6">
        <v>31742</v>
      </c>
      <c r="G559" s="45" t="s">
        <v>18</v>
      </c>
      <c r="H559" s="3">
        <v>998531</v>
      </c>
      <c r="I559" s="6">
        <v>0</v>
      </c>
      <c r="J559" s="6">
        <v>0</v>
      </c>
      <c r="K559" s="6">
        <v>4842</v>
      </c>
      <c r="L559" s="4">
        <v>0</v>
      </c>
      <c r="M559" s="14" t="s">
        <v>19</v>
      </c>
      <c r="N559" s="15">
        <f t="shared" si="18"/>
        <v>4842</v>
      </c>
    </row>
    <row r="560" spans="1:14">
      <c r="A560" s="12">
        <v>559</v>
      </c>
      <c r="B560" s="3" t="s">
        <v>1108</v>
      </c>
      <c r="C560" s="43" t="s">
        <v>1109</v>
      </c>
      <c r="D560" s="43" t="s">
        <v>1115</v>
      </c>
      <c r="E560" s="43" t="s">
        <v>1116</v>
      </c>
      <c r="F560" s="6">
        <v>1062</v>
      </c>
      <c r="G560" s="45" t="s">
        <v>18</v>
      </c>
      <c r="H560" s="3">
        <v>998531</v>
      </c>
      <c r="I560" s="6">
        <v>0</v>
      </c>
      <c r="J560" s="6">
        <v>0</v>
      </c>
      <c r="K560" s="6">
        <v>162</v>
      </c>
      <c r="L560" s="4">
        <v>0</v>
      </c>
      <c r="M560" s="14" t="s">
        <v>19</v>
      </c>
      <c r="N560" s="15">
        <f t="shared" si="18"/>
        <v>162</v>
      </c>
    </row>
    <row r="561" spans="1:14">
      <c r="A561" s="12">
        <v>560</v>
      </c>
      <c r="B561" s="3" t="s">
        <v>1117</v>
      </c>
      <c r="C561" s="43" t="s">
        <v>1118</v>
      </c>
      <c r="D561" s="43" t="s">
        <v>1119</v>
      </c>
      <c r="E561" s="43" t="s">
        <v>931</v>
      </c>
      <c r="F561" s="6">
        <v>10620</v>
      </c>
      <c r="G561" s="45" t="s">
        <v>18</v>
      </c>
      <c r="H561" s="3">
        <v>996713</v>
      </c>
      <c r="I561" s="6">
        <v>0</v>
      </c>
      <c r="J561" s="6">
        <v>0</v>
      </c>
      <c r="K561" s="6">
        <v>1620</v>
      </c>
      <c r="L561" s="4">
        <v>0</v>
      </c>
      <c r="M561" s="14" t="s">
        <v>19</v>
      </c>
      <c r="N561" s="15">
        <f t="shared" si="18"/>
        <v>1620</v>
      </c>
    </row>
    <row r="562" spans="1:14">
      <c r="A562" s="12">
        <v>561</v>
      </c>
      <c r="B562" s="3" t="s">
        <v>1120</v>
      </c>
      <c r="C562" s="43" t="s">
        <v>1121</v>
      </c>
      <c r="D562" s="43" t="s">
        <v>1122</v>
      </c>
      <c r="E562" s="43" t="s">
        <v>1123</v>
      </c>
      <c r="F562" s="6">
        <v>9160.32</v>
      </c>
      <c r="G562" s="45" t="s">
        <v>18</v>
      </c>
      <c r="H562" s="3">
        <v>996332</v>
      </c>
      <c r="I562" s="6">
        <v>40.549999999999997</v>
      </c>
      <c r="J562" s="6">
        <v>40.549999999999997</v>
      </c>
      <c r="K562" s="6">
        <v>0</v>
      </c>
      <c r="L562" s="4">
        <v>0</v>
      </c>
      <c r="M562" s="14" t="s">
        <v>157</v>
      </c>
      <c r="N562" s="15" t="s">
        <v>202</v>
      </c>
    </row>
    <row r="563" spans="1:14">
      <c r="A563" s="12">
        <v>562</v>
      </c>
      <c r="B563" s="3" t="s">
        <v>1120</v>
      </c>
      <c r="C563" s="43" t="s">
        <v>1121</v>
      </c>
      <c r="D563" s="43" t="s">
        <v>1124</v>
      </c>
      <c r="E563" s="43" t="s">
        <v>1123</v>
      </c>
      <c r="F563" s="6">
        <v>16800</v>
      </c>
      <c r="G563" s="45" t="s">
        <v>18</v>
      </c>
      <c r="H563" s="3">
        <v>996332</v>
      </c>
      <c r="I563" s="6">
        <v>900</v>
      </c>
      <c r="J563" s="6">
        <v>900</v>
      </c>
      <c r="K563" s="6">
        <v>0</v>
      </c>
      <c r="L563" s="4">
        <v>0</v>
      </c>
      <c r="M563" s="14" t="s">
        <v>157</v>
      </c>
      <c r="N563" s="15" t="s">
        <v>202</v>
      </c>
    </row>
    <row r="564" spans="1:14">
      <c r="A564" s="12">
        <v>563</v>
      </c>
      <c r="B564" s="3" t="s">
        <v>1120</v>
      </c>
      <c r="C564" s="43" t="s">
        <v>1121</v>
      </c>
      <c r="D564" s="43" t="s">
        <v>1125</v>
      </c>
      <c r="E564" s="43" t="s">
        <v>1123</v>
      </c>
      <c r="F564" s="6">
        <v>390</v>
      </c>
      <c r="G564" s="45" t="s">
        <v>18</v>
      </c>
      <c r="H564" s="3">
        <v>996332</v>
      </c>
      <c r="I564" s="6">
        <v>0</v>
      </c>
      <c r="J564" s="6">
        <v>0</v>
      </c>
      <c r="K564" s="6">
        <v>0</v>
      </c>
      <c r="L564" s="4">
        <v>0</v>
      </c>
      <c r="M564" s="14" t="s">
        <v>157</v>
      </c>
      <c r="N564" s="15" t="s">
        <v>202</v>
      </c>
    </row>
    <row r="565" spans="1:14">
      <c r="A565" s="12">
        <v>564</v>
      </c>
      <c r="B565" s="3" t="s">
        <v>1120</v>
      </c>
      <c r="C565" s="43" t="s">
        <v>1121</v>
      </c>
      <c r="D565" s="43" t="s">
        <v>1126</v>
      </c>
      <c r="E565" s="43" t="s">
        <v>924</v>
      </c>
      <c r="F565" s="6">
        <v>1198.82</v>
      </c>
      <c r="G565" s="45" t="s">
        <v>18</v>
      </c>
      <c r="H565" s="3">
        <v>996332</v>
      </c>
      <c r="I565" s="6">
        <v>21.88</v>
      </c>
      <c r="J565" s="6">
        <v>21.88</v>
      </c>
      <c r="K565" s="6">
        <v>0</v>
      </c>
      <c r="L565" s="4">
        <v>0</v>
      </c>
      <c r="M565" s="14" t="s">
        <v>157</v>
      </c>
      <c r="N565" s="15" t="s">
        <v>202</v>
      </c>
    </row>
    <row r="566" spans="1:14">
      <c r="A566" s="12">
        <v>565</v>
      </c>
      <c r="B566" s="3" t="s">
        <v>1120</v>
      </c>
      <c r="C566" s="43" t="s">
        <v>1121</v>
      </c>
      <c r="D566" s="43" t="s">
        <v>1127</v>
      </c>
      <c r="E566" s="43" t="s">
        <v>924</v>
      </c>
      <c r="F566" s="6">
        <v>4182.2</v>
      </c>
      <c r="G566" s="45" t="s">
        <v>18</v>
      </c>
      <c r="H566" s="3">
        <v>996332</v>
      </c>
      <c r="I566" s="6">
        <v>0</v>
      </c>
      <c r="J566" s="6">
        <v>0</v>
      </c>
      <c r="K566" s="6">
        <v>0</v>
      </c>
      <c r="L566" s="4">
        <v>0</v>
      </c>
      <c r="M566" s="14" t="s">
        <v>157</v>
      </c>
      <c r="N566" s="15" t="s">
        <v>202</v>
      </c>
    </row>
    <row r="567" spans="1:14">
      <c r="A567" s="12">
        <v>566</v>
      </c>
      <c r="B567" s="3" t="s">
        <v>1120</v>
      </c>
      <c r="C567" s="43" t="s">
        <v>1121</v>
      </c>
      <c r="D567" s="43" t="s">
        <v>1128</v>
      </c>
      <c r="E567" s="43" t="s">
        <v>924</v>
      </c>
      <c r="F567" s="6">
        <v>13440</v>
      </c>
      <c r="G567" s="45" t="s">
        <v>18</v>
      </c>
      <c r="H567" s="3">
        <v>996332</v>
      </c>
      <c r="I567" s="6">
        <v>720</v>
      </c>
      <c r="J567" s="6">
        <v>720</v>
      </c>
      <c r="K567" s="6">
        <v>0</v>
      </c>
      <c r="L567" s="4">
        <v>0</v>
      </c>
      <c r="M567" s="14" t="s">
        <v>157</v>
      </c>
      <c r="N567" s="15" t="s">
        <v>202</v>
      </c>
    </row>
    <row r="568" spans="1:14">
      <c r="A568" s="12">
        <v>567</v>
      </c>
      <c r="B568" s="3" t="s">
        <v>1120</v>
      </c>
      <c r="C568" s="43" t="s">
        <v>1121</v>
      </c>
      <c r="D568" s="43" t="s">
        <v>1129</v>
      </c>
      <c r="E568" s="43" t="s">
        <v>1130</v>
      </c>
      <c r="F568" s="6">
        <v>17848.740000000002</v>
      </c>
      <c r="G568" s="45" t="s">
        <v>18</v>
      </c>
      <c r="H568" s="3">
        <v>996332</v>
      </c>
      <c r="I568" s="6">
        <v>917.35</v>
      </c>
      <c r="J568" s="6">
        <v>917.35</v>
      </c>
      <c r="K568" s="6">
        <v>0</v>
      </c>
      <c r="L568" s="4">
        <v>0</v>
      </c>
      <c r="M568" s="14" t="s">
        <v>157</v>
      </c>
      <c r="N568" s="15" t="s">
        <v>202</v>
      </c>
    </row>
    <row r="569" spans="1:14">
      <c r="A569" s="12">
        <v>568</v>
      </c>
      <c r="B569" s="3" t="s">
        <v>1131</v>
      </c>
      <c r="C569" s="43" t="s">
        <v>1132</v>
      </c>
      <c r="D569" s="43" t="s">
        <v>1133</v>
      </c>
      <c r="E569" s="43" t="s">
        <v>994</v>
      </c>
      <c r="F569" s="6">
        <v>236</v>
      </c>
      <c r="G569" s="45" t="s">
        <v>18</v>
      </c>
      <c r="H569" s="3">
        <v>998599</v>
      </c>
      <c r="I569" s="6">
        <v>0</v>
      </c>
      <c r="J569" s="6">
        <v>0</v>
      </c>
      <c r="K569" s="6">
        <v>36</v>
      </c>
      <c r="L569" s="4">
        <v>0</v>
      </c>
      <c r="M569" s="14" t="s">
        <v>157</v>
      </c>
      <c r="N569" s="15" t="s">
        <v>202</v>
      </c>
    </row>
    <row r="570" spans="1:14">
      <c r="A570" s="12">
        <v>569</v>
      </c>
      <c r="B570" s="3" t="s">
        <v>1134</v>
      </c>
      <c r="C570" s="43" t="s">
        <v>1135</v>
      </c>
      <c r="D570" s="43" t="s">
        <v>1136</v>
      </c>
      <c r="E570" s="43" t="s">
        <v>23</v>
      </c>
      <c r="F570" s="6">
        <v>236</v>
      </c>
      <c r="G570" s="45" t="s">
        <v>18</v>
      </c>
      <c r="H570" s="3" t="s">
        <v>1137</v>
      </c>
      <c r="I570" s="6">
        <v>0</v>
      </c>
      <c r="J570" s="6">
        <v>0</v>
      </c>
      <c r="K570" s="6">
        <v>36</v>
      </c>
      <c r="L570" s="4">
        <v>0</v>
      </c>
      <c r="M570" s="14" t="s">
        <v>157</v>
      </c>
      <c r="N570" s="15" t="s">
        <v>202</v>
      </c>
    </row>
    <row r="571" spans="1:14">
      <c r="A571" s="12">
        <v>570</v>
      </c>
      <c r="B571" s="3" t="s">
        <v>1134</v>
      </c>
      <c r="C571" s="43" t="s">
        <v>1135</v>
      </c>
      <c r="D571" s="43" t="s">
        <v>1138</v>
      </c>
      <c r="E571" s="43" t="s">
        <v>23</v>
      </c>
      <c r="F571" s="6">
        <v>236</v>
      </c>
      <c r="G571" s="45" t="s">
        <v>18</v>
      </c>
      <c r="H571" s="3" t="s">
        <v>1137</v>
      </c>
      <c r="I571" s="6">
        <v>0</v>
      </c>
      <c r="J571" s="6">
        <v>0</v>
      </c>
      <c r="K571" s="6">
        <v>36</v>
      </c>
      <c r="L571" s="4">
        <v>0</v>
      </c>
      <c r="M571" s="14" t="s">
        <v>157</v>
      </c>
      <c r="N571" s="15" t="s">
        <v>202</v>
      </c>
    </row>
    <row r="572" spans="1:14">
      <c r="A572" s="12">
        <v>571</v>
      </c>
      <c r="B572" s="3" t="s">
        <v>1134</v>
      </c>
      <c r="C572" s="43" t="s">
        <v>1135</v>
      </c>
      <c r="D572" s="43" t="s">
        <v>1139</v>
      </c>
      <c r="E572" s="43" t="s">
        <v>23</v>
      </c>
      <c r="F572" s="6">
        <v>236</v>
      </c>
      <c r="G572" s="45" t="s">
        <v>18</v>
      </c>
      <c r="H572" s="3" t="s">
        <v>1137</v>
      </c>
      <c r="I572" s="6">
        <v>0</v>
      </c>
      <c r="J572" s="6">
        <v>0</v>
      </c>
      <c r="K572" s="6">
        <v>36</v>
      </c>
      <c r="L572" s="4">
        <v>0</v>
      </c>
      <c r="M572" s="14" t="s">
        <v>157</v>
      </c>
      <c r="N572" s="15" t="s">
        <v>202</v>
      </c>
    </row>
    <row r="573" spans="1:14">
      <c r="A573" s="12">
        <v>572</v>
      </c>
      <c r="B573" s="3" t="s">
        <v>1134</v>
      </c>
      <c r="C573" s="43" t="s">
        <v>1135</v>
      </c>
      <c r="D573" s="43" t="s">
        <v>1140</v>
      </c>
      <c r="E573" s="43" t="s">
        <v>23</v>
      </c>
      <c r="F573" s="6">
        <v>236</v>
      </c>
      <c r="G573" s="45" t="s">
        <v>18</v>
      </c>
      <c r="H573" s="3" t="s">
        <v>1137</v>
      </c>
      <c r="I573" s="6">
        <v>0</v>
      </c>
      <c r="J573" s="6">
        <v>0</v>
      </c>
      <c r="K573" s="6">
        <v>36</v>
      </c>
      <c r="L573" s="4">
        <v>0</v>
      </c>
      <c r="M573" s="14" t="s">
        <v>157</v>
      </c>
      <c r="N573" s="15" t="s">
        <v>202</v>
      </c>
    </row>
    <row r="574" spans="1:14">
      <c r="A574" s="12">
        <v>573</v>
      </c>
      <c r="B574" s="3" t="s">
        <v>1134</v>
      </c>
      <c r="C574" s="43" t="s">
        <v>1135</v>
      </c>
      <c r="D574" s="43" t="s">
        <v>1141</v>
      </c>
      <c r="E574" s="43" t="s">
        <v>23</v>
      </c>
      <c r="F574" s="6">
        <v>236</v>
      </c>
      <c r="G574" s="45" t="s">
        <v>18</v>
      </c>
      <c r="H574" s="3" t="s">
        <v>1137</v>
      </c>
      <c r="I574" s="6">
        <v>0</v>
      </c>
      <c r="J574" s="6">
        <v>0</v>
      </c>
      <c r="K574" s="6">
        <v>36</v>
      </c>
      <c r="L574" s="4">
        <v>0</v>
      </c>
      <c r="M574" s="14" t="s">
        <v>157</v>
      </c>
      <c r="N574" s="15" t="s">
        <v>202</v>
      </c>
    </row>
    <row r="575" spans="1:14">
      <c r="A575" s="12">
        <v>574</v>
      </c>
      <c r="B575" s="3" t="s">
        <v>1134</v>
      </c>
      <c r="C575" s="43" t="s">
        <v>1135</v>
      </c>
      <c r="D575" s="43" t="s">
        <v>1142</v>
      </c>
      <c r="E575" s="43" t="s">
        <v>23</v>
      </c>
      <c r="F575" s="6">
        <v>236</v>
      </c>
      <c r="G575" s="45" t="s">
        <v>18</v>
      </c>
      <c r="H575" s="3" t="s">
        <v>1137</v>
      </c>
      <c r="I575" s="6">
        <v>0</v>
      </c>
      <c r="J575" s="6">
        <v>0</v>
      </c>
      <c r="K575" s="6">
        <v>36</v>
      </c>
      <c r="L575" s="4">
        <v>0</v>
      </c>
      <c r="M575" s="14" t="s">
        <v>157</v>
      </c>
      <c r="N575" s="15" t="s">
        <v>202</v>
      </c>
    </row>
    <row r="576" spans="1:14">
      <c r="A576" s="12">
        <v>575</v>
      </c>
      <c r="B576" s="3" t="s">
        <v>1134</v>
      </c>
      <c r="C576" s="43" t="s">
        <v>1135</v>
      </c>
      <c r="D576" s="43" t="s">
        <v>1143</v>
      </c>
      <c r="E576" s="43" t="s">
        <v>23</v>
      </c>
      <c r="F576" s="6">
        <v>236</v>
      </c>
      <c r="G576" s="45" t="s">
        <v>18</v>
      </c>
      <c r="H576" s="3" t="s">
        <v>1137</v>
      </c>
      <c r="I576" s="6">
        <v>0</v>
      </c>
      <c r="J576" s="6">
        <v>0</v>
      </c>
      <c r="K576" s="6">
        <v>36</v>
      </c>
      <c r="L576" s="4">
        <v>0</v>
      </c>
      <c r="M576" s="14" t="s">
        <v>157</v>
      </c>
      <c r="N576" s="15" t="s">
        <v>202</v>
      </c>
    </row>
    <row r="577" spans="1:14">
      <c r="A577" s="12">
        <v>576</v>
      </c>
      <c r="B577" s="3" t="s">
        <v>1134</v>
      </c>
      <c r="C577" s="43" t="s">
        <v>1135</v>
      </c>
      <c r="D577" s="43" t="s">
        <v>1144</v>
      </c>
      <c r="E577" s="43" t="s">
        <v>23</v>
      </c>
      <c r="F577" s="6">
        <v>236</v>
      </c>
      <c r="G577" s="45" t="s">
        <v>18</v>
      </c>
      <c r="H577" s="3" t="s">
        <v>1137</v>
      </c>
      <c r="I577" s="6">
        <v>0</v>
      </c>
      <c r="J577" s="6">
        <v>0</v>
      </c>
      <c r="K577" s="6">
        <v>36</v>
      </c>
      <c r="L577" s="4">
        <v>0</v>
      </c>
      <c r="M577" s="14" t="s">
        <v>157</v>
      </c>
      <c r="N577" s="15" t="s">
        <v>202</v>
      </c>
    </row>
    <row r="578" spans="1:14">
      <c r="A578" s="12">
        <v>577</v>
      </c>
      <c r="B578" s="3" t="s">
        <v>1134</v>
      </c>
      <c r="C578" s="43" t="s">
        <v>1135</v>
      </c>
      <c r="D578" s="43" t="s">
        <v>1145</v>
      </c>
      <c r="E578" s="43" t="s">
        <v>23</v>
      </c>
      <c r="F578" s="6">
        <v>236</v>
      </c>
      <c r="G578" s="45" t="s">
        <v>18</v>
      </c>
      <c r="H578" s="3" t="s">
        <v>1137</v>
      </c>
      <c r="I578" s="6">
        <v>0</v>
      </c>
      <c r="J578" s="6">
        <v>0</v>
      </c>
      <c r="K578" s="6">
        <v>36</v>
      </c>
      <c r="L578" s="4">
        <v>0</v>
      </c>
      <c r="M578" s="14" t="s">
        <v>157</v>
      </c>
      <c r="N578" s="15" t="s">
        <v>202</v>
      </c>
    </row>
    <row r="579" spans="1:14">
      <c r="A579" s="12">
        <v>578</v>
      </c>
      <c r="B579" s="3" t="s">
        <v>1134</v>
      </c>
      <c r="C579" s="43" t="s">
        <v>1135</v>
      </c>
      <c r="D579" s="43" t="s">
        <v>1146</v>
      </c>
      <c r="E579" s="43" t="s">
        <v>23</v>
      </c>
      <c r="F579" s="6">
        <v>236</v>
      </c>
      <c r="G579" s="45" t="s">
        <v>18</v>
      </c>
      <c r="H579" s="3" t="s">
        <v>1137</v>
      </c>
      <c r="I579" s="6">
        <v>0</v>
      </c>
      <c r="J579" s="6">
        <v>0</v>
      </c>
      <c r="K579" s="6">
        <v>36</v>
      </c>
      <c r="L579" s="4">
        <v>0</v>
      </c>
      <c r="M579" s="14" t="s">
        <v>157</v>
      </c>
      <c r="N579" s="15" t="s">
        <v>202</v>
      </c>
    </row>
    <row r="580" spans="1:14">
      <c r="A580" s="12">
        <v>579</v>
      </c>
      <c r="B580" s="3" t="s">
        <v>1134</v>
      </c>
      <c r="C580" s="43" t="s">
        <v>1135</v>
      </c>
      <c r="D580" s="43" t="s">
        <v>1147</v>
      </c>
      <c r="E580" s="43" t="s">
        <v>28</v>
      </c>
      <c r="F580" s="6">
        <v>236</v>
      </c>
      <c r="G580" s="45" t="s">
        <v>18</v>
      </c>
      <c r="H580" s="3" t="s">
        <v>1137</v>
      </c>
      <c r="I580" s="6">
        <v>0</v>
      </c>
      <c r="J580" s="6">
        <v>0</v>
      </c>
      <c r="K580" s="6">
        <v>36</v>
      </c>
      <c r="L580" s="4">
        <v>0</v>
      </c>
      <c r="M580" s="14" t="s">
        <v>157</v>
      </c>
      <c r="N580" s="15" t="s">
        <v>202</v>
      </c>
    </row>
    <row r="581" spans="1:14">
      <c r="A581" s="12">
        <v>580</v>
      </c>
      <c r="B581" s="3" t="s">
        <v>1148</v>
      </c>
      <c r="C581" s="43" t="s">
        <v>1149</v>
      </c>
      <c r="D581" s="43" t="s">
        <v>1150</v>
      </c>
      <c r="E581" s="43" t="s">
        <v>63</v>
      </c>
      <c r="F581" s="6">
        <v>178189</v>
      </c>
      <c r="G581" s="45" t="s">
        <v>18</v>
      </c>
      <c r="H581" s="3">
        <v>996713</v>
      </c>
      <c r="I581" s="6">
        <v>0</v>
      </c>
      <c r="J581" s="6">
        <v>0</v>
      </c>
      <c r="K581" s="6">
        <v>27181.439999999999</v>
      </c>
      <c r="L581" s="4">
        <v>0</v>
      </c>
      <c r="M581" s="14" t="s">
        <v>19</v>
      </c>
      <c r="N581" s="15">
        <f t="shared" ref="N581:N603" si="19">SUM(I581:L581)</f>
        <v>27181.439999999999</v>
      </c>
    </row>
    <row r="582" spans="1:14">
      <c r="A582" s="12">
        <v>581</v>
      </c>
      <c r="B582" s="3" t="s">
        <v>1148</v>
      </c>
      <c r="C582" s="43" t="s">
        <v>1149</v>
      </c>
      <c r="D582" s="43" t="s">
        <v>1151</v>
      </c>
      <c r="E582" s="43" t="s">
        <v>59</v>
      </c>
      <c r="F582" s="6">
        <v>74340</v>
      </c>
      <c r="G582" s="45" t="s">
        <v>18</v>
      </c>
      <c r="H582" s="3">
        <v>996713</v>
      </c>
      <c r="I582" s="6">
        <v>0</v>
      </c>
      <c r="J582" s="6">
        <v>0</v>
      </c>
      <c r="K582" s="6">
        <v>11340</v>
      </c>
      <c r="L582" s="4">
        <v>0</v>
      </c>
      <c r="M582" s="14" t="s">
        <v>19</v>
      </c>
      <c r="N582" s="15">
        <f t="shared" si="19"/>
        <v>11340</v>
      </c>
    </row>
    <row r="583" spans="1:14">
      <c r="A583" s="12">
        <v>582</v>
      </c>
      <c r="B583" s="3" t="s">
        <v>1148</v>
      </c>
      <c r="C583" s="43" t="s">
        <v>1149</v>
      </c>
      <c r="D583" s="43" t="s">
        <v>1152</v>
      </c>
      <c r="E583" s="43" t="s">
        <v>88</v>
      </c>
      <c r="F583" s="6">
        <v>1980</v>
      </c>
      <c r="G583" s="45" t="s">
        <v>18</v>
      </c>
      <c r="H583" s="3">
        <v>996812</v>
      </c>
      <c r="I583" s="6">
        <v>0</v>
      </c>
      <c r="J583" s="6">
        <v>0</v>
      </c>
      <c r="K583" s="6">
        <v>302.04000000000002</v>
      </c>
      <c r="L583" s="4">
        <v>0</v>
      </c>
      <c r="M583" s="14" t="s">
        <v>19</v>
      </c>
      <c r="N583" s="15">
        <f t="shared" si="19"/>
        <v>302.04000000000002</v>
      </c>
    </row>
    <row r="584" spans="1:14">
      <c r="A584" s="12">
        <v>583</v>
      </c>
      <c r="B584" s="3" t="s">
        <v>1148</v>
      </c>
      <c r="C584" s="43" t="s">
        <v>1149</v>
      </c>
      <c r="D584" s="43" t="s">
        <v>1153</v>
      </c>
      <c r="E584" s="43" t="s">
        <v>1019</v>
      </c>
      <c r="F584" s="6">
        <v>2590</v>
      </c>
      <c r="G584" s="45" t="s">
        <v>18</v>
      </c>
      <c r="H584" s="3">
        <v>996812</v>
      </c>
      <c r="I584" s="6">
        <v>0</v>
      </c>
      <c r="J584" s="6">
        <v>0</v>
      </c>
      <c r="K584" s="6">
        <v>395.1</v>
      </c>
      <c r="L584" s="4">
        <v>0</v>
      </c>
      <c r="M584" s="14" t="s">
        <v>19</v>
      </c>
      <c r="N584" s="15">
        <f t="shared" si="19"/>
        <v>395.1</v>
      </c>
    </row>
    <row r="585" spans="1:14">
      <c r="A585" s="12">
        <v>584</v>
      </c>
      <c r="B585" s="14"/>
      <c r="C585" s="45" t="s">
        <v>1154</v>
      </c>
      <c r="D585" s="45" t="s">
        <v>946</v>
      </c>
      <c r="E585" s="55">
        <v>45688</v>
      </c>
      <c r="F585" s="15">
        <v>108395</v>
      </c>
      <c r="G585" s="45" t="s">
        <v>18</v>
      </c>
      <c r="H585" s="14">
        <v>996511</v>
      </c>
      <c r="I585" s="14">
        <v>2709.875</v>
      </c>
      <c r="J585" s="14">
        <v>2709.875</v>
      </c>
      <c r="K585" s="14">
        <v>0</v>
      </c>
      <c r="L585" s="4">
        <v>0</v>
      </c>
      <c r="M585" s="14" t="s">
        <v>19</v>
      </c>
      <c r="N585" s="14">
        <f t="shared" si="19"/>
        <v>5419.75</v>
      </c>
    </row>
    <row r="586" spans="1:14">
      <c r="A586" s="12">
        <v>585</v>
      </c>
      <c r="B586" s="14"/>
      <c r="C586" s="45" t="s">
        <v>1154</v>
      </c>
      <c r="D586" s="45" t="s">
        <v>946</v>
      </c>
      <c r="E586" s="55">
        <v>45688</v>
      </c>
      <c r="F586" s="15">
        <v>116580</v>
      </c>
      <c r="G586" s="45" t="s">
        <v>18</v>
      </c>
      <c r="H586" s="14">
        <v>996511</v>
      </c>
      <c r="I586" s="14">
        <v>2914.5</v>
      </c>
      <c r="J586" s="14">
        <v>2914.5</v>
      </c>
      <c r="K586" s="14">
        <v>0</v>
      </c>
      <c r="L586" s="4">
        <v>0</v>
      </c>
      <c r="M586" s="14" t="s">
        <v>19</v>
      </c>
      <c r="N586" s="14">
        <f t="shared" si="19"/>
        <v>5829</v>
      </c>
    </row>
    <row r="587" spans="1:14">
      <c r="A587" s="12">
        <v>586</v>
      </c>
      <c r="B587" s="14"/>
      <c r="C587" s="44" t="s">
        <v>1155</v>
      </c>
      <c r="D587" s="45" t="s">
        <v>946</v>
      </c>
      <c r="E587" s="55">
        <v>45716</v>
      </c>
      <c r="F587" s="34">
        <v>115170</v>
      </c>
      <c r="G587" s="45" t="s">
        <v>18</v>
      </c>
      <c r="H587" s="14">
        <v>996511</v>
      </c>
      <c r="I587" s="14">
        <v>2880</v>
      </c>
      <c r="J587" s="14">
        <v>2880</v>
      </c>
      <c r="K587" s="14">
        <v>0</v>
      </c>
      <c r="L587" s="4">
        <v>0</v>
      </c>
      <c r="M587" s="14" t="s">
        <v>19</v>
      </c>
      <c r="N587" s="14">
        <f t="shared" si="19"/>
        <v>5760</v>
      </c>
    </row>
    <row r="588" spans="1:14">
      <c r="A588" s="12">
        <v>587</v>
      </c>
      <c r="B588" s="14"/>
      <c r="C588" s="44" t="s">
        <v>1155</v>
      </c>
      <c r="D588" s="45" t="s">
        <v>946</v>
      </c>
      <c r="E588" s="55">
        <v>45747</v>
      </c>
      <c r="F588" s="34">
        <v>106038</v>
      </c>
      <c r="G588" s="45" t="s">
        <v>18</v>
      </c>
      <c r="H588" s="14">
        <v>996511</v>
      </c>
      <c r="I588" s="14">
        <v>2650.9500000000003</v>
      </c>
      <c r="J588" s="14">
        <v>2650.9500000000003</v>
      </c>
      <c r="K588" s="14">
        <v>0</v>
      </c>
      <c r="L588" s="4">
        <v>0</v>
      </c>
      <c r="M588" s="14" t="s">
        <v>19</v>
      </c>
      <c r="N588" s="14">
        <f t="shared" si="19"/>
        <v>5301.9000000000005</v>
      </c>
    </row>
    <row r="589" spans="1:14">
      <c r="A589" s="12">
        <v>588</v>
      </c>
      <c r="B589" s="14"/>
      <c r="C589" s="44" t="s">
        <v>1155</v>
      </c>
      <c r="D589" s="45" t="s">
        <v>946</v>
      </c>
      <c r="E589" s="55">
        <v>45777</v>
      </c>
      <c r="F589" s="15">
        <v>112320</v>
      </c>
      <c r="G589" s="45" t="s">
        <v>18</v>
      </c>
      <c r="H589" s="14">
        <v>996511</v>
      </c>
      <c r="I589" s="14">
        <v>2808</v>
      </c>
      <c r="J589" s="14">
        <v>2808</v>
      </c>
      <c r="K589" s="14">
        <v>0</v>
      </c>
      <c r="L589" s="4">
        <v>0</v>
      </c>
      <c r="M589" s="14" t="s">
        <v>19</v>
      </c>
      <c r="N589" s="14">
        <f t="shared" si="19"/>
        <v>5616</v>
      </c>
    </row>
    <row r="590" spans="1:14">
      <c r="A590" s="12">
        <v>589</v>
      </c>
      <c r="B590" s="3" t="s">
        <v>1156</v>
      </c>
      <c r="C590" s="43" t="s">
        <v>1157</v>
      </c>
      <c r="D590" s="43" t="s">
        <v>1158</v>
      </c>
      <c r="E590" s="43" t="s">
        <v>463</v>
      </c>
      <c r="F590" s="6">
        <v>934800</v>
      </c>
      <c r="G590" s="43" t="s">
        <v>1159</v>
      </c>
      <c r="H590" s="3">
        <v>1006</v>
      </c>
      <c r="I590" s="6">
        <v>0</v>
      </c>
      <c r="J590" s="6">
        <v>0</v>
      </c>
      <c r="K590" s="6">
        <v>0</v>
      </c>
      <c r="L590" s="4">
        <v>0</v>
      </c>
      <c r="M590" s="14" t="s">
        <v>108</v>
      </c>
      <c r="N590" s="15">
        <f t="shared" si="19"/>
        <v>0</v>
      </c>
    </row>
    <row r="591" spans="1:14">
      <c r="A591" s="12">
        <v>590</v>
      </c>
      <c r="B591" s="3" t="s">
        <v>1156</v>
      </c>
      <c r="C591" s="43" t="s">
        <v>1157</v>
      </c>
      <c r="D591" s="43" t="s">
        <v>1160</v>
      </c>
      <c r="E591" s="43" t="s">
        <v>1161</v>
      </c>
      <c r="F591" s="6">
        <v>881100</v>
      </c>
      <c r="G591" s="43" t="s">
        <v>1159</v>
      </c>
      <c r="H591" s="3">
        <v>1006</v>
      </c>
      <c r="I591" s="6">
        <v>0</v>
      </c>
      <c r="J591" s="6">
        <v>0</v>
      </c>
      <c r="K591" s="6">
        <v>0</v>
      </c>
      <c r="L591" s="4">
        <v>0</v>
      </c>
      <c r="M591" s="14" t="s">
        <v>108</v>
      </c>
      <c r="N591" s="15">
        <f t="shared" si="19"/>
        <v>0</v>
      </c>
    </row>
    <row r="592" spans="1:14">
      <c r="A592" s="12">
        <v>591</v>
      </c>
      <c r="B592" s="3" t="s">
        <v>1156</v>
      </c>
      <c r="C592" s="43" t="s">
        <v>1157</v>
      </c>
      <c r="D592" s="43" t="s">
        <v>1162</v>
      </c>
      <c r="E592" s="43" t="s">
        <v>1161</v>
      </c>
      <c r="F592" s="6">
        <v>1002520</v>
      </c>
      <c r="G592" s="43" t="s">
        <v>1159</v>
      </c>
      <c r="H592" s="3">
        <v>1006</v>
      </c>
      <c r="I592" s="6">
        <v>0</v>
      </c>
      <c r="J592" s="6">
        <v>0</v>
      </c>
      <c r="K592" s="6">
        <v>0</v>
      </c>
      <c r="L592" s="4">
        <v>0</v>
      </c>
      <c r="M592" s="14" t="s">
        <v>108</v>
      </c>
      <c r="N592" s="15">
        <f t="shared" si="19"/>
        <v>0</v>
      </c>
    </row>
    <row r="593" spans="1:14">
      <c r="A593" s="12">
        <v>592</v>
      </c>
      <c r="B593" s="3" t="s">
        <v>1156</v>
      </c>
      <c r="C593" s="43" t="s">
        <v>1157</v>
      </c>
      <c r="D593" s="43" t="s">
        <v>1163</v>
      </c>
      <c r="E593" s="43" t="s">
        <v>1123</v>
      </c>
      <c r="F593" s="6">
        <v>751605</v>
      </c>
      <c r="G593" s="43" t="s">
        <v>1159</v>
      </c>
      <c r="H593" s="3">
        <v>1006</v>
      </c>
      <c r="I593" s="6">
        <v>0</v>
      </c>
      <c r="J593" s="6">
        <v>0</v>
      </c>
      <c r="K593" s="6">
        <v>0</v>
      </c>
      <c r="L593" s="4">
        <v>0</v>
      </c>
      <c r="M593" s="14" t="s">
        <v>108</v>
      </c>
      <c r="N593" s="15">
        <f t="shared" si="19"/>
        <v>0</v>
      </c>
    </row>
    <row r="594" spans="1:14">
      <c r="A594" s="12">
        <v>593</v>
      </c>
      <c r="B594" s="3" t="s">
        <v>1156</v>
      </c>
      <c r="C594" s="43" t="s">
        <v>1157</v>
      </c>
      <c r="D594" s="43" t="s">
        <v>1164</v>
      </c>
      <c r="E594" s="43" t="s">
        <v>1165</v>
      </c>
      <c r="F594" s="6">
        <v>944714</v>
      </c>
      <c r="G594" s="43" t="s">
        <v>1159</v>
      </c>
      <c r="H594" s="3">
        <v>1006</v>
      </c>
      <c r="I594" s="6">
        <v>0</v>
      </c>
      <c r="J594" s="6">
        <v>0</v>
      </c>
      <c r="K594" s="6">
        <v>0</v>
      </c>
      <c r="L594" s="4">
        <v>0</v>
      </c>
      <c r="M594" s="14" t="s">
        <v>108</v>
      </c>
      <c r="N594" s="15">
        <f t="shared" si="19"/>
        <v>0</v>
      </c>
    </row>
    <row r="595" spans="1:14">
      <c r="A595" s="12">
        <v>594</v>
      </c>
      <c r="B595" s="3" t="s">
        <v>1166</v>
      </c>
      <c r="C595" s="43" t="s">
        <v>1167</v>
      </c>
      <c r="D595" s="43" t="s">
        <v>1168</v>
      </c>
      <c r="E595" s="43" t="s">
        <v>30</v>
      </c>
      <c r="F595" s="6">
        <v>6317.67</v>
      </c>
      <c r="G595" s="45" t="s">
        <v>18</v>
      </c>
      <c r="H595" s="3">
        <v>9971</v>
      </c>
      <c r="I595" s="6">
        <v>481.86</v>
      </c>
      <c r="J595" s="6">
        <v>481.86</v>
      </c>
      <c r="K595" s="6">
        <v>0</v>
      </c>
      <c r="L595" s="4">
        <v>0</v>
      </c>
      <c r="M595" s="14" t="s">
        <v>19</v>
      </c>
      <c r="N595" s="15">
        <f t="shared" si="19"/>
        <v>963.72</v>
      </c>
    </row>
    <row r="596" spans="1:14">
      <c r="A596" s="12">
        <v>595</v>
      </c>
      <c r="B596" s="3" t="s">
        <v>1166</v>
      </c>
      <c r="C596" s="43" t="s">
        <v>1167</v>
      </c>
      <c r="D596" s="43" t="s">
        <v>1169</v>
      </c>
      <c r="E596" s="43" t="s">
        <v>970</v>
      </c>
      <c r="F596" s="6">
        <v>7080</v>
      </c>
      <c r="G596" s="45" t="s">
        <v>18</v>
      </c>
      <c r="H596" s="3">
        <v>9971</v>
      </c>
      <c r="I596" s="6">
        <v>540</v>
      </c>
      <c r="J596" s="6">
        <v>540</v>
      </c>
      <c r="K596" s="6">
        <v>0</v>
      </c>
      <c r="L596" s="4">
        <v>0</v>
      </c>
      <c r="M596" s="14" t="s">
        <v>19</v>
      </c>
      <c r="N596" s="15">
        <f t="shared" si="19"/>
        <v>1080</v>
      </c>
    </row>
    <row r="597" spans="1:14">
      <c r="A597" s="12">
        <v>596</v>
      </c>
      <c r="B597" s="3" t="s">
        <v>1170</v>
      </c>
      <c r="C597" s="43" t="s">
        <v>1171</v>
      </c>
      <c r="D597" s="43" t="s">
        <v>1172</v>
      </c>
      <c r="E597" s="43" t="s">
        <v>1173</v>
      </c>
      <c r="F597" s="6">
        <v>3304</v>
      </c>
      <c r="G597" s="45" t="s">
        <v>18</v>
      </c>
      <c r="H597" s="3">
        <v>998551</v>
      </c>
      <c r="I597" s="6">
        <v>252</v>
      </c>
      <c r="J597" s="6">
        <v>252</v>
      </c>
      <c r="K597" s="6">
        <v>0</v>
      </c>
      <c r="L597" s="4">
        <v>0</v>
      </c>
      <c r="M597" s="14" t="s">
        <v>19</v>
      </c>
      <c r="N597" s="15">
        <f t="shared" si="19"/>
        <v>504</v>
      </c>
    </row>
    <row r="598" spans="1:14">
      <c r="A598" s="12">
        <v>597</v>
      </c>
      <c r="B598" s="3" t="s">
        <v>257</v>
      </c>
      <c r="C598" s="43" t="s">
        <v>258</v>
      </c>
      <c r="D598" s="43" t="s">
        <v>1174</v>
      </c>
      <c r="E598" s="43" t="s">
        <v>1175</v>
      </c>
      <c r="F598" s="6">
        <v>88500</v>
      </c>
      <c r="G598" s="45" t="s">
        <v>18</v>
      </c>
      <c r="H598" s="3">
        <v>9982</v>
      </c>
      <c r="I598" s="6">
        <v>0</v>
      </c>
      <c r="J598" s="6">
        <v>0</v>
      </c>
      <c r="K598" s="6">
        <v>13500</v>
      </c>
      <c r="L598" s="4">
        <v>0</v>
      </c>
      <c r="M598" s="14" t="s">
        <v>19</v>
      </c>
      <c r="N598" s="15">
        <f t="shared" si="19"/>
        <v>13500</v>
      </c>
    </row>
    <row r="599" spans="1:14">
      <c r="A599" s="12">
        <v>598</v>
      </c>
      <c r="B599" s="3" t="s">
        <v>257</v>
      </c>
      <c r="C599" s="43" t="s">
        <v>258</v>
      </c>
      <c r="D599" s="43" t="s">
        <v>1176</v>
      </c>
      <c r="E599" s="43" t="s">
        <v>1177</v>
      </c>
      <c r="F599" s="6">
        <v>23600</v>
      </c>
      <c r="G599" s="45" t="s">
        <v>18</v>
      </c>
      <c r="H599" s="3">
        <v>9982</v>
      </c>
      <c r="I599" s="6">
        <v>0</v>
      </c>
      <c r="J599" s="6">
        <v>0</v>
      </c>
      <c r="K599" s="6">
        <v>3600</v>
      </c>
      <c r="L599" s="4">
        <v>0</v>
      </c>
      <c r="M599" s="14" t="s">
        <v>19</v>
      </c>
      <c r="N599" s="15">
        <f t="shared" si="19"/>
        <v>3600</v>
      </c>
    </row>
    <row r="600" spans="1:14">
      <c r="A600" s="12">
        <v>599</v>
      </c>
      <c r="B600" s="3" t="s">
        <v>257</v>
      </c>
      <c r="C600" s="43" t="s">
        <v>258</v>
      </c>
      <c r="D600" s="43" t="s">
        <v>1178</v>
      </c>
      <c r="E600" s="43" t="s">
        <v>802</v>
      </c>
      <c r="F600" s="6">
        <v>35400</v>
      </c>
      <c r="G600" s="45" t="s">
        <v>18</v>
      </c>
      <c r="H600" s="3">
        <v>9982</v>
      </c>
      <c r="I600" s="6">
        <v>0</v>
      </c>
      <c r="J600" s="6">
        <v>0</v>
      </c>
      <c r="K600" s="6">
        <v>5400</v>
      </c>
      <c r="L600" s="4">
        <v>0</v>
      </c>
      <c r="M600" s="14" t="s">
        <v>19</v>
      </c>
      <c r="N600" s="15">
        <f t="shared" si="19"/>
        <v>5400</v>
      </c>
    </row>
    <row r="601" spans="1:14">
      <c r="A601" s="12">
        <v>600</v>
      </c>
      <c r="B601" s="3" t="s">
        <v>257</v>
      </c>
      <c r="C601" s="43" t="s">
        <v>258</v>
      </c>
      <c r="D601" s="43" t="s">
        <v>1179</v>
      </c>
      <c r="E601" s="43" t="s">
        <v>44</v>
      </c>
      <c r="F601" s="6">
        <v>48970</v>
      </c>
      <c r="G601" s="45" t="s">
        <v>18</v>
      </c>
      <c r="H601" s="3">
        <v>9982</v>
      </c>
      <c r="I601" s="6">
        <v>0</v>
      </c>
      <c r="J601" s="6">
        <v>0</v>
      </c>
      <c r="K601" s="6">
        <v>7470</v>
      </c>
      <c r="L601" s="4">
        <v>0</v>
      </c>
      <c r="M601" s="14" t="s">
        <v>19</v>
      </c>
      <c r="N601" s="15">
        <f t="shared" si="19"/>
        <v>7470</v>
      </c>
    </row>
    <row r="602" spans="1:14">
      <c r="A602" s="12">
        <v>601</v>
      </c>
      <c r="B602" s="3" t="s">
        <v>257</v>
      </c>
      <c r="C602" s="43" t="s">
        <v>258</v>
      </c>
      <c r="D602" s="43" t="s">
        <v>1180</v>
      </c>
      <c r="E602" s="43" t="s">
        <v>1181</v>
      </c>
      <c r="F602" s="6">
        <v>1770</v>
      </c>
      <c r="G602" s="45" t="s">
        <v>18</v>
      </c>
      <c r="H602" s="3">
        <v>9982</v>
      </c>
      <c r="I602" s="6">
        <v>0</v>
      </c>
      <c r="J602" s="6">
        <v>0</v>
      </c>
      <c r="K602" s="6">
        <v>270</v>
      </c>
      <c r="L602" s="4">
        <v>0</v>
      </c>
      <c r="M602" s="14" t="s">
        <v>19</v>
      </c>
      <c r="N602" s="15">
        <f t="shared" si="19"/>
        <v>270</v>
      </c>
    </row>
    <row r="603" spans="1:14">
      <c r="A603" s="12">
        <v>602</v>
      </c>
      <c r="B603" s="3" t="s">
        <v>257</v>
      </c>
      <c r="C603" s="43" t="s">
        <v>258</v>
      </c>
      <c r="D603" s="43" t="s">
        <v>1182</v>
      </c>
      <c r="E603" s="43" t="s">
        <v>1116</v>
      </c>
      <c r="F603" s="6">
        <v>37170</v>
      </c>
      <c r="G603" s="45" t="s">
        <v>18</v>
      </c>
      <c r="H603" s="3">
        <v>9982</v>
      </c>
      <c r="I603" s="6">
        <v>0</v>
      </c>
      <c r="J603" s="6">
        <v>0</v>
      </c>
      <c r="K603" s="6">
        <v>5670</v>
      </c>
      <c r="L603" s="4">
        <v>0</v>
      </c>
      <c r="M603" s="14" t="s">
        <v>19</v>
      </c>
      <c r="N603" s="15">
        <f t="shared" si="19"/>
        <v>5670</v>
      </c>
    </row>
    <row r="604" spans="1:14">
      <c r="A604" s="12">
        <v>603</v>
      </c>
      <c r="B604" s="3" t="s">
        <v>1183</v>
      </c>
      <c r="C604" s="43" t="s">
        <v>1184</v>
      </c>
      <c r="D604" s="43" t="s">
        <v>1185</v>
      </c>
      <c r="E604" s="43" t="s">
        <v>1186</v>
      </c>
      <c r="F604" s="6">
        <v>7123</v>
      </c>
      <c r="G604" s="45" t="s">
        <v>156</v>
      </c>
      <c r="H604" s="3">
        <v>84224000</v>
      </c>
      <c r="I604" s="6">
        <v>381.6</v>
      </c>
      <c r="J604" s="6">
        <v>381.6</v>
      </c>
      <c r="K604" s="6">
        <v>0</v>
      </c>
      <c r="L604" s="4">
        <v>0</v>
      </c>
      <c r="M604" s="14" t="s">
        <v>157</v>
      </c>
      <c r="N604" s="15" t="s">
        <v>202</v>
      </c>
    </row>
    <row r="605" spans="1:14">
      <c r="A605" s="12">
        <v>604</v>
      </c>
      <c r="B605" s="3" t="s">
        <v>528</v>
      </c>
      <c r="C605" s="43" t="s">
        <v>529</v>
      </c>
      <c r="D605" s="43" t="s">
        <v>1187</v>
      </c>
      <c r="E605" s="43" t="s">
        <v>438</v>
      </c>
      <c r="F605" s="6">
        <v>354</v>
      </c>
      <c r="G605" s="45" t="s">
        <v>18</v>
      </c>
      <c r="H605" s="3">
        <v>9971</v>
      </c>
      <c r="I605" s="6">
        <v>27</v>
      </c>
      <c r="J605" s="6">
        <v>27</v>
      </c>
      <c r="K605" s="6">
        <v>0</v>
      </c>
      <c r="L605" s="4">
        <v>0</v>
      </c>
      <c r="M605" s="14" t="s">
        <v>19</v>
      </c>
      <c r="N605" s="15">
        <f t="shared" ref="N605:N668" si="20">SUM(I605:L605)</f>
        <v>54</v>
      </c>
    </row>
    <row r="606" spans="1:14">
      <c r="A606" s="12">
        <v>605</v>
      </c>
      <c r="B606" s="3" t="s">
        <v>528</v>
      </c>
      <c r="C606" s="43" t="s">
        <v>529</v>
      </c>
      <c r="D606" s="43" t="s">
        <v>1188</v>
      </c>
      <c r="E606" s="43" t="s">
        <v>438</v>
      </c>
      <c r="F606" s="6">
        <v>354</v>
      </c>
      <c r="G606" s="45" t="s">
        <v>18</v>
      </c>
      <c r="H606" s="3">
        <v>9971</v>
      </c>
      <c r="I606" s="6">
        <v>27</v>
      </c>
      <c r="J606" s="6">
        <v>27</v>
      </c>
      <c r="K606" s="6">
        <v>0</v>
      </c>
      <c r="L606" s="4">
        <v>0</v>
      </c>
      <c r="M606" s="14" t="s">
        <v>19</v>
      </c>
      <c r="N606" s="15">
        <f t="shared" si="20"/>
        <v>54</v>
      </c>
    </row>
    <row r="607" spans="1:14">
      <c r="A607" s="12">
        <v>606</v>
      </c>
      <c r="B607" s="3" t="s">
        <v>528</v>
      </c>
      <c r="C607" s="43" t="s">
        <v>529</v>
      </c>
      <c r="D607" s="43" t="s">
        <v>1189</v>
      </c>
      <c r="E607" s="43" t="s">
        <v>40</v>
      </c>
      <c r="F607" s="6">
        <v>25537.040000000001</v>
      </c>
      <c r="G607" s="45" t="s">
        <v>18</v>
      </c>
      <c r="H607" s="3">
        <v>9971</v>
      </c>
      <c r="I607" s="6">
        <v>1947.74</v>
      </c>
      <c r="J607" s="6">
        <v>1947.74</v>
      </c>
      <c r="K607" s="6">
        <v>0</v>
      </c>
      <c r="L607" s="4">
        <v>0</v>
      </c>
      <c r="M607" s="14" t="s">
        <v>19</v>
      </c>
      <c r="N607" s="15">
        <f t="shared" si="20"/>
        <v>3895.48</v>
      </c>
    </row>
    <row r="608" spans="1:14">
      <c r="A608" s="12">
        <v>607</v>
      </c>
      <c r="B608" s="3" t="s">
        <v>528</v>
      </c>
      <c r="C608" s="43" t="s">
        <v>529</v>
      </c>
      <c r="D608" s="43" t="s">
        <v>1190</v>
      </c>
      <c r="E608" s="43" t="s">
        <v>42</v>
      </c>
      <c r="F608" s="6">
        <v>354</v>
      </c>
      <c r="G608" s="45" t="s">
        <v>18</v>
      </c>
      <c r="H608" s="3">
        <v>9971</v>
      </c>
      <c r="I608" s="6">
        <v>27</v>
      </c>
      <c r="J608" s="6">
        <v>27</v>
      </c>
      <c r="K608" s="6">
        <v>0</v>
      </c>
      <c r="L608" s="4">
        <v>0</v>
      </c>
      <c r="M608" s="14" t="s">
        <v>19</v>
      </c>
      <c r="N608" s="15">
        <f t="shared" si="20"/>
        <v>54</v>
      </c>
    </row>
    <row r="609" spans="1:14">
      <c r="A609" s="12">
        <v>608</v>
      </c>
      <c r="B609" s="3" t="s">
        <v>528</v>
      </c>
      <c r="C609" s="43" t="s">
        <v>529</v>
      </c>
      <c r="D609" s="43" t="s">
        <v>1191</v>
      </c>
      <c r="E609" s="43" t="s">
        <v>42</v>
      </c>
      <c r="F609" s="6">
        <v>354</v>
      </c>
      <c r="G609" s="45" t="s">
        <v>18</v>
      </c>
      <c r="H609" s="3">
        <v>9971</v>
      </c>
      <c r="I609" s="6">
        <v>27</v>
      </c>
      <c r="J609" s="6">
        <v>27</v>
      </c>
      <c r="K609" s="6">
        <v>0</v>
      </c>
      <c r="L609" s="4">
        <v>0</v>
      </c>
      <c r="M609" s="14" t="s">
        <v>19</v>
      </c>
      <c r="N609" s="15">
        <f t="shared" si="20"/>
        <v>54</v>
      </c>
    </row>
    <row r="610" spans="1:14">
      <c r="A610" s="12">
        <v>609</v>
      </c>
      <c r="B610" s="3" t="s">
        <v>528</v>
      </c>
      <c r="C610" s="43" t="s">
        <v>529</v>
      </c>
      <c r="D610" s="43" t="s">
        <v>1192</v>
      </c>
      <c r="E610" s="43" t="s">
        <v>34</v>
      </c>
      <c r="F610" s="6">
        <v>30788.42</v>
      </c>
      <c r="G610" s="45" t="s">
        <v>18</v>
      </c>
      <c r="H610" s="3">
        <v>9971</v>
      </c>
      <c r="I610" s="6">
        <v>2348.27</v>
      </c>
      <c r="J610" s="6">
        <v>2348.27</v>
      </c>
      <c r="K610" s="6">
        <v>0</v>
      </c>
      <c r="L610" s="4">
        <v>0</v>
      </c>
      <c r="M610" s="14" t="s">
        <v>19</v>
      </c>
      <c r="N610" s="15">
        <f t="shared" si="20"/>
        <v>4696.54</v>
      </c>
    </row>
    <row r="611" spans="1:14">
      <c r="A611" s="12">
        <v>610</v>
      </c>
      <c r="B611" s="3" t="s">
        <v>528</v>
      </c>
      <c r="C611" s="43" t="s">
        <v>529</v>
      </c>
      <c r="D611" s="43" t="s">
        <v>1193</v>
      </c>
      <c r="E611" s="43" t="s">
        <v>444</v>
      </c>
      <c r="F611" s="6">
        <v>7091.05</v>
      </c>
      <c r="G611" s="45" t="s">
        <v>18</v>
      </c>
      <c r="H611" s="3">
        <v>9971</v>
      </c>
      <c r="I611" s="6">
        <v>540.84</v>
      </c>
      <c r="J611" s="6">
        <v>540.84</v>
      </c>
      <c r="K611" s="6">
        <v>0</v>
      </c>
      <c r="L611" s="4">
        <v>0</v>
      </c>
      <c r="M611" s="14" t="s">
        <v>19</v>
      </c>
      <c r="N611" s="15">
        <f t="shared" si="20"/>
        <v>1081.68</v>
      </c>
    </row>
    <row r="612" spans="1:14">
      <c r="A612" s="12">
        <v>611</v>
      </c>
      <c r="B612" s="3" t="s">
        <v>528</v>
      </c>
      <c r="C612" s="43" t="s">
        <v>529</v>
      </c>
      <c r="D612" s="43" t="s">
        <v>1194</v>
      </c>
      <c r="E612" s="43" t="s">
        <v>766</v>
      </c>
      <c r="F612" s="6">
        <v>17865.740000000002</v>
      </c>
      <c r="G612" s="45" t="s">
        <v>18</v>
      </c>
      <c r="H612" s="3">
        <v>9971</v>
      </c>
      <c r="I612" s="6">
        <v>1362.64</v>
      </c>
      <c r="J612" s="6">
        <v>1362.64</v>
      </c>
      <c r="K612" s="6">
        <v>0</v>
      </c>
      <c r="L612" s="4">
        <v>0</v>
      </c>
      <c r="M612" s="14" t="s">
        <v>19</v>
      </c>
      <c r="N612" s="15">
        <f t="shared" si="20"/>
        <v>2725.28</v>
      </c>
    </row>
    <row r="613" spans="1:14">
      <c r="A613" s="12">
        <v>612</v>
      </c>
      <c r="B613" s="3" t="s">
        <v>528</v>
      </c>
      <c r="C613" s="43" t="s">
        <v>529</v>
      </c>
      <c r="D613" s="43" t="s">
        <v>1195</v>
      </c>
      <c r="E613" s="43" t="s">
        <v>1196</v>
      </c>
      <c r="F613" s="6">
        <v>15835.69</v>
      </c>
      <c r="G613" s="45" t="s">
        <v>18</v>
      </c>
      <c r="H613" s="3">
        <v>9971</v>
      </c>
      <c r="I613" s="6">
        <v>1207.81</v>
      </c>
      <c r="J613" s="6">
        <v>1207.81</v>
      </c>
      <c r="K613" s="6">
        <v>0</v>
      </c>
      <c r="L613" s="4">
        <v>0</v>
      </c>
      <c r="M613" s="14" t="s">
        <v>19</v>
      </c>
      <c r="N613" s="15">
        <f t="shared" si="20"/>
        <v>2415.62</v>
      </c>
    </row>
    <row r="614" spans="1:14">
      <c r="A614" s="12">
        <v>613</v>
      </c>
      <c r="B614" s="3" t="s">
        <v>528</v>
      </c>
      <c r="C614" s="43" t="s">
        <v>529</v>
      </c>
      <c r="D614" s="43" t="s">
        <v>1197</v>
      </c>
      <c r="E614" s="43" t="s">
        <v>1196</v>
      </c>
      <c r="F614" s="6">
        <v>22147.82</v>
      </c>
      <c r="G614" s="45" t="s">
        <v>18</v>
      </c>
      <c r="H614" s="3">
        <v>9971</v>
      </c>
      <c r="I614" s="6">
        <v>1689.24</v>
      </c>
      <c r="J614" s="6">
        <v>1689.24</v>
      </c>
      <c r="K614" s="6">
        <v>0</v>
      </c>
      <c r="L614" s="4">
        <v>0</v>
      </c>
      <c r="M614" s="14" t="s">
        <v>19</v>
      </c>
      <c r="N614" s="15">
        <f t="shared" si="20"/>
        <v>3378.48</v>
      </c>
    </row>
    <row r="615" spans="1:14">
      <c r="A615" s="12">
        <v>614</v>
      </c>
      <c r="B615" s="3" t="s">
        <v>528</v>
      </c>
      <c r="C615" s="43" t="s">
        <v>529</v>
      </c>
      <c r="D615" s="43" t="s">
        <v>1198</v>
      </c>
      <c r="E615" s="43" t="s">
        <v>754</v>
      </c>
      <c r="F615" s="6">
        <v>354</v>
      </c>
      <c r="G615" s="45" t="s">
        <v>18</v>
      </c>
      <c r="H615" s="3">
        <v>9971</v>
      </c>
      <c r="I615" s="6">
        <v>27</v>
      </c>
      <c r="J615" s="6">
        <v>27</v>
      </c>
      <c r="K615" s="6">
        <v>0</v>
      </c>
      <c r="L615" s="4">
        <v>0</v>
      </c>
      <c r="M615" s="14" t="s">
        <v>19</v>
      </c>
      <c r="N615" s="15">
        <f t="shared" si="20"/>
        <v>54</v>
      </c>
    </row>
    <row r="616" spans="1:14">
      <c r="A616" s="12">
        <v>615</v>
      </c>
      <c r="B616" s="3" t="s">
        <v>528</v>
      </c>
      <c r="C616" s="43" t="s">
        <v>529</v>
      </c>
      <c r="D616" s="43" t="s">
        <v>1199</v>
      </c>
      <c r="E616" s="43" t="s">
        <v>28</v>
      </c>
      <c r="F616" s="6">
        <v>48827.27</v>
      </c>
      <c r="G616" s="45" t="s">
        <v>18</v>
      </c>
      <c r="H616" s="3">
        <v>9971</v>
      </c>
      <c r="I616" s="6">
        <v>3724.11</v>
      </c>
      <c r="J616" s="6">
        <v>3724.11</v>
      </c>
      <c r="K616" s="6">
        <v>0</v>
      </c>
      <c r="L616" s="4">
        <v>0</v>
      </c>
      <c r="M616" s="14" t="s">
        <v>19</v>
      </c>
      <c r="N616" s="15">
        <f t="shared" si="20"/>
        <v>7448.22</v>
      </c>
    </row>
    <row r="617" spans="1:14">
      <c r="A617" s="12">
        <v>616</v>
      </c>
      <c r="B617" s="3" t="s">
        <v>528</v>
      </c>
      <c r="C617" s="43" t="s">
        <v>529</v>
      </c>
      <c r="D617" s="43" t="s">
        <v>1200</v>
      </c>
      <c r="E617" s="43" t="s">
        <v>44</v>
      </c>
      <c r="F617" s="6">
        <v>2950</v>
      </c>
      <c r="G617" s="45" t="s">
        <v>18</v>
      </c>
      <c r="H617" s="3">
        <v>9971</v>
      </c>
      <c r="I617" s="6">
        <v>225</v>
      </c>
      <c r="J617" s="6">
        <v>225</v>
      </c>
      <c r="K617" s="6">
        <v>0</v>
      </c>
      <c r="L617" s="4">
        <v>0</v>
      </c>
      <c r="M617" s="14" t="s">
        <v>19</v>
      </c>
      <c r="N617" s="15">
        <f t="shared" si="20"/>
        <v>450</v>
      </c>
    </row>
    <row r="618" spans="1:14">
      <c r="A618" s="12">
        <v>617</v>
      </c>
      <c r="B618" s="3" t="s">
        <v>528</v>
      </c>
      <c r="C618" s="43" t="s">
        <v>529</v>
      </c>
      <c r="D618" s="43" t="s">
        <v>1201</v>
      </c>
      <c r="E618" s="43" t="s">
        <v>44</v>
      </c>
      <c r="F618" s="6">
        <v>2950</v>
      </c>
      <c r="G618" s="45" t="s">
        <v>18</v>
      </c>
      <c r="H618" s="3">
        <v>9971</v>
      </c>
      <c r="I618" s="6">
        <v>225</v>
      </c>
      <c r="J618" s="6">
        <v>225</v>
      </c>
      <c r="K618" s="6">
        <v>0</v>
      </c>
      <c r="L618" s="4">
        <v>0</v>
      </c>
      <c r="M618" s="14" t="s">
        <v>19</v>
      </c>
      <c r="N618" s="15">
        <f t="shared" si="20"/>
        <v>450</v>
      </c>
    </row>
    <row r="619" spans="1:14">
      <c r="A619" s="12">
        <v>618</v>
      </c>
      <c r="B619" s="3" t="s">
        <v>528</v>
      </c>
      <c r="C619" s="43" t="s">
        <v>529</v>
      </c>
      <c r="D619" s="43" t="s">
        <v>1202</v>
      </c>
      <c r="E619" s="43" t="s">
        <v>44</v>
      </c>
      <c r="F619" s="6">
        <v>2950</v>
      </c>
      <c r="G619" s="45" t="s">
        <v>18</v>
      </c>
      <c r="H619" s="3">
        <v>9971</v>
      </c>
      <c r="I619" s="6">
        <v>225</v>
      </c>
      <c r="J619" s="6">
        <v>225</v>
      </c>
      <c r="K619" s="6">
        <v>0</v>
      </c>
      <c r="L619" s="4">
        <v>0</v>
      </c>
      <c r="M619" s="14" t="s">
        <v>19</v>
      </c>
      <c r="N619" s="15">
        <f t="shared" si="20"/>
        <v>450</v>
      </c>
    </row>
    <row r="620" spans="1:14">
      <c r="A620" s="12">
        <v>619</v>
      </c>
      <c r="B620" s="3" t="s">
        <v>528</v>
      </c>
      <c r="C620" s="43" t="s">
        <v>529</v>
      </c>
      <c r="D620" s="43" t="s">
        <v>1203</v>
      </c>
      <c r="E620" s="43" t="s">
        <v>23</v>
      </c>
      <c r="F620" s="6">
        <v>16227.24</v>
      </c>
      <c r="G620" s="45" t="s">
        <v>18</v>
      </c>
      <c r="H620" s="3">
        <v>9971</v>
      </c>
      <c r="I620" s="6">
        <v>1237.67</v>
      </c>
      <c r="J620" s="6">
        <v>1237.67</v>
      </c>
      <c r="K620" s="6">
        <v>0</v>
      </c>
      <c r="L620" s="4">
        <v>0</v>
      </c>
      <c r="M620" s="14" t="s">
        <v>19</v>
      </c>
      <c r="N620" s="15">
        <f t="shared" si="20"/>
        <v>2475.34</v>
      </c>
    </row>
    <row r="621" spans="1:14">
      <c r="A621" s="12">
        <v>620</v>
      </c>
      <c r="B621" s="3" t="s">
        <v>528</v>
      </c>
      <c r="C621" s="43" t="s">
        <v>529</v>
      </c>
      <c r="D621" s="43" t="s">
        <v>1204</v>
      </c>
      <c r="E621" s="43" t="s">
        <v>23</v>
      </c>
      <c r="F621" s="6">
        <v>15495.15</v>
      </c>
      <c r="G621" s="45" t="s">
        <v>18</v>
      </c>
      <c r="H621" s="3">
        <v>9971</v>
      </c>
      <c r="I621" s="6">
        <v>1181.83</v>
      </c>
      <c r="J621" s="6">
        <v>1181.83</v>
      </c>
      <c r="K621" s="6">
        <v>0</v>
      </c>
      <c r="L621" s="4">
        <v>0</v>
      </c>
      <c r="M621" s="14" t="s">
        <v>19</v>
      </c>
      <c r="N621" s="15">
        <f t="shared" si="20"/>
        <v>2363.66</v>
      </c>
    </row>
    <row r="622" spans="1:14">
      <c r="A622" s="12">
        <v>621</v>
      </c>
      <c r="B622" s="3" t="s">
        <v>528</v>
      </c>
      <c r="C622" s="43" t="s">
        <v>529</v>
      </c>
      <c r="D622" s="43" t="s">
        <v>1205</v>
      </c>
      <c r="E622" s="43" t="s">
        <v>754</v>
      </c>
      <c r="F622" s="6">
        <v>11781.42</v>
      </c>
      <c r="G622" s="45" t="s">
        <v>18</v>
      </c>
      <c r="H622" s="3">
        <v>9971</v>
      </c>
      <c r="I622" s="6">
        <v>898.59</v>
      </c>
      <c r="J622" s="6">
        <v>898.59</v>
      </c>
      <c r="K622" s="6">
        <v>0</v>
      </c>
      <c r="L622" s="4">
        <v>0</v>
      </c>
      <c r="M622" s="14" t="s">
        <v>19</v>
      </c>
      <c r="N622" s="15">
        <f t="shared" si="20"/>
        <v>1797.18</v>
      </c>
    </row>
    <row r="623" spans="1:14">
      <c r="A623" s="12">
        <v>622</v>
      </c>
      <c r="B623" s="3" t="s">
        <v>528</v>
      </c>
      <c r="C623" s="43" t="s">
        <v>529</v>
      </c>
      <c r="D623" s="43" t="s">
        <v>1206</v>
      </c>
      <c r="E623" s="43" t="s">
        <v>1207</v>
      </c>
      <c r="F623" s="6">
        <v>14622.4</v>
      </c>
      <c r="G623" s="45" t="s">
        <v>18</v>
      </c>
      <c r="H623" s="3">
        <v>9971</v>
      </c>
      <c r="I623" s="6">
        <v>1115.27</v>
      </c>
      <c r="J623" s="6">
        <v>1115.27</v>
      </c>
      <c r="K623" s="6">
        <v>0</v>
      </c>
      <c r="L623" s="4">
        <v>0</v>
      </c>
      <c r="M623" s="14" t="s">
        <v>19</v>
      </c>
      <c r="N623" s="15">
        <f t="shared" si="20"/>
        <v>2230.54</v>
      </c>
    </row>
    <row r="624" spans="1:14">
      <c r="A624" s="12">
        <v>623</v>
      </c>
      <c r="B624" s="3" t="s">
        <v>528</v>
      </c>
      <c r="C624" s="43" t="s">
        <v>529</v>
      </c>
      <c r="D624" s="43" t="s">
        <v>1208</v>
      </c>
      <c r="E624" s="43" t="s">
        <v>779</v>
      </c>
      <c r="F624" s="6">
        <v>354</v>
      </c>
      <c r="G624" s="45" t="s">
        <v>18</v>
      </c>
      <c r="H624" s="3">
        <v>9971</v>
      </c>
      <c r="I624" s="6">
        <v>27</v>
      </c>
      <c r="J624" s="6">
        <v>27</v>
      </c>
      <c r="K624" s="6">
        <v>0</v>
      </c>
      <c r="L624" s="4">
        <v>0</v>
      </c>
      <c r="M624" s="14" t="s">
        <v>19</v>
      </c>
      <c r="N624" s="15">
        <f t="shared" si="20"/>
        <v>54</v>
      </c>
    </row>
    <row r="625" spans="1:14">
      <c r="A625" s="12">
        <v>624</v>
      </c>
      <c r="B625" s="3" t="s">
        <v>528</v>
      </c>
      <c r="C625" s="43" t="s">
        <v>529</v>
      </c>
      <c r="D625" s="43" t="s">
        <v>1209</v>
      </c>
      <c r="E625" s="43" t="s">
        <v>779</v>
      </c>
      <c r="F625" s="6">
        <v>354</v>
      </c>
      <c r="G625" s="45" t="s">
        <v>18</v>
      </c>
      <c r="H625" s="3">
        <v>9971</v>
      </c>
      <c r="I625" s="6">
        <v>27</v>
      </c>
      <c r="J625" s="6">
        <v>27</v>
      </c>
      <c r="K625" s="6">
        <v>0</v>
      </c>
      <c r="L625" s="4">
        <v>0</v>
      </c>
      <c r="M625" s="14" t="s">
        <v>19</v>
      </c>
      <c r="N625" s="15">
        <f t="shared" si="20"/>
        <v>54</v>
      </c>
    </row>
    <row r="626" spans="1:14">
      <c r="A626" s="12">
        <v>625</v>
      </c>
      <c r="B626" s="3" t="s">
        <v>528</v>
      </c>
      <c r="C626" s="43" t="s">
        <v>529</v>
      </c>
      <c r="D626" s="43" t="s">
        <v>1210</v>
      </c>
      <c r="E626" s="43" t="s">
        <v>779</v>
      </c>
      <c r="F626" s="6">
        <v>354</v>
      </c>
      <c r="G626" s="45" t="s">
        <v>18</v>
      </c>
      <c r="H626" s="3">
        <v>9971</v>
      </c>
      <c r="I626" s="6">
        <v>27</v>
      </c>
      <c r="J626" s="6">
        <v>27</v>
      </c>
      <c r="K626" s="6">
        <v>0</v>
      </c>
      <c r="L626" s="4">
        <v>0</v>
      </c>
      <c r="M626" s="14" t="s">
        <v>19</v>
      </c>
      <c r="N626" s="15">
        <f t="shared" si="20"/>
        <v>54</v>
      </c>
    </row>
    <row r="627" spans="1:14">
      <c r="A627" s="12">
        <v>626</v>
      </c>
      <c r="B627" s="3" t="s">
        <v>528</v>
      </c>
      <c r="C627" s="43" t="s">
        <v>529</v>
      </c>
      <c r="D627" s="43" t="s">
        <v>1211</v>
      </c>
      <c r="E627" s="43" t="s">
        <v>1212</v>
      </c>
      <c r="F627" s="6">
        <v>354</v>
      </c>
      <c r="G627" s="45" t="s">
        <v>18</v>
      </c>
      <c r="H627" s="3">
        <v>9971</v>
      </c>
      <c r="I627" s="6">
        <v>27</v>
      </c>
      <c r="J627" s="6">
        <v>27</v>
      </c>
      <c r="K627" s="6">
        <v>0</v>
      </c>
      <c r="L627" s="4">
        <v>0</v>
      </c>
      <c r="M627" s="14" t="s">
        <v>19</v>
      </c>
      <c r="N627" s="15">
        <f t="shared" si="20"/>
        <v>54</v>
      </c>
    </row>
    <row r="628" spans="1:14">
      <c r="A628" s="12">
        <v>627</v>
      </c>
      <c r="B628" s="3" t="s">
        <v>528</v>
      </c>
      <c r="C628" s="43" t="s">
        <v>529</v>
      </c>
      <c r="D628" s="43" t="s">
        <v>1213</v>
      </c>
      <c r="E628" s="43" t="s">
        <v>456</v>
      </c>
      <c r="F628" s="6">
        <v>16934.259999999998</v>
      </c>
      <c r="G628" s="45" t="s">
        <v>18</v>
      </c>
      <c r="H628" s="3">
        <v>9971</v>
      </c>
      <c r="I628" s="6">
        <v>1291.5999999999999</v>
      </c>
      <c r="J628" s="6">
        <v>1291.5999999999999</v>
      </c>
      <c r="K628" s="6">
        <v>0</v>
      </c>
      <c r="L628" s="4">
        <v>0</v>
      </c>
      <c r="M628" s="14" t="s">
        <v>19</v>
      </c>
      <c r="N628" s="15">
        <f t="shared" si="20"/>
        <v>2583.1999999999998</v>
      </c>
    </row>
    <row r="629" spans="1:14">
      <c r="A629" s="12">
        <v>628</v>
      </c>
      <c r="B629" s="3" t="s">
        <v>528</v>
      </c>
      <c r="C629" s="43" t="s">
        <v>529</v>
      </c>
      <c r="D629" s="43" t="s">
        <v>1214</v>
      </c>
      <c r="E629" s="43" t="s">
        <v>781</v>
      </c>
      <c r="F629" s="6">
        <v>14768.6</v>
      </c>
      <c r="G629" s="45" t="s">
        <v>18</v>
      </c>
      <c r="H629" s="3">
        <v>9971</v>
      </c>
      <c r="I629" s="6">
        <v>1126.42</v>
      </c>
      <c r="J629" s="6">
        <v>1126.42</v>
      </c>
      <c r="K629" s="6">
        <v>0</v>
      </c>
      <c r="L629" s="4">
        <v>0</v>
      </c>
      <c r="M629" s="14" t="s">
        <v>19</v>
      </c>
      <c r="N629" s="15">
        <f t="shared" si="20"/>
        <v>2252.84</v>
      </c>
    </row>
    <row r="630" spans="1:14">
      <c r="A630" s="12">
        <v>629</v>
      </c>
      <c r="B630" s="3" t="s">
        <v>528</v>
      </c>
      <c r="C630" s="43" t="s">
        <v>529</v>
      </c>
      <c r="D630" s="43" t="s">
        <v>1215</v>
      </c>
      <c r="E630" s="43" t="s">
        <v>1216</v>
      </c>
      <c r="F630" s="6">
        <v>354</v>
      </c>
      <c r="G630" s="45" t="s">
        <v>18</v>
      </c>
      <c r="H630" s="3">
        <v>9971</v>
      </c>
      <c r="I630" s="6">
        <v>27</v>
      </c>
      <c r="J630" s="6">
        <v>27</v>
      </c>
      <c r="K630" s="6">
        <v>0</v>
      </c>
      <c r="L630" s="4">
        <v>0</v>
      </c>
      <c r="M630" s="14" t="s">
        <v>19</v>
      </c>
      <c r="N630" s="15">
        <f t="shared" si="20"/>
        <v>54</v>
      </c>
    </row>
    <row r="631" spans="1:14">
      <c r="A631" s="12">
        <v>630</v>
      </c>
      <c r="B631" s="3" t="s">
        <v>528</v>
      </c>
      <c r="C631" s="43" t="s">
        <v>529</v>
      </c>
      <c r="D631" s="43" t="s">
        <v>1217</v>
      </c>
      <c r="E631" s="43" t="s">
        <v>1216</v>
      </c>
      <c r="F631" s="6">
        <v>354</v>
      </c>
      <c r="G631" s="45" t="s">
        <v>18</v>
      </c>
      <c r="H631" s="3">
        <v>9971</v>
      </c>
      <c r="I631" s="6">
        <v>27</v>
      </c>
      <c r="J631" s="6">
        <v>27</v>
      </c>
      <c r="K631" s="6">
        <v>0</v>
      </c>
      <c r="L631" s="4">
        <v>0</v>
      </c>
      <c r="M631" s="14" t="s">
        <v>19</v>
      </c>
      <c r="N631" s="15">
        <f t="shared" si="20"/>
        <v>54</v>
      </c>
    </row>
    <row r="632" spans="1:14">
      <c r="A632" s="12">
        <v>631</v>
      </c>
      <c r="B632" s="3" t="s">
        <v>528</v>
      </c>
      <c r="C632" s="43" t="s">
        <v>529</v>
      </c>
      <c r="D632" s="43" t="s">
        <v>1218</v>
      </c>
      <c r="E632" s="43" t="s">
        <v>1216</v>
      </c>
      <c r="F632" s="6">
        <v>354</v>
      </c>
      <c r="G632" s="45" t="s">
        <v>18</v>
      </c>
      <c r="H632" s="3">
        <v>9971</v>
      </c>
      <c r="I632" s="6">
        <v>27</v>
      </c>
      <c r="J632" s="6">
        <v>27</v>
      </c>
      <c r="K632" s="6">
        <v>0</v>
      </c>
      <c r="L632" s="4">
        <v>0</v>
      </c>
      <c r="M632" s="14" t="s">
        <v>19</v>
      </c>
      <c r="N632" s="15">
        <f t="shared" si="20"/>
        <v>54</v>
      </c>
    </row>
    <row r="633" spans="1:14">
      <c r="A633" s="12">
        <v>632</v>
      </c>
      <c r="B633" s="3" t="s">
        <v>528</v>
      </c>
      <c r="C633" s="43" t="s">
        <v>529</v>
      </c>
      <c r="D633" s="43" t="s">
        <v>1219</v>
      </c>
      <c r="E633" s="43" t="s">
        <v>783</v>
      </c>
      <c r="F633" s="6">
        <v>354</v>
      </c>
      <c r="G633" s="45" t="s">
        <v>18</v>
      </c>
      <c r="H633" s="3">
        <v>9971</v>
      </c>
      <c r="I633" s="6">
        <v>27</v>
      </c>
      <c r="J633" s="6">
        <v>27</v>
      </c>
      <c r="K633" s="6">
        <v>0</v>
      </c>
      <c r="L633" s="4">
        <v>0</v>
      </c>
      <c r="M633" s="14" t="s">
        <v>19</v>
      </c>
      <c r="N633" s="15">
        <f t="shared" si="20"/>
        <v>54</v>
      </c>
    </row>
    <row r="634" spans="1:14">
      <c r="A634" s="12">
        <v>633</v>
      </c>
      <c r="B634" s="3" t="s">
        <v>528</v>
      </c>
      <c r="C634" s="43" t="s">
        <v>529</v>
      </c>
      <c r="D634" s="43" t="s">
        <v>1220</v>
      </c>
      <c r="E634" s="43" t="s">
        <v>788</v>
      </c>
      <c r="F634" s="6">
        <v>354</v>
      </c>
      <c r="G634" s="45" t="s">
        <v>18</v>
      </c>
      <c r="H634" s="3">
        <v>9971</v>
      </c>
      <c r="I634" s="6">
        <v>27</v>
      </c>
      <c r="J634" s="6">
        <v>27</v>
      </c>
      <c r="K634" s="6">
        <v>0</v>
      </c>
      <c r="L634" s="4">
        <v>0</v>
      </c>
      <c r="M634" s="14" t="s">
        <v>19</v>
      </c>
      <c r="N634" s="15">
        <f t="shared" si="20"/>
        <v>54</v>
      </c>
    </row>
    <row r="635" spans="1:14">
      <c r="A635" s="12">
        <v>634</v>
      </c>
      <c r="B635" s="3" t="s">
        <v>528</v>
      </c>
      <c r="C635" s="43" t="s">
        <v>529</v>
      </c>
      <c r="D635" s="43" t="s">
        <v>1221</v>
      </c>
      <c r="E635" s="43" t="s">
        <v>781</v>
      </c>
      <c r="F635" s="6">
        <v>18731.36</v>
      </c>
      <c r="G635" s="45" t="s">
        <v>18</v>
      </c>
      <c r="H635" s="3">
        <v>9971</v>
      </c>
      <c r="I635" s="6">
        <v>1428.66</v>
      </c>
      <c r="J635" s="6">
        <v>1428.66</v>
      </c>
      <c r="K635" s="6">
        <v>0</v>
      </c>
      <c r="L635" s="4">
        <v>0</v>
      </c>
      <c r="M635" s="14" t="s">
        <v>19</v>
      </c>
      <c r="N635" s="15">
        <f t="shared" si="20"/>
        <v>2857.32</v>
      </c>
    </row>
    <row r="636" spans="1:14">
      <c r="A636" s="12">
        <v>635</v>
      </c>
      <c r="B636" s="3" t="s">
        <v>528</v>
      </c>
      <c r="C636" s="43" t="s">
        <v>529</v>
      </c>
      <c r="D636" s="43" t="s">
        <v>1222</v>
      </c>
      <c r="E636" s="43" t="s">
        <v>781</v>
      </c>
      <c r="F636" s="6">
        <v>3739.72</v>
      </c>
      <c r="G636" s="45" t="s">
        <v>18</v>
      </c>
      <c r="H636" s="3">
        <v>9971</v>
      </c>
      <c r="I636" s="6">
        <v>285.23</v>
      </c>
      <c r="J636" s="6">
        <v>285.23</v>
      </c>
      <c r="K636" s="6">
        <v>0</v>
      </c>
      <c r="L636" s="4">
        <v>0</v>
      </c>
      <c r="M636" s="14" t="s">
        <v>19</v>
      </c>
      <c r="N636" s="15">
        <f t="shared" si="20"/>
        <v>570.46</v>
      </c>
    </row>
    <row r="637" spans="1:14">
      <c r="A637" s="12">
        <v>636</v>
      </c>
      <c r="B637" s="3" t="s">
        <v>528</v>
      </c>
      <c r="C637" s="43" t="s">
        <v>529</v>
      </c>
      <c r="D637" s="43" t="s">
        <v>1223</v>
      </c>
      <c r="E637" s="43" t="s">
        <v>798</v>
      </c>
      <c r="F637" s="6">
        <v>354</v>
      </c>
      <c r="G637" s="45" t="s">
        <v>18</v>
      </c>
      <c r="H637" s="3">
        <v>9971</v>
      </c>
      <c r="I637" s="6">
        <v>27</v>
      </c>
      <c r="J637" s="6">
        <v>27</v>
      </c>
      <c r="K637" s="6">
        <v>0</v>
      </c>
      <c r="L637" s="4">
        <v>0</v>
      </c>
      <c r="M637" s="14" t="s">
        <v>19</v>
      </c>
      <c r="N637" s="15">
        <f t="shared" si="20"/>
        <v>54</v>
      </c>
    </row>
    <row r="638" spans="1:14">
      <c r="A638" s="12">
        <v>637</v>
      </c>
      <c r="B638" s="3" t="s">
        <v>528</v>
      </c>
      <c r="C638" s="43" t="s">
        <v>529</v>
      </c>
      <c r="D638" s="43" t="s">
        <v>1224</v>
      </c>
      <c r="E638" s="43" t="s">
        <v>798</v>
      </c>
      <c r="F638" s="6">
        <v>354</v>
      </c>
      <c r="G638" s="45" t="s">
        <v>18</v>
      </c>
      <c r="H638" s="3">
        <v>9971</v>
      </c>
      <c r="I638" s="6">
        <v>27</v>
      </c>
      <c r="J638" s="6">
        <v>27</v>
      </c>
      <c r="K638" s="6">
        <v>0</v>
      </c>
      <c r="L638" s="4">
        <v>0</v>
      </c>
      <c r="M638" s="14" t="s">
        <v>19</v>
      </c>
      <c r="N638" s="15">
        <f t="shared" si="20"/>
        <v>54</v>
      </c>
    </row>
    <row r="639" spans="1:14">
      <c r="A639" s="12">
        <v>638</v>
      </c>
      <c r="B639" s="3" t="s">
        <v>528</v>
      </c>
      <c r="C639" s="43" t="s">
        <v>529</v>
      </c>
      <c r="D639" s="43" t="s">
        <v>1225</v>
      </c>
      <c r="E639" s="43" t="s">
        <v>798</v>
      </c>
      <c r="F639" s="6">
        <v>354</v>
      </c>
      <c r="G639" s="45" t="s">
        <v>18</v>
      </c>
      <c r="H639" s="3">
        <v>9971</v>
      </c>
      <c r="I639" s="6">
        <v>27</v>
      </c>
      <c r="J639" s="6">
        <v>27</v>
      </c>
      <c r="K639" s="6">
        <v>0</v>
      </c>
      <c r="L639" s="4">
        <v>0</v>
      </c>
      <c r="M639" s="14" t="s">
        <v>19</v>
      </c>
      <c r="N639" s="15">
        <f t="shared" si="20"/>
        <v>54</v>
      </c>
    </row>
    <row r="640" spans="1:14">
      <c r="A640" s="12">
        <v>639</v>
      </c>
      <c r="B640" s="3" t="s">
        <v>528</v>
      </c>
      <c r="C640" s="43" t="s">
        <v>529</v>
      </c>
      <c r="D640" s="43" t="s">
        <v>1226</v>
      </c>
      <c r="E640" s="43" t="s">
        <v>798</v>
      </c>
      <c r="F640" s="6">
        <v>354</v>
      </c>
      <c r="G640" s="45" t="s">
        <v>18</v>
      </c>
      <c r="H640" s="3">
        <v>9971</v>
      </c>
      <c r="I640" s="6">
        <v>27</v>
      </c>
      <c r="J640" s="6">
        <v>27</v>
      </c>
      <c r="K640" s="6">
        <v>0</v>
      </c>
      <c r="L640" s="4">
        <v>0</v>
      </c>
      <c r="M640" s="14" t="s">
        <v>19</v>
      </c>
      <c r="N640" s="15">
        <f t="shared" si="20"/>
        <v>54</v>
      </c>
    </row>
    <row r="641" spans="1:14">
      <c r="A641" s="12">
        <v>640</v>
      </c>
      <c r="B641" s="3" t="s">
        <v>528</v>
      </c>
      <c r="C641" s="43" t="s">
        <v>529</v>
      </c>
      <c r="D641" s="43" t="s">
        <v>1227</v>
      </c>
      <c r="E641" s="43" t="s">
        <v>798</v>
      </c>
      <c r="F641" s="6">
        <v>354</v>
      </c>
      <c r="G641" s="45" t="s">
        <v>18</v>
      </c>
      <c r="H641" s="3">
        <v>9971</v>
      </c>
      <c r="I641" s="6">
        <v>27</v>
      </c>
      <c r="J641" s="6">
        <v>27</v>
      </c>
      <c r="K641" s="6">
        <v>0</v>
      </c>
      <c r="L641" s="4">
        <v>0</v>
      </c>
      <c r="M641" s="14" t="s">
        <v>19</v>
      </c>
      <c r="N641" s="15">
        <f t="shared" si="20"/>
        <v>54</v>
      </c>
    </row>
    <row r="642" spans="1:14">
      <c r="A642" s="12">
        <v>641</v>
      </c>
      <c r="B642" s="3" t="s">
        <v>528</v>
      </c>
      <c r="C642" s="43" t="s">
        <v>529</v>
      </c>
      <c r="D642" s="43" t="s">
        <v>1228</v>
      </c>
      <c r="E642" s="43" t="s">
        <v>798</v>
      </c>
      <c r="F642" s="6">
        <v>354</v>
      </c>
      <c r="G642" s="45" t="s">
        <v>18</v>
      </c>
      <c r="H642" s="3">
        <v>9971</v>
      </c>
      <c r="I642" s="6">
        <v>27</v>
      </c>
      <c r="J642" s="6">
        <v>27</v>
      </c>
      <c r="K642" s="6">
        <v>0</v>
      </c>
      <c r="L642" s="4">
        <v>0</v>
      </c>
      <c r="M642" s="14" t="s">
        <v>19</v>
      </c>
      <c r="N642" s="15">
        <f t="shared" si="20"/>
        <v>54</v>
      </c>
    </row>
    <row r="643" spans="1:14">
      <c r="A643" s="12">
        <v>642</v>
      </c>
      <c r="B643" s="3" t="s">
        <v>528</v>
      </c>
      <c r="C643" s="43" t="s">
        <v>529</v>
      </c>
      <c r="D643" s="43" t="s">
        <v>1229</v>
      </c>
      <c r="E643" s="43" t="s">
        <v>800</v>
      </c>
      <c r="F643" s="6">
        <v>354</v>
      </c>
      <c r="G643" s="45" t="s">
        <v>18</v>
      </c>
      <c r="H643" s="3">
        <v>9971</v>
      </c>
      <c r="I643" s="6">
        <v>27</v>
      </c>
      <c r="J643" s="6">
        <v>27</v>
      </c>
      <c r="K643" s="6">
        <v>0</v>
      </c>
      <c r="L643" s="4">
        <v>0</v>
      </c>
      <c r="M643" s="14" t="s">
        <v>19</v>
      </c>
      <c r="N643" s="15">
        <f t="shared" si="20"/>
        <v>54</v>
      </c>
    </row>
    <row r="644" spans="1:14">
      <c r="A644" s="12">
        <v>643</v>
      </c>
      <c r="B644" s="3" t="s">
        <v>528</v>
      </c>
      <c r="C644" s="43" t="s">
        <v>529</v>
      </c>
      <c r="D644" s="43" t="s">
        <v>1230</v>
      </c>
      <c r="E644" s="43" t="s">
        <v>475</v>
      </c>
      <c r="F644" s="6">
        <v>25270.51</v>
      </c>
      <c r="G644" s="45" t="s">
        <v>18</v>
      </c>
      <c r="H644" s="3">
        <v>9971</v>
      </c>
      <c r="I644" s="6">
        <v>1927.41</v>
      </c>
      <c r="J644" s="6">
        <v>1927.41</v>
      </c>
      <c r="K644" s="6">
        <v>0</v>
      </c>
      <c r="L644" s="4">
        <v>0</v>
      </c>
      <c r="M644" s="14" t="s">
        <v>19</v>
      </c>
      <c r="N644" s="15">
        <f t="shared" si="20"/>
        <v>3854.82</v>
      </c>
    </row>
    <row r="645" spans="1:14">
      <c r="A645" s="12">
        <v>644</v>
      </c>
      <c r="B645" s="3" t="s">
        <v>528</v>
      </c>
      <c r="C645" s="43" t="s">
        <v>529</v>
      </c>
      <c r="D645" s="43" t="s">
        <v>1231</v>
      </c>
      <c r="E645" s="43" t="s">
        <v>785</v>
      </c>
      <c r="F645" s="6">
        <v>354</v>
      </c>
      <c r="G645" s="45" t="s">
        <v>18</v>
      </c>
      <c r="H645" s="3">
        <v>9971</v>
      </c>
      <c r="I645" s="6">
        <v>27</v>
      </c>
      <c r="J645" s="6">
        <v>27</v>
      </c>
      <c r="K645" s="6">
        <v>0</v>
      </c>
      <c r="L645" s="4">
        <v>0</v>
      </c>
      <c r="M645" s="14" t="s">
        <v>19</v>
      </c>
      <c r="N645" s="15">
        <f t="shared" si="20"/>
        <v>54</v>
      </c>
    </row>
    <row r="646" spans="1:14">
      <c r="A646" s="12">
        <v>645</v>
      </c>
      <c r="B646" s="3" t="s">
        <v>528</v>
      </c>
      <c r="C646" s="43" t="s">
        <v>529</v>
      </c>
      <c r="D646" s="43" t="s">
        <v>1232</v>
      </c>
      <c r="E646" s="43" t="s">
        <v>964</v>
      </c>
      <c r="F646" s="6">
        <v>22911.59</v>
      </c>
      <c r="G646" s="45" t="s">
        <v>18</v>
      </c>
      <c r="H646" s="3">
        <v>9971</v>
      </c>
      <c r="I646" s="6">
        <v>1747.49</v>
      </c>
      <c r="J646" s="6">
        <v>1747.49</v>
      </c>
      <c r="K646" s="6">
        <v>0</v>
      </c>
      <c r="L646" s="4">
        <v>0</v>
      </c>
      <c r="M646" s="14" t="s">
        <v>19</v>
      </c>
      <c r="N646" s="15">
        <f t="shared" si="20"/>
        <v>3494.98</v>
      </c>
    </row>
    <row r="647" spans="1:14">
      <c r="A647" s="12">
        <v>646</v>
      </c>
      <c r="B647" s="3" t="s">
        <v>528</v>
      </c>
      <c r="C647" s="43" t="s">
        <v>529</v>
      </c>
      <c r="D647" s="43" t="s">
        <v>1233</v>
      </c>
      <c r="E647" s="43" t="s">
        <v>463</v>
      </c>
      <c r="F647" s="6">
        <v>24186.62</v>
      </c>
      <c r="G647" s="45" t="s">
        <v>18</v>
      </c>
      <c r="H647" s="3">
        <v>9971</v>
      </c>
      <c r="I647" s="6">
        <v>1844.74</v>
      </c>
      <c r="J647" s="6">
        <v>1844.74</v>
      </c>
      <c r="K647" s="6">
        <v>0</v>
      </c>
      <c r="L647" s="4">
        <v>0</v>
      </c>
      <c r="M647" s="14" t="s">
        <v>19</v>
      </c>
      <c r="N647" s="15">
        <f t="shared" si="20"/>
        <v>3689.48</v>
      </c>
    </row>
    <row r="648" spans="1:14">
      <c r="A648" s="12">
        <v>647</v>
      </c>
      <c r="B648" s="3" t="s">
        <v>528</v>
      </c>
      <c r="C648" s="43" t="s">
        <v>529</v>
      </c>
      <c r="D648" s="43" t="s">
        <v>1234</v>
      </c>
      <c r="E648" s="43" t="s">
        <v>463</v>
      </c>
      <c r="F648" s="6">
        <v>25651.49</v>
      </c>
      <c r="G648" s="45" t="s">
        <v>18</v>
      </c>
      <c r="H648" s="3">
        <v>9971</v>
      </c>
      <c r="I648" s="6">
        <v>1956.47</v>
      </c>
      <c r="J648" s="6">
        <v>1956.47</v>
      </c>
      <c r="K648" s="6">
        <v>0</v>
      </c>
      <c r="L648" s="4">
        <v>0</v>
      </c>
      <c r="M648" s="14" t="s">
        <v>19</v>
      </c>
      <c r="N648" s="15">
        <f t="shared" si="20"/>
        <v>3912.94</v>
      </c>
    </row>
    <row r="649" spans="1:14">
      <c r="A649" s="12">
        <v>648</v>
      </c>
      <c r="B649" s="3" t="s">
        <v>528</v>
      </c>
      <c r="C649" s="43" t="s">
        <v>529</v>
      </c>
      <c r="D649" s="43" t="s">
        <v>1235</v>
      </c>
      <c r="E649" s="43" t="s">
        <v>488</v>
      </c>
      <c r="F649" s="6">
        <v>27548.17</v>
      </c>
      <c r="G649" s="45" t="s">
        <v>18</v>
      </c>
      <c r="H649" s="3">
        <v>9971</v>
      </c>
      <c r="I649" s="6">
        <v>2101.13</v>
      </c>
      <c r="J649" s="6">
        <v>2101.13</v>
      </c>
      <c r="K649" s="6">
        <v>0</v>
      </c>
      <c r="L649" s="4">
        <v>0</v>
      </c>
      <c r="M649" s="14" t="s">
        <v>19</v>
      </c>
      <c r="N649" s="15">
        <f t="shared" si="20"/>
        <v>4202.26</v>
      </c>
    </row>
    <row r="650" spans="1:14">
      <c r="A650" s="12">
        <v>649</v>
      </c>
      <c r="B650" s="3" t="s">
        <v>528</v>
      </c>
      <c r="C650" s="43" t="s">
        <v>529</v>
      </c>
      <c r="D650" s="43" t="s">
        <v>1236</v>
      </c>
      <c r="E650" s="43" t="s">
        <v>964</v>
      </c>
      <c r="F650" s="6">
        <v>236</v>
      </c>
      <c r="G650" s="45" t="s">
        <v>18</v>
      </c>
      <c r="H650" s="3">
        <v>9971</v>
      </c>
      <c r="I650" s="6">
        <v>18</v>
      </c>
      <c r="J650" s="6">
        <v>18</v>
      </c>
      <c r="K650" s="6">
        <v>0</v>
      </c>
      <c r="L650" s="4">
        <v>0</v>
      </c>
      <c r="M650" s="14" t="s">
        <v>19</v>
      </c>
      <c r="N650" s="15">
        <f t="shared" si="20"/>
        <v>36</v>
      </c>
    </row>
    <row r="651" spans="1:14">
      <c r="A651" s="12">
        <v>650</v>
      </c>
      <c r="B651" s="3" t="s">
        <v>528</v>
      </c>
      <c r="C651" s="43" t="s">
        <v>529</v>
      </c>
      <c r="D651" s="43" t="s">
        <v>1237</v>
      </c>
      <c r="E651" s="43" t="s">
        <v>488</v>
      </c>
      <c r="F651" s="6">
        <v>2950</v>
      </c>
      <c r="G651" s="45" t="s">
        <v>18</v>
      </c>
      <c r="H651" s="3">
        <v>9971</v>
      </c>
      <c r="I651" s="6">
        <v>225</v>
      </c>
      <c r="J651" s="6">
        <v>225</v>
      </c>
      <c r="K651" s="6">
        <v>0</v>
      </c>
      <c r="L651" s="4">
        <v>0</v>
      </c>
      <c r="M651" s="14" t="s">
        <v>19</v>
      </c>
      <c r="N651" s="15">
        <f t="shared" si="20"/>
        <v>450</v>
      </c>
    </row>
    <row r="652" spans="1:14">
      <c r="A652" s="12">
        <v>651</v>
      </c>
      <c r="B652" s="3" t="s">
        <v>528</v>
      </c>
      <c r="C652" s="43" t="s">
        <v>529</v>
      </c>
      <c r="D652" s="43" t="s">
        <v>1238</v>
      </c>
      <c r="E652" s="43" t="s">
        <v>477</v>
      </c>
      <c r="F652" s="6">
        <v>8850</v>
      </c>
      <c r="G652" s="45" t="s">
        <v>18</v>
      </c>
      <c r="H652" s="3">
        <v>9971</v>
      </c>
      <c r="I652" s="6">
        <v>675</v>
      </c>
      <c r="J652" s="6">
        <v>675</v>
      </c>
      <c r="K652" s="6">
        <v>0</v>
      </c>
      <c r="L652" s="4">
        <v>0</v>
      </c>
      <c r="M652" s="14" t="s">
        <v>19</v>
      </c>
      <c r="N652" s="15">
        <f t="shared" si="20"/>
        <v>1350</v>
      </c>
    </row>
    <row r="653" spans="1:14">
      <c r="A653" s="12">
        <v>652</v>
      </c>
      <c r="B653" s="3" t="s">
        <v>528</v>
      </c>
      <c r="C653" s="43" t="s">
        <v>529</v>
      </c>
      <c r="D653" s="43" t="s">
        <v>1239</v>
      </c>
      <c r="E653" s="43" t="s">
        <v>477</v>
      </c>
      <c r="F653" s="6">
        <v>2471.75</v>
      </c>
      <c r="G653" s="45" t="s">
        <v>18</v>
      </c>
      <c r="H653" s="3">
        <v>9971</v>
      </c>
      <c r="I653" s="6">
        <v>188.52</v>
      </c>
      <c r="J653" s="6">
        <v>188.52</v>
      </c>
      <c r="K653" s="6">
        <v>0</v>
      </c>
      <c r="L653" s="4">
        <v>0</v>
      </c>
      <c r="M653" s="14" t="s">
        <v>19</v>
      </c>
      <c r="N653" s="15">
        <f t="shared" si="20"/>
        <v>377.04</v>
      </c>
    </row>
    <row r="654" spans="1:14">
      <c r="A654" s="12">
        <v>653</v>
      </c>
      <c r="B654" s="3" t="s">
        <v>528</v>
      </c>
      <c r="C654" s="43" t="s">
        <v>529</v>
      </c>
      <c r="D654" s="43" t="s">
        <v>1240</v>
      </c>
      <c r="E654" s="43" t="s">
        <v>964</v>
      </c>
      <c r="F654" s="6">
        <v>4048.44</v>
      </c>
      <c r="G654" s="45" t="s">
        <v>18</v>
      </c>
      <c r="H654" s="3">
        <v>9971</v>
      </c>
      <c r="I654" s="6">
        <v>308.77999999999997</v>
      </c>
      <c r="J654" s="6">
        <v>308.77999999999997</v>
      </c>
      <c r="K654" s="6">
        <v>0</v>
      </c>
      <c r="L654" s="4">
        <v>0</v>
      </c>
      <c r="M654" s="14" t="s">
        <v>19</v>
      </c>
      <c r="N654" s="15">
        <f t="shared" si="20"/>
        <v>617.55999999999995</v>
      </c>
    </row>
    <row r="655" spans="1:14">
      <c r="A655" s="12">
        <v>654</v>
      </c>
      <c r="B655" s="3" t="s">
        <v>528</v>
      </c>
      <c r="C655" s="43" t="s">
        <v>529</v>
      </c>
      <c r="D655" s="43" t="s">
        <v>1241</v>
      </c>
      <c r="E655" s="43" t="s">
        <v>1161</v>
      </c>
      <c r="F655" s="6">
        <v>4025.26</v>
      </c>
      <c r="G655" s="45" t="s">
        <v>18</v>
      </c>
      <c r="H655" s="3">
        <v>9971</v>
      </c>
      <c r="I655" s="6">
        <v>307.01</v>
      </c>
      <c r="J655" s="6">
        <v>307.01</v>
      </c>
      <c r="K655" s="6">
        <v>0</v>
      </c>
      <c r="L655" s="4">
        <v>0</v>
      </c>
      <c r="M655" s="14" t="s">
        <v>19</v>
      </c>
      <c r="N655" s="15">
        <f t="shared" si="20"/>
        <v>614.02</v>
      </c>
    </row>
    <row r="656" spans="1:14">
      <c r="A656" s="12">
        <v>655</v>
      </c>
      <c r="B656" s="3" t="s">
        <v>528</v>
      </c>
      <c r="C656" s="43" t="s">
        <v>529</v>
      </c>
      <c r="D656" s="43" t="s">
        <v>1242</v>
      </c>
      <c r="E656" s="43" t="s">
        <v>477</v>
      </c>
      <c r="F656" s="6">
        <v>24646.15</v>
      </c>
      <c r="G656" s="45" t="s">
        <v>18</v>
      </c>
      <c r="H656" s="3">
        <v>9971</v>
      </c>
      <c r="I656" s="6">
        <v>1879.79</v>
      </c>
      <c r="J656" s="6">
        <v>1879.79</v>
      </c>
      <c r="K656" s="6">
        <v>0</v>
      </c>
      <c r="L656" s="4">
        <v>0</v>
      </c>
      <c r="M656" s="14" t="s">
        <v>19</v>
      </c>
      <c r="N656" s="15">
        <f t="shared" si="20"/>
        <v>3759.58</v>
      </c>
    </row>
    <row r="657" spans="1:14">
      <c r="A657" s="12">
        <v>656</v>
      </c>
      <c r="B657" s="3" t="s">
        <v>528</v>
      </c>
      <c r="C657" s="43" t="s">
        <v>529</v>
      </c>
      <c r="D657" s="43" t="s">
        <v>1243</v>
      </c>
      <c r="E657" s="43" t="s">
        <v>66</v>
      </c>
      <c r="F657" s="6">
        <v>37955.31</v>
      </c>
      <c r="G657" s="45" t="s">
        <v>18</v>
      </c>
      <c r="H657" s="3">
        <v>9971</v>
      </c>
      <c r="I657" s="6">
        <v>2894.9</v>
      </c>
      <c r="J657" s="6">
        <v>2894.9</v>
      </c>
      <c r="K657" s="6">
        <v>0</v>
      </c>
      <c r="L657" s="4">
        <v>0</v>
      </c>
      <c r="M657" s="14" t="s">
        <v>19</v>
      </c>
      <c r="N657" s="15">
        <f t="shared" si="20"/>
        <v>5789.8</v>
      </c>
    </row>
    <row r="658" spans="1:14">
      <c r="A658" s="12">
        <v>657</v>
      </c>
      <c r="B658" s="3" t="s">
        <v>528</v>
      </c>
      <c r="C658" s="43" t="s">
        <v>529</v>
      </c>
      <c r="D658" s="43" t="s">
        <v>1244</v>
      </c>
      <c r="E658" s="43" t="s">
        <v>924</v>
      </c>
      <c r="F658" s="6">
        <v>28633.67</v>
      </c>
      <c r="G658" s="45" t="s">
        <v>18</v>
      </c>
      <c r="H658" s="3">
        <v>9971</v>
      </c>
      <c r="I658" s="6">
        <v>2183.92</v>
      </c>
      <c r="J658" s="6">
        <v>2183.92</v>
      </c>
      <c r="K658" s="6">
        <v>0</v>
      </c>
      <c r="L658" s="4">
        <v>0</v>
      </c>
      <c r="M658" s="14" t="s">
        <v>19</v>
      </c>
      <c r="N658" s="15">
        <f t="shared" si="20"/>
        <v>4367.84</v>
      </c>
    </row>
    <row r="659" spans="1:14">
      <c r="A659" s="12">
        <v>658</v>
      </c>
      <c r="B659" s="3" t="s">
        <v>528</v>
      </c>
      <c r="C659" s="43" t="s">
        <v>529</v>
      </c>
      <c r="D659" s="43" t="s">
        <v>1245</v>
      </c>
      <c r="E659" s="43" t="s">
        <v>827</v>
      </c>
      <c r="F659" s="6">
        <v>354</v>
      </c>
      <c r="G659" s="45" t="s">
        <v>18</v>
      </c>
      <c r="H659" s="3">
        <v>9971</v>
      </c>
      <c r="I659" s="6">
        <v>27</v>
      </c>
      <c r="J659" s="6">
        <v>27</v>
      </c>
      <c r="K659" s="6">
        <v>0</v>
      </c>
      <c r="L659" s="4">
        <v>0</v>
      </c>
      <c r="M659" s="14" t="s">
        <v>19</v>
      </c>
      <c r="N659" s="15">
        <f t="shared" si="20"/>
        <v>54</v>
      </c>
    </row>
    <row r="660" spans="1:14">
      <c r="A660" s="12">
        <v>659</v>
      </c>
      <c r="B660" s="3" t="s">
        <v>528</v>
      </c>
      <c r="C660" s="43" t="s">
        <v>529</v>
      </c>
      <c r="D660" s="43" t="s">
        <v>1246</v>
      </c>
      <c r="E660" s="43" t="s">
        <v>829</v>
      </c>
      <c r="F660" s="6">
        <v>36651.620000000003</v>
      </c>
      <c r="G660" s="45" t="s">
        <v>18</v>
      </c>
      <c r="H660" s="3">
        <v>9971</v>
      </c>
      <c r="I660" s="6">
        <v>2795.46</v>
      </c>
      <c r="J660" s="6">
        <v>2795.46</v>
      </c>
      <c r="K660" s="6">
        <v>0</v>
      </c>
      <c r="L660" s="4">
        <v>0</v>
      </c>
      <c r="M660" s="14" t="s">
        <v>19</v>
      </c>
      <c r="N660" s="15">
        <f t="shared" si="20"/>
        <v>5590.92</v>
      </c>
    </row>
    <row r="661" spans="1:14">
      <c r="A661" s="12">
        <v>660</v>
      </c>
      <c r="B661" s="3" t="s">
        <v>528</v>
      </c>
      <c r="C661" s="43" t="s">
        <v>529</v>
      </c>
      <c r="D661" s="43" t="s">
        <v>1247</v>
      </c>
      <c r="E661" s="43" t="s">
        <v>818</v>
      </c>
      <c r="F661" s="6">
        <v>17029.87</v>
      </c>
      <c r="G661" s="45" t="s">
        <v>18</v>
      </c>
      <c r="H661" s="3">
        <v>9971</v>
      </c>
      <c r="I661" s="6">
        <v>1298.8900000000001</v>
      </c>
      <c r="J661" s="6">
        <v>1298.8900000000001</v>
      </c>
      <c r="K661" s="6">
        <v>0</v>
      </c>
      <c r="L661" s="4">
        <v>0</v>
      </c>
      <c r="M661" s="14" t="s">
        <v>19</v>
      </c>
      <c r="N661" s="15">
        <f t="shared" si="20"/>
        <v>2597.7800000000002</v>
      </c>
    </row>
    <row r="662" spans="1:14">
      <c r="A662" s="12">
        <v>661</v>
      </c>
      <c r="B662" s="3" t="s">
        <v>528</v>
      </c>
      <c r="C662" s="43" t="s">
        <v>529</v>
      </c>
      <c r="D662" s="43" t="s">
        <v>1248</v>
      </c>
      <c r="E662" s="43" t="s">
        <v>994</v>
      </c>
      <c r="F662" s="6">
        <v>12675.75</v>
      </c>
      <c r="G662" s="45" t="s">
        <v>18</v>
      </c>
      <c r="H662" s="3">
        <v>9971</v>
      </c>
      <c r="I662" s="6">
        <v>966.79</v>
      </c>
      <c r="J662" s="6">
        <v>966.79</v>
      </c>
      <c r="K662" s="6">
        <v>0</v>
      </c>
      <c r="L662" s="4">
        <v>0</v>
      </c>
      <c r="M662" s="14" t="s">
        <v>19</v>
      </c>
      <c r="N662" s="15">
        <f t="shared" si="20"/>
        <v>1933.58</v>
      </c>
    </row>
    <row r="663" spans="1:14">
      <c r="A663" s="12">
        <v>662</v>
      </c>
      <c r="B663" s="3" t="s">
        <v>528</v>
      </c>
      <c r="C663" s="43" t="s">
        <v>529</v>
      </c>
      <c r="D663" s="43" t="s">
        <v>1249</v>
      </c>
      <c r="E663" s="43" t="s">
        <v>831</v>
      </c>
      <c r="F663" s="6">
        <v>354</v>
      </c>
      <c r="G663" s="45" t="s">
        <v>18</v>
      </c>
      <c r="H663" s="3">
        <v>9971</v>
      </c>
      <c r="I663" s="6">
        <v>27</v>
      </c>
      <c r="J663" s="6">
        <v>27</v>
      </c>
      <c r="K663" s="6">
        <v>0</v>
      </c>
      <c r="L663" s="4">
        <v>0</v>
      </c>
      <c r="M663" s="14" t="s">
        <v>19</v>
      </c>
      <c r="N663" s="15">
        <f t="shared" si="20"/>
        <v>54</v>
      </c>
    </row>
    <row r="664" spans="1:14">
      <c r="A664" s="12">
        <v>663</v>
      </c>
      <c r="B664" s="3" t="s">
        <v>528</v>
      </c>
      <c r="C664" s="43" t="s">
        <v>529</v>
      </c>
      <c r="D664" s="43" t="s">
        <v>1250</v>
      </c>
      <c r="E664" s="43" t="s">
        <v>135</v>
      </c>
      <c r="F664" s="6">
        <v>3056.31</v>
      </c>
      <c r="G664" s="45" t="s">
        <v>18</v>
      </c>
      <c r="H664" s="3">
        <v>9971</v>
      </c>
      <c r="I664" s="6">
        <v>233.11</v>
      </c>
      <c r="J664" s="6">
        <v>233.11</v>
      </c>
      <c r="K664" s="6">
        <v>0</v>
      </c>
      <c r="L664" s="4">
        <v>0</v>
      </c>
      <c r="M664" s="14" t="s">
        <v>19</v>
      </c>
      <c r="N664" s="15">
        <f t="shared" si="20"/>
        <v>466.22</v>
      </c>
    </row>
    <row r="665" spans="1:14">
      <c r="A665" s="12">
        <v>664</v>
      </c>
      <c r="B665" s="3" t="s">
        <v>528</v>
      </c>
      <c r="C665" s="43" t="s">
        <v>529</v>
      </c>
      <c r="D665" s="43" t="s">
        <v>1251</v>
      </c>
      <c r="E665" s="43" t="s">
        <v>135</v>
      </c>
      <c r="F665" s="6">
        <v>10277.51</v>
      </c>
      <c r="G665" s="45" t="s">
        <v>18</v>
      </c>
      <c r="H665" s="3">
        <v>9971</v>
      </c>
      <c r="I665" s="6">
        <v>783.88</v>
      </c>
      <c r="J665" s="6">
        <v>783.88</v>
      </c>
      <c r="K665" s="6">
        <v>0</v>
      </c>
      <c r="L665" s="4">
        <v>0</v>
      </c>
      <c r="M665" s="14" t="s">
        <v>19</v>
      </c>
      <c r="N665" s="15">
        <f t="shared" si="20"/>
        <v>1567.76</v>
      </c>
    </row>
    <row r="666" spans="1:14">
      <c r="A666" s="12">
        <v>665</v>
      </c>
      <c r="B666" s="3" t="s">
        <v>528</v>
      </c>
      <c r="C666" s="43" t="s">
        <v>529</v>
      </c>
      <c r="D666" s="43" t="s">
        <v>1252</v>
      </c>
      <c r="E666" s="43" t="s">
        <v>139</v>
      </c>
      <c r="F666" s="6">
        <v>10992.09</v>
      </c>
      <c r="G666" s="45" t="s">
        <v>18</v>
      </c>
      <c r="H666" s="3">
        <v>9971</v>
      </c>
      <c r="I666" s="6">
        <v>838.38</v>
      </c>
      <c r="J666" s="6">
        <v>838.38</v>
      </c>
      <c r="K666" s="6">
        <v>0</v>
      </c>
      <c r="L666" s="4">
        <v>0</v>
      </c>
      <c r="M666" s="14" t="s">
        <v>19</v>
      </c>
      <c r="N666" s="15">
        <f t="shared" si="20"/>
        <v>1676.76</v>
      </c>
    </row>
    <row r="667" spans="1:14">
      <c r="A667" s="12">
        <v>666</v>
      </c>
      <c r="B667" s="3" t="s">
        <v>528</v>
      </c>
      <c r="C667" s="43" t="s">
        <v>529</v>
      </c>
      <c r="D667" s="43" t="s">
        <v>1253</v>
      </c>
      <c r="E667" s="43" t="s">
        <v>75</v>
      </c>
      <c r="F667" s="6">
        <v>29430.46</v>
      </c>
      <c r="G667" s="45" t="s">
        <v>18</v>
      </c>
      <c r="H667" s="3">
        <v>9971</v>
      </c>
      <c r="I667" s="6">
        <v>2244.6999999999998</v>
      </c>
      <c r="J667" s="6">
        <v>2244.6999999999998</v>
      </c>
      <c r="K667" s="6">
        <v>0</v>
      </c>
      <c r="L667" s="4">
        <v>0</v>
      </c>
      <c r="M667" s="14" t="s">
        <v>19</v>
      </c>
      <c r="N667" s="15">
        <f t="shared" si="20"/>
        <v>4489.3999999999996</v>
      </c>
    </row>
    <row r="668" spans="1:14">
      <c r="A668" s="12">
        <v>667</v>
      </c>
      <c r="B668" s="3" t="s">
        <v>528</v>
      </c>
      <c r="C668" s="43" t="s">
        <v>529</v>
      </c>
      <c r="D668" s="43" t="s">
        <v>1254</v>
      </c>
      <c r="E668" s="43" t="s">
        <v>1255</v>
      </c>
      <c r="F668" s="6">
        <v>354</v>
      </c>
      <c r="G668" s="45" t="s">
        <v>18</v>
      </c>
      <c r="H668" s="3">
        <v>9971</v>
      </c>
      <c r="I668" s="6">
        <v>27</v>
      </c>
      <c r="J668" s="6">
        <v>27</v>
      </c>
      <c r="K668" s="6">
        <v>0</v>
      </c>
      <c r="L668" s="4">
        <v>0</v>
      </c>
      <c r="M668" s="14" t="s">
        <v>19</v>
      </c>
      <c r="N668" s="15">
        <f t="shared" si="20"/>
        <v>54</v>
      </c>
    </row>
    <row r="669" spans="1:14">
      <c r="A669" s="12">
        <v>668</v>
      </c>
      <c r="B669" s="3" t="s">
        <v>528</v>
      </c>
      <c r="C669" s="43" t="s">
        <v>529</v>
      </c>
      <c r="D669" s="43" t="s">
        <v>1256</v>
      </c>
      <c r="E669" s="43" t="s">
        <v>1257</v>
      </c>
      <c r="F669" s="6">
        <v>39448.14</v>
      </c>
      <c r="G669" s="45" t="s">
        <v>18</v>
      </c>
      <c r="H669" s="3">
        <v>9971</v>
      </c>
      <c r="I669" s="6">
        <v>3008.76</v>
      </c>
      <c r="J669" s="6">
        <v>3008.76</v>
      </c>
      <c r="K669" s="6">
        <v>0</v>
      </c>
      <c r="L669" s="4">
        <v>0</v>
      </c>
      <c r="M669" s="14" t="s">
        <v>19</v>
      </c>
      <c r="N669" s="15">
        <f t="shared" ref="N669:N677" si="21">SUM(I669:L669)</f>
        <v>6017.52</v>
      </c>
    </row>
    <row r="670" spans="1:14">
      <c r="A670" s="12">
        <v>669</v>
      </c>
      <c r="B670" s="3" t="s">
        <v>528</v>
      </c>
      <c r="C670" s="43" t="s">
        <v>529</v>
      </c>
      <c r="D670" s="43" t="s">
        <v>1258</v>
      </c>
      <c r="E670" s="43" t="s">
        <v>75</v>
      </c>
      <c r="F670" s="6">
        <v>354</v>
      </c>
      <c r="G670" s="45" t="s">
        <v>18</v>
      </c>
      <c r="H670" s="3">
        <v>9971</v>
      </c>
      <c r="I670" s="6">
        <v>27</v>
      </c>
      <c r="J670" s="6">
        <v>27</v>
      </c>
      <c r="K670" s="6">
        <v>0</v>
      </c>
      <c r="L670" s="4">
        <v>0</v>
      </c>
      <c r="M670" s="14" t="s">
        <v>19</v>
      </c>
      <c r="N670" s="15">
        <f t="shared" si="21"/>
        <v>54</v>
      </c>
    </row>
    <row r="671" spans="1:14">
      <c r="A671" s="12">
        <v>670</v>
      </c>
      <c r="B671" s="3" t="s">
        <v>528</v>
      </c>
      <c r="C671" s="43" t="s">
        <v>529</v>
      </c>
      <c r="D671" s="43" t="s">
        <v>1259</v>
      </c>
      <c r="E671" s="43" t="s">
        <v>831</v>
      </c>
      <c r="F671" s="6">
        <v>3849.01</v>
      </c>
      <c r="G671" s="45" t="s">
        <v>18</v>
      </c>
      <c r="H671" s="3">
        <v>9971</v>
      </c>
      <c r="I671" s="6">
        <v>293.57</v>
      </c>
      <c r="J671" s="6">
        <v>293.57</v>
      </c>
      <c r="K671" s="6">
        <v>0</v>
      </c>
      <c r="L671" s="4">
        <v>0</v>
      </c>
      <c r="M671" s="14" t="s">
        <v>19</v>
      </c>
      <c r="N671" s="15">
        <f t="shared" si="21"/>
        <v>587.14</v>
      </c>
    </row>
    <row r="672" spans="1:14">
      <c r="A672" s="12">
        <v>671</v>
      </c>
      <c r="B672" s="3" t="s">
        <v>528</v>
      </c>
      <c r="C672" s="43" t="s">
        <v>529</v>
      </c>
      <c r="D672" s="43" t="s">
        <v>1260</v>
      </c>
      <c r="E672" s="43" t="s">
        <v>135</v>
      </c>
      <c r="F672" s="6">
        <v>10337.620000000001</v>
      </c>
      <c r="G672" s="45" t="s">
        <v>18</v>
      </c>
      <c r="H672" s="3">
        <v>9971</v>
      </c>
      <c r="I672" s="6">
        <v>788.46</v>
      </c>
      <c r="J672" s="6">
        <v>788.46</v>
      </c>
      <c r="K672" s="6">
        <v>0</v>
      </c>
      <c r="L672" s="4">
        <v>0</v>
      </c>
      <c r="M672" s="14" t="s">
        <v>19</v>
      </c>
      <c r="N672" s="15">
        <f t="shared" si="21"/>
        <v>1576.92</v>
      </c>
    </row>
    <row r="673" spans="1:14">
      <c r="A673" s="12">
        <v>672</v>
      </c>
      <c r="B673" s="3" t="s">
        <v>528</v>
      </c>
      <c r="C673" s="43" t="s">
        <v>529</v>
      </c>
      <c r="D673" s="43" t="s">
        <v>1261</v>
      </c>
      <c r="E673" s="43" t="s">
        <v>1116</v>
      </c>
      <c r="F673" s="6">
        <v>36258.01</v>
      </c>
      <c r="G673" s="45" t="s">
        <v>18</v>
      </c>
      <c r="H673" s="3">
        <v>9971</v>
      </c>
      <c r="I673" s="6">
        <v>2765.44</v>
      </c>
      <c r="J673" s="6">
        <v>2765.44</v>
      </c>
      <c r="K673" s="6">
        <v>0</v>
      </c>
      <c r="L673" s="4">
        <v>0</v>
      </c>
      <c r="M673" s="14" t="s">
        <v>19</v>
      </c>
      <c r="N673" s="15">
        <f t="shared" si="21"/>
        <v>5530.88</v>
      </c>
    </row>
    <row r="674" spans="1:14">
      <c r="A674" s="12">
        <v>673</v>
      </c>
      <c r="B674" s="3" t="s">
        <v>528</v>
      </c>
      <c r="C674" s="43" t="s">
        <v>529</v>
      </c>
      <c r="D674" s="43" t="s">
        <v>1262</v>
      </c>
      <c r="E674" s="43" t="s">
        <v>941</v>
      </c>
      <c r="F674" s="6">
        <v>18507.52</v>
      </c>
      <c r="G674" s="45" t="s">
        <v>18</v>
      </c>
      <c r="H674" s="3">
        <v>9971</v>
      </c>
      <c r="I674" s="6">
        <v>1411.59</v>
      </c>
      <c r="J674" s="6">
        <v>1411.59</v>
      </c>
      <c r="K674" s="6">
        <v>0</v>
      </c>
      <c r="L674" s="4">
        <v>0</v>
      </c>
      <c r="M674" s="14" t="s">
        <v>19</v>
      </c>
      <c r="N674" s="15">
        <f t="shared" si="21"/>
        <v>2823.18</v>
      </c>
    </row>
    <row r="675" spans="1:14">
      <c r="A675" s="12">
        <v>674</v>
      </c>
      <c r="B675" s="3" t="s">
        <v>528</v>
      </c>
      <c r="C675" s="43" t="s">
        <v>529</v>
      </c>
      <c r="D675" s="43" t="s">
        <v>1263</v>
      </c>
      <c r="E675" s="43" t="s">
        <v>1264</v>
      </c>
      <c r="F675" s="6">
        <v>354</v>
      </c>
      <c r="G675" s="45" t="s">
        <v>18</v>
      </c>
      <c r="H675" s="3">
        <v>9971</v>
      </c>
      <c r="I675" s="6">
        <v>27</v>
      </c>
      <c r="J675" s="6">
        <v>27</v>
      </c>
      <c r="K675" s="6">
        <v>0</v>
      </c>
      <c r="L675" s="4">
        <v>0</v>
      </c>
      <c r="M675" s="14" t="s">
        <v>19</v>
      </c>
      <c r="N675" s="15">
        <f t="shared" si="21"/>
        <v>54</v>
      </c>
    </row>
    <row r="676" spans="1:14">
      <c r="A676" s="12">
        <v>675</v>
      </c>
      <c r="B676" s="3" t="s">
        <v>528</v>
      </c>
      <c r="C676" s="43" t="s">
        <v>529</v>
      </c>
      <c r="D676" s="43" t="s">
        <v>1265</v>
      </c>
      <c r="E676" s="43" t="s">
        <v>1264</v>
      </c>
      <c r="F676" s="6">
        <v>7978.91</v>
      </c>
      <c r="G676" s="45" t="s">
        <v>18</v>
      </c>
      <c r="H676" s="3">
        <v>9971</v>
      </c>
      <c r="I676" s="6">
        <v>608.55999999999995</v>
      </c>
      <c r="J676" s="6">
        <v>608.55999999999995</v>
      </c>
      <c r="K676" s="6">
        <v>0</v>
      </c>
      <c r="L676" s="4">
        <v>0</v>
      </c>
      <c r="M676" s="14" t="s">
        <v>19</v>
      </c>
      <c r="N676" s="15">
        <f t="shared" si="21"/>
        <v>1217.1199999999999</v>
      </c>
    </row>
    <row r="677" spans="1:14">
      <c r="A677" s="12">
        <v>676</v>
      </c>
      <c r="B677" s="3" t="s">
        <v>528</v>
      </c>
      <c r="C677" s="43" t="s">
        <v>529</v>
      </c>
      <c r="D677" s="43" t="s">
        <v>1266</v>
      </c>
      <c r="E677" s="43" t="s">
        <v>95</v>
      </c>
      <c r="F677" s="6">
        <v>354</v>
      </c>
      <c r="G677" s="45" t="s">
        <v>18</v>
      </c>
      <c r="H677" s="3">
        <v>9971</v>
      </c>
      <c r="I677" s="6">
        <v>27</v>
      </c>
      <c r="J677" s="6">
        <v>27</v>
      </c>
      <c r="K677" s="6">
        <v>0</v>
      </c>
      <c r="L677" s="4">
        <v>0</v>
      </c>
      <c r="M677" s="14" t="s">
        <v>19</v>
      </c>
      <c r="N677" s="15">
        <f t="shared" si="21"/>
        <v>54</v>
      </c>
    </row>
    <row r="678" spans="1:14">
      <c r="A678" s="12">
        <v>677</v>
      </c>
      <c r="B678" s="3" t="s">
        <v>1267</v>
      </c>
      <c r="C678" s="45" t="s">
        <v>1268</v>
      </c>
      <c r="D678" s="43" t="s">
        <v>1269</v>
      </c>
      <c r="E678" s="43" t="s">
        <v>101</v>
      </c>
      <c r="F678" s="6">
        <v>7080</v>
      </c>
      <c r="G678" s="45" t="s">
        <v>18</v>
      </c>
      <c r="H678" s="3" t="s">
        <v>992</v>
      </c>
      <c r="I678" s="6">
        <v>0</v>
      </c>
      <c r="J678" s="6">
        <v>0</v>
      </c>
      <c r="K678" s="6">
        <v>1080</v>
      </c>
      <c r="L678" s="4">
        <v>0</v>
      </c>
      <c r="M678" s="14" t="s">
        <v>157</v>
      </c>
      <c r="N678" s="15" t="s">
        <v>202</v>
      </c>
    </row>
    <row r="679" spans="1:14">
      <c r="A679" s="12">
        <v>678</v>
      </c>
      <c r="B679" s="14"/>
      <c r="C679" s="44" t="s">
        <v>1270</v>
      </c>
      <c r="D679" s="45" t="s">
        <v>946</v>
      </c>
      <c r="E679" s="55">
        <v>45777</v>
      </c>
      <c r="F679" s="15">
        <v>65209</v>
      </c>
      <c r="G679" s="45" t="s">
        <v>18</v>
      </c>
      <c r="H679" s="14">
        <v>996511</v>
      </c>
      <c r="I679" s="14">
        <v>0</v>
      </c>
      <c r="J679" s="14"/>
      <c r="K679" s="14">
        <v>3260.4500000000003</v>
      </c>
      <c r="L679" s="4">
        <v>0</v>
      </c>
      <c r="M679" s="14" t="s">
        <v>19</v>
      </c>
      <c r="N679" s="14">
        <f>SUM(I679:L679)</f>
        <v>3260.4500000000003</v>
      </c>
    </row>
    <row r="680" spans="1:14">
      <c r="A680" s="12">
        <v>679</v>
      </c>
      <c r="B680" s="14"/>
      <c r="C680" s="44" t="s">
        <v>1271</v>
      </c>
      <c r="D680" s="45" t="s">
        <v>946</v>
      </c>
      <c r="E680" s="55">
        <v>45716</v>
      </c>
      <c r="F680" s="34">
        <v>6512</v>
      </c>
      <c r="G680" s="45" t="s">
        <v>18</v>
      </c>
      <c r="H680" s="14">
        <v>996511</v>
      </c>
      <c r="I680" s="14">
        <v>163</v>
      </c>
      <c r="J680" s="14">
        <v>163</v>
      </c>
      <c r="K680" s="14">
        <v>0</v>
      </c>
      <c r="L680" s="4">
        <v>0</v>
      </c>
      <c r="M680" s="14" t="s">
        <v>19</v>
      </c>
      <c r="N680" s="14">
        <f>SUM(I680:L680)</f>
        <v>326</v>
      </c>
    </row>
    <row r="681" spans="1:14">
      <c r="A681" s="12">
        <v>680</v>
      </c>
      <c r="B681" s="14"/>
      <c r="C681" s="44" t="s">
        <v>1271</v>
      </c>
      <c r="D681" s="45" t="s">
        <v>946</v>
      </c>
      <c r="E681" s="55">
        <v>45808</v>
      </c>
      <c r="F681" s="15">
        <v>1851</v>
      </c>
      <c r="G681" s="45" t="s">
        <v>18</v>
      </c>
      <c r="H681" s="14">
        <v>996511</v>
      </c>
      <c r="I681" s="14">
        <v>46.275000000000006</v>
      </c>
      <c r="J681" s="14">
        <v>46.275000000000006</v>
      </c>
      <c r="K681" s="14">
        <v>0</v>
      </c>
      <c r="L681" s="4">
        <v>0</v>
      </c>
      <c r="M681" s="14" t="s">
        <v>19</v>
      </c>
      <c r="N681" s="14">
        <f>SUM(I681:L681)</f>
        <v>92.550000000000011</v>
      </c>
    </row>
    <row r="682" spans="1:14">
      <c r="A682" s="12">
        <v>681</v>
      </c>
      <c r="B682" s="3" t="s">
        <v>1272</v>
      </c>
      <c r="C682" s="43" t="s">
        <v>1273</v>
      </c>
      <c r="D682" s="43" t="s">
        <v>1274</v>
      </c>
      <c r="E682" s="43" t="s">
        <v>1275</v>
      </c>
      <c r="F682" s="6">
        <v>14278</v>
      </c>
      <c r="G682" s="45" t="s">
        <v>156</v>
      </c>
      <c r="H682" s="3">
        <v>84224000</v>
      </c>
      <c r="I682" s="6">
        <v>1089</v>
      </c>
      <c r="J682" s="6">
        <v>1089</v>
      </c>
      <c r="K682" s="6">
        <v>0</v>
      </c>
      <c r="L682" s="4">
        <v>0</v>
      </c>
      <c r="M682" s="14" t="s">
        <v>157</v>
      </c>
      <c r="N682" s="15" t="s">
        <v>202</v>
      </c>
    </row>
    <row r="683" spans="1:14">
      <c r="A683" s="12">
        <v>682</v>
      </c>
      <c r="B683" s="3" t="s">
        <v>1276</v>
      </c>
      <c r="C683" s="43" t="s">
        <v>1277</v>
      </c>
      <c r="D683" s="43" t="s">
        <v>1278</v>
      </c>
      <c r="E683" s="43" t="s">
        <v>1279</v>
      </c>
      <c r="F683" s="6">
        <v>1546</v>
      </c>
      <c r="G683" s="45" t="s">
        <v>18</v>
      </c>
      <c r="H683" s="3">
        <v>998719</v>
      </c>
      <c r="I683" s="6">
        <v>117.9</v>
      </c>
      <c r="J683" s="6">
        <v>117.9</v>
      </c>
      <c r="K683" s="6">
        <v>0</v>
      </c>
      <c r="L683" s="4">
        <v>0</v>
      </c>
      <c r="M683" s="14" t="s">
        <v>19</v>
      </c>
      <c r="N683" s="15">
        <f t="shared" ref="N683:N702" si="22">SUM(I683:L683)</f>
        <v>235.8</v>
      </c>
    </row>
    <row r="684" spans="1:14">
      <c r="A684" s="12">
        <v>683</v>
      </c>
      <c r="B684" s="3" t="s">
        <v>1276</v>
      </c>
      <c r="C684" s="43" t="s">
        <v>1277</v>
      </c>
      <c r="D684" s="43" t="s">
        <v>1280</v>
      </c>
      <c r="E684" s="43" t="s">
        <v>1281</v>
      </c>
      <c r="F684" s="6">
        <v>2702</v>
      </c>
      <c r="G684" s="45" t="s">
        <v>18</v>
      </c>
      <c r="H684" s="3">
        <v>998719</v>
      </c>
      <c r="I684" s="6">
        <v>206.1</v>
      </c>
      <c r="J684" s="6">
        <v>206.1</v>
      </c>
      <c r="K684" s="6">
        <v>0</v>
      </c>
      <c r="L684" s="4">
        <v>0</v>
      </c>
      <c r="M684" s="14" t="s">
        <v>19</v>
      </c>
      <c r="N684" s="15">
        <f t="shared" si="22"/>
        <v>412.2</v>
      </c>
    </row>
    <row r="685" spans="1:14">
      <c r="A685" s="12">
        <v>684</v>
      </c>
      <c r="B685" s="3" t="s">
        <v>1276</v>
      </c>
      <c r="C685" s="43" t="s">
        <v>1277</v>
      </c>
      <c r="D685" s="43" t="s">
        <v>1282</v>
      </c>
      <c r="E685" s="43" t="s">
        <v>101</v>
      </c>
      <c r="F685" s="6">
        <v>9883</v>
      </c>
      <c r="G685" s="45" t="s">
        <v>18</v>
      </c>
      <c r="H685" s="3">
        <v>998719</v>
      </c>
      <c r="I685" s="6">
        <v>753.75</v>
      </c>
      <c r="J685" s="6">
        <v>753.75</v>
      </c>
      <c r="K685" s="6">
        <v>0</v>
      </c>
      <c r="L685" s="4">
        <v>0</v>
      </c>
      <c r="M685" s="14" t="s">
        <v>19</v>
      </c>
      <c r="N685" s="15">
        <f t="shared" si="22"/>
        <v>1507.5</v>
      </c>
    </row>
    <row r="686" spans="1:14">
      <c r="A686" s="12">
        <v>685</v>
      </c>
      <c r="B686" s="3" t="s">
        <v>1276</v>
      </c>
      <c r="C686" s="43" t="s">
        <v>1277</v>
      </c>
      <c r="D686" s="43" t="s">
        <v>1283</v>
      </c>
      <c r="E686" s="43" t="s">
        <v>101</v>
      </c>
      <c r="F686" s="6">
        <v>1004</v>
      </c>
      <c r="G686" s="45" t="s">
        <v>18</v>
      </c>
      <c r="H686" s="3">
        <v>998719</v>
      </c>
      <c r="I686" s="6">
        <v>76.5</v>
      </c>
      <c r="J686" s="6">
        <v>76.5</v>
      </c>
      <c r="K686" s="6">
        <v>0</v>
      </c>
      <c r="L686" s="4">
        <v>0</v>
      </c>
      <c r="M686" s="14" t="s">
        <v>19</v>
      </c>
      <c r="N686" s="15">
        <f t="shared" si="22"/>
        <v>153</v>
      </c>
    </row>
    <row r="687" spans="1:14">
      <c r="A687" s="12">
        <v>686</v>
      </c>
      <c r="B687" s="3" t="s">
        <v>1284</v>
      </c>
      <c r="C687" s="43" t="s">
        <v>1285</v>
      </c>
      <c r="D687" s="43" t="s">
        <v>1286</v>
      </c>
      <c r="E687" s="43" t="s">
        <v>449</v>
      </c>
      <c r="F687" s="6">
        <v>6302</v>
      </c>
      <c r="G687" s="45" t="s">
        <v>18</v>
      </c>
      <c r="H687" s="3">
        <v>998422</v>
      </c>
      <c r="I687" s="6">
        <v>480.6</v>
      </c>
      <c r="J687" s="6">
        <v>480.6</v>
      </c>
      <c r="K687" s="6">
        <v>0</v>
      </c>
      <c r="L687" s="4">
        <v>0</v>
      </c>
      <c r="M687" s="14" t="s">
        <v>19</v>
      </c>
      <c r="N687" s="15">
        <f t="shared" si="22"/>
        <v>961.2</v>
      </c>
    </row>
    <row r="688" spans="1:14">
      <c r="A688" s="12">
        <v>687</v>
      </c>
      <c r="B688" s="3" t="s">
        <v>1284</v>
      </c>
      <c r="C688" s="43" t="s">
        <v>1285</v>
      </c>
      <c r="D688" s="43" t="s">
        <v>1287</v>
      </c>
      <c r="E688" s="43" t="s">
        <v>469</v>
      </c>
      <c r="F688" s="6">
        <v>2100</v>
      </c>
      <c r="G688" s="45" t="s">
        <v>18</v>
      </c>
      <c r="H688" s="3">
        <v>998422</v>
      </c>
      <c r="I688" s="6">
        <v>160.19999999999999</v>
      </c>
      <c r="J688" s="6">
        <v>160.19999999999999</v>
      </c>
      <c r="K688" s="6">
        <v>0</v>
      </c>
      <c r="L688" s="4">
        <v>0</v>
      </c>
      <c r="M688" s="14" t="s">
        <v>19</v>
      </c>
      <c r="N688" s="15">
        <f t="shared" si="22"/>
        <v>320.39999999999998</v>
      </c>
    </row>
    <row r="689" spans="1:14">
      <c r="A689" s="12">
        <v>688</v>
      </c>
      <c r="B689" s="3" t="s">
        <v>1284</v>
      </c>
      <c r="C689" s="43" t="s">
        <v>1285</v>
      </c>
      <c r="D689" s="43" t="s">
        <v>1288</v>
      </c>
      <c r="E689" s="43" t="s">
        <v>1289</v>
      </c>
      <c r="F689" s="6">
        <v>6302</v>
      </c>
      <c r="G689" s="45" t="s">
        <v>18</v>
      </c>
      <c r="H689" s="3">
        <v>998422</v>
      </c>
      <c r="I689" s="6">
        <v>480.6</v>
      </c>
      <c r="J689" s="6">
        <v>480.6</v>
      </c>
      <c r="K689" s="6">
        <v>0</v>
      </c>
      <c r="L689" s="4">
        <v>0</v>
      </c>
      <c r="M689" s="14" t="s">
        <v>19</v>
      </c>
      <c r="N689" s="15">
        <f t="shared" si="22"/>
        <v>961.2</v>
      </c>
    </row>
    <row r="690" spans="1:14">
      <c r="A690" s="12">
        <v>689</v>
      </c>
      <c r="B690" s="14"/>
      <c r="C690" s="45" t="s">
        <v>1290</v>
      </c>
      <c r="D690" s="45" t="s">
        <v>946</v>
      </c>
      <c r="E690" s="55">
        <v>45688</v>
      </c>
      <c r="F690" s="15">
        <v>6979</v>
      </c>
      <c r="G690" s="45" t="s">
        <v>18</v>
      </c>
      <c r="H690" s="14">
        <v>996511</v>
      </c>
      <c r="I690" s="14">
        <v>174.47500000000002</v>
      </c>
      <c r="J690" s="14">
        <v>174.47500000000002</v>
      </c>
      <c r="K690" s="14">
        <v>0</v>
      </c>
      <c r="L690" s="4">
        <v>0</v>
      </c>
      <c r="M690" s="14" t="s">
        <v>19</v>
      </c>
      <c r="N690" s="14">
        <f t="shared" si="22"/>
        <v>348.95000000000005</v>
      </c>
    </row>
    <row r="691" spans="1:14">
      <c r="A691" s="12">
        <v>690</v>
      </c>
      <c r="B691" s="14"/>
      <c r="C691" s="44" t="s">
        <v>1290</v>
      </c>
      <c r="D691" s="45" t="s">
        <v>946</v>
      </c>
      <c r="E691" s="55">
        <v>45716</v>
      </c>
      <c r="F691" s="34">
        <v>5683</v>
      </c>
      <c r="G691" s="45" t="s">
        <v>18</v>
      </c>
      <c r="H691" s="14">
        <v>996511</v>
      </c>
      <c r="I691" s="14">
        <v>143</v>
      </c>
      <c r="J691" s="14">
        <v>143</v>
      </c>
      <c r="K691" s="14">
        <v>0</v>
      </c>
      <c r="L691" s="4">
        <v>0</v>
      </c>
      <c r="M691" s="14" t="s">
        <v>19</v>
      </c>
      <c r="N691" s="14">
        <f t="shared" si="22"/>
        <v>286</v>
      </c>
    </row>
    <row r="692" spans="1:14">
      <c r="A692" s="12">
        <v>691</v>
      </c>
      <c r="B692" s="14"/>
      <c r="C692" s="44" t="s">
        <v>1290</v>
      </c>
      <c r="D692" s="45" t="s">
        <v>946</v>
      </c>
      <c r="E692" s="55">
        <v>45808</v>
      </c>
      <c r="F692" s="15">
        <v>10003</v>
      </c>
      <c r="G692" s="45" t="s">
        <v>18</v>
      </c>
      <c r="H692" s="14">
        <v>996511</v>
      </c>
      <c r="I692" s="14">
        <v>250.07500000000002</v>
      </c>
      <c r="J692" s="14">
        <v>250.07500000000002</v>
      </c>
      <c r="K692" s="14">
        <v>0</v>
      </c>
      <c r="L692" s="4">
        <v>0</v>
      </c>
      <c r="M692" s="14" t="s">
        <v>19</v>
      </c>
      <c r="N692" s="14">
        <f t="shared" si="22"/>
        <v>500.15000000000003</v>
      </c>
    </row>
    <row r="693" spans="1:14">
      <c r="A693" s="12">
        <v>692</v>
      </c>
      <c r="B693" s="14"/>
      <c r="C693" s="46" t="s">
        <v>1290</v>
      </c>
      <c r="D693" s="45" t="s">
        <v>946</v>
      </c>
      <c r="E693" s="55">
        <v>45838</v>
      </c>
      <c r="F693" s="15">
        <v>10081</v>
      </c>
      <c r="G693" s="45" t="s">
        <v>18</v>
      </c>
      <c r="H693" s="14">
        <v>996511</v>
      </c>
      <c r="I693" s="14">
        <v>252.02500000000001</v>
      </c>
      <c r="J693" s="14">
        <v>252.02500000000001</v>
      </c>
      <c r="K693" s="14">
        <v>0</v>
      </c>
      <c r="L693" s="4">
        <v>0</v>
      </c>
      <c r="M693" s="14" t="s">
        <v>19</v>
      </c>
      <c r="N693" s="14">
        <f t="shared" si="22"/>
        <v>504.05</v>
      </c>
    </row>
    <row r="694" spans="1:14">
      <c r="A694" s="12">
        <v>693</v>
      </c>
      <c r="B694" s="14"/>
      <c r="C694" s="44" t="s">
        <v>1291</v>
      </c>
      <c r="D694" s="45" t="s">
        <v>946</v>
      </c>
      <c r="E694" s="55">
        <v>45808</v>
      </c>
      <c r="F694" s="15">
        <v>15000</v>
      </c>
      <c r="G694" s="45" t="s">
        <v>18</v>
      </c>
      <c r="H694" s="14">
        <v>996511</v>
      </c>
      <c r="I694" s="14">
        <v>1350</v>
      </c>
      <c r="J694" s="14">
        <v>1350</v>
      </c>
      <c r="K694" s="14">
        <v>0</v>
      </c>
      <c r="L694" s="4">
        <v>0</v>
      </c>
      <c r="M694" s="14" t="s">
        <v>19</v>
      </c>
      <c r="N694" s="14">
        <f t="shared" si="22"/>
        <v>2700</v>
      </c>
    </row>
    <row r="695" spans="1:14">
      <c r="A695" s="12">
        <v>694</v>
      </c>
      <c r="B695" s="14"/>
      <c r="C695" s="45" t="s">
        <v>1292</v>
      </c>
      <c r="D695" s="45" t="s">
        <v>946</v>
      </c>
      <c r="E695" s="55">
        <v>45688</v>
      </c>
      <c r="F695" s="15">
        <v>200000</v>
      </c>
      <c r="G695" s="45" t="s">
        <v>18</v>
      </c>
      <c r="H695" s="14">
        <v>9982</v>
      </c>
      <c r="I695" s="14">
        <v>18000</v>
      </c>
      <c r="J695" s="14">
        <v>18000</v>
      </c>
      <c r="K695" s="14">
        <v>0</v>
      </c>
      <c r="L695" s="4">
        <v>0</v>
      </c>
      <c r="M695" s="14" t="s">
        <v>19</v>
      </c>
      <c r="N695" s="14">
        <f t="shared" si="22"/>
        <v>36000</v>
      </c>
    </row>
    <row r="696" spans="1:14">
      <c r="A696" s="12">
        <v>695</v>
      </c>
      <c r="B696" s="14"/>
      <c r="C696" s="45" t="s">
        <v>1293</v>
      </c>
      <c r="D696" s="45" t="s">
        <v>946</v>
      </c>
      <c r="E696" s="55">
        <v>45688</v>
      </c>
      <c r="F696" s="15">
        <v>110000</v>
      </c>
      <c r="G696" s="45" t="s">
        <v>18</v>
      </c>
      <c r="H696" s="14">
        <v>9982</v>
      </c>
      <c r="I696" s="14">
        <v>9900</v>
      </c>
      <c r="J696" s="14">
        <v>9900</v>
      </c>
      <c r="K696" s="14">
        <v>0</v>
      </c>
      <c r="L696" s="4">
        <v>0</v>
      </c>
      <c r="M696" s="14" t="s">
        <v>19</v>
      </c>
      <c r="N696" s="14">
        <f t="shared" si="22"/>
        <v>19800</v>
      </c>
    </row>
    <row r="697" spans="1:14">
      <c r="A697" s="12">
        <v>696</v>
      </c>
      <c r="B697" s="3" t="s">
        <v>1294</v>
      </c>
      <c r="C697" s="43" t="s">
        <v>1295</v>
      </c>
      <c r="D697" s="43" t="s">
        <v>1296</v>
      </c>
      <c r="E697" s="43" t="s">
        <v>63</v>
      </c>
      <c r="F697" s="6">
        <v>74930</v>
      </c>
      <c r="G697" s="45" t="s">
        <v>18</v>
      </c>
      <c r="H697" s="3">
        <v>996713</v>
      </c>
      <c r="I697" s="6">
        <v>0</v>
      </c>
      <c r="J697" s="6">
        <v>0</v>
      </c>
      <c r="K697" s="6">
        <v>11430</v>
      </c>
      <c r="L697" s="4">
        <v>0</v>
      </c>
      <c r="M697" s="14" t="s">
        <v>19</v>
      </c>
      <c r="N697" s="15">
        <f t="shared" si="22"/>
        <v>11430</v>
      </c>
    </row>
    <row r="698" spans="1:14">
      <c r="A698" s="12">
        <v>697</v>
      </c>
      <c r="B698" s="3" t="s">
        <v>1294</v>
      </c>
      <c r="C698" s="43" t="s">
        <v>1295</v>
      </c>
      <c r="D698" s="43" t="s">
        <v>1297</v>
      </c>
      <c r="E698" s="43" t="s">
        <v>834</v>
      </c>
      <c r="F698" s="6">
        <v>69030</v>
      </c>
      <c r="G698" s="45" t="s">
        <v>18</v>
      </c>
      <c r="H698" s="3">
        <v>996713</v>
      </c>
      <c r="I698" s="6">
        <v>0</v>
      </c>
      <c r="J698" s="6">
        <v>0</v>
      </c>
      <c r="K698" s="6">
        <v>10530</v>
      </c>
      <c r="L698" s="4">
        <v>0</v>
      </c>
      <c r="M698" s="14" t="s">
        <v>19</v>
      </c>
      <c r="N698" s="15">
        <f t="shared" si="22"/>
        <v>10530</v>
      </c>
    </row>
    <row r="699" spans="1:14">
      <c r="A699" s="12">
        <v>698</v>
      </c>
      <c r="B699" s="3" t="s">
        <v>1294</v>
      </c>
      <c r="C699" s="43" t="s">
        <v>1295</v>
      </c>
      <c r="D699" s="43" t="s">
        <v>1298</v>
      </c>
      <c r="E699" s="43" t="s">
        <v>834</v>
      </c>
      <c r="F699" s="6">
        <v>69030</v>
      </c>
      <c r="G699" s="45" t="s">
        <v>18</v>
      </c>
      <c r="H699" s="3">
        <v>996713</v>
      </c>
      <c r="I699" s="6">
        <v>0</v>
      </c>
      <c r="J699" s="6">
        <v>0</v>
      </c>
      <c r="K699" s="6">
        <v>10530</v>
      </c>
      <c r="L699" s="4">
        <v>0</v>
      </c>
      <c r="M699" s="14" t="s">
        <v>19</v>
      </c>
      <c r="N699" s="15">
        <f t="shared" si="22"/>
        <v>10530</v>
      </c>
    </row>
    <row r="700" spans="1:14">
      <c r="A700" s="12">
        <v>699</v>
      </c>
      <c r="B700" s="3" t="s">
        <v>1294</v>
      </c>
      <c r="C700" s="43" t="s">
        <v>1295</v>
      </c>
      <c r="D700" s="43" t="s">
        <v>1299</v>
      </c>
      <c r="E700" s="43" t="s">
        <v>834</v>
      </c>
      <c r="F700" s="6">
        <v>69030</v>
      </c>
      <c r="G700" s="45" t="s">
        <v>18</v>
      </c>
      <c r="H700" s="3">
        <v>996713</v>
      </c>
      <c r="I700" s="6">
        <v>0</v>
      </c>
      <c r="J700" s="6">
        <v>0</v>
      </c>
      <c r="K700" s="6">
        <v>10530</v>
      </c>
      <c r="L700" s="4">
        <v>0</v>
      </c>
      <c r="M700" s="14" t="s">
        <v>19</v>
      </c>
      <c r="N700" s="15">
        <f t="shared" si="22"/>
        <v>10530</v>
      </c>
    </row>
    <row r="701" spans="1:14">
      <c r="A701" s="12">
        <v>700</v>
      </c>
      <c r="B701" s="3" t="s">
        <v>1294</v>
      </c>
      <c r="C701" s="43" t="s">
        <v>1295</v>
      </c>
      <c r="D701" s="43" t="s">
        <v>1300</v>
      </c>
      <c r="E701" s="43" t="s">
        <v>1301</v>
      </c>
      <c r="F701" s="6">
        <v>66257</v>
      </c>
      <c r="G701" s="45" t="s">
        <v>18</v>
      </c>
      <c r="H701" s="3">
        <v>996713</v>
      </c>
      <c r="I701" s="6">
        <v>0</v>
      </c>
      <c r="J701" s="6">
        <v>0</v>
      </c>
      <c r="K701" s="6">
        <v>10107</v>
      </c>
      <c r="L701" s="4">
        <v>0</v>
      </c>
      <c r="M701" s="14" t="s">
        <v>19</v>
      </c>
      <c r="N701" s="15">
        <f t="shared" si="22"/>
        <v>10107</v>
      </c>
    </row>
    <row r="702" spans="1:14">
      <c r="A702" s="12">
        <v>701</v>
      </c>
      <c r="B702" s="3" t="s">
        <v>1294</v>
      </c>
      <c r="C702" s="43" t="s">
        <v>1295</v>
      </c>
      <c r="D702" s="43" t="s">
        <v>1302</v>
      </c>
      <c r="E702" s="43" t="s">
        <v>941</v>
      </c>
      <c r="F702" s="6">
        <v>85550</v>
      </c>
      <c r="G702" s="45" t="s">
        <v>18</v>
      </c>
      <c r="H702" s="3">
        <v>996713</v>
      </c>
      <c r="I702" s="6">
        <v>0</v>
      </c>
      <c r="J702" s="6">
        <v>0</v>
      </c>
      <c r="K702" s="6">
        <v>13050</v>
      </c>
      <c r="L702" s="4">
        <v>0</v>
      </c>
      <c r="M702" s="14" t="s">
        <v>19</v>
      </c>
      <c r="N702" s="15">
        <f t="shared" si="22"/>
        <v>13050</v>
      </c>
    </row>
    <row r="703" spans="1:14">
      <c r="A703" s="12">
        <v>702</v>
      </c>
      <c r="B703" s="3" t="s">
        <v>1303</v>
      </c>
      <c r="C703" s="45" t="s">
        <v>1304</v>
      </c>
      <c r="D703" s="43" t="s">
        <v>1305</v>
      </c>
      <c r="E703" s="43" t="s">
        <v>1306</v>
      </c>
      <c r="F703" s="6">
        <v>676429.62</v>
      </c>
      <c r="G703" s="45" t="s">
        <v>18</v>
      </c>
      <c r="H703" s="3" t="s">
        <v>847</v>
      </c>
      <c r="I703" s="6">
        <v>0</v>
      </c>
      <c r="J703" s="6">
        <v>0</v>
      </c>
      <c r="K703" s="6">
        <v>103184.18</v>
      </c>
      <c r="L703" s="4">
        <v>0</v>
      </c>
      <c r="M703" s="14" t="s">
        <v>157</v>
      </c>
      <c r="N703" s="15" t="s">
        <v>202</v>
      </c>
    </row>
    <row r="704" spans="1:14">
      <c r="A704" s="12">
        <v>703</v>
      </c>
      <c r="B704" s="3" t="s">
        <v>1307</v>
      </c>
      <c r="C704" s="43" t="s">
        <v>1308</v>
      </c>
      <c r="D704" s="43" t="s">
        <v>1309</v>
      </c>
      <c r="E704" s="43" t="s">
        <v>1107</v>
      </c>
      <c r="F704" s="6">
        <v>240600</v>
      </c>
      <c r="G704" s="45" t="s">
        <v>24</v>
      </c>
      <c r="H704" s="3">
        <v>1006</v>
      </c>
      <c r="I704" s="6">
        <v>0</v>
      </c>
      <c r="J704" s="6">
        <v>0</v>
      </c>
      <c r="K704" s="6">
        <v>0</v>
      </c>
      <c r="L704" s="4">
        <v>0</v>
      </c>
      <c r="M704" s="14" t="s">
        <v>108</v>
      </c>
      <c r="N704" s="15">
        <f t="shared" ref="N704:N767" si="23">SUM(I704:L704)</f>
        <v>0</v>
      </c>
    </row>
    <row r="705" spans="1:14">
      <c r="A705" s="12">
        <v>704</v>
      </c>
      <c r="B705" s="3" t="s">
        <v>1307</v>
      </c>
      <c r="C705" s="43" t="s">
        <v>1308</v>
      </c>
      <c r="D705" s="43" t="s">
        <v>1310</v>
      </c>
      <c r="E705" s="43" t="s">
        <v>1281</v>
      </c>
      <c r="F705" s="6">
        <v>191360</v>
      </c>
      <c r="G705" s="45" t="s">
        <v>24</v>
      </c>
      <c r="H705" s="3">
        <v>1006</v>
      </c>
      <c r="I705" s="6">
        <v>0</v>
      </c>
      <c r="J705" s="6">
        <v>0</v>
      </c>
      <c r="K705" s="6">
        <v>0</v>
      </c>
      <c r="L705" s="4">
        <v>0</v>
      </c>
      <c r="M705" s="14" t="s">
        <v>108</v>
      </c>
      <c r="N705" s="15">
        <f t="shared" si="23"/>
        <v>0</v>
      </c>
    </row>
    <row r="706" spans="1:14">
      <c r="A706" s="12">
        <v>705</v>
      </c>
      <c r="B706" s="14"/>
      <c r="C706" s="46" t="s">
        <v>1311</v>
      </c>
      <c r="D706" s="45" t="s">
        <v>946</v>
      </c>
      <c r="E706" s="55">
        <v>45838</v>
      </c>
      <c r="F706" s="15">
        <v>18645</v>
      </c>
      <c r="G706" s="45" t="s">
        <v>18</v>
      </c>
      <c r="H706" s="14">
        <v>996511</v>
      </c>
      <c r="I706" s="14">
        <v>466.125</v>
      </c>
      <c r="J706" s="14">
        <v>466.125</v>
      </c>
      <c r="K706" s="14">
        <v>0</v>
      </c>
      <c r="L706" s="4">
        <v>0</v>
      </c>
      <c r="M706" s="14" t="s">
        <v>19</v>
      </c>
      <c r="N706" s="14">
        <f t="shared" si="23"/>
        <v>932.25</v>
      </c>
    </row>
    <row r="707" spans="1:14">
      <c r="A707" s="12">
        <v>706</v>
      </c>
      <c r="B707" s="14"/>
      <c r="C707" s="44" t="s">
        <v>1312</v>
      </c>
      <c r="D707" s="45" t="s">
        <v>946</v>
      </c>
      <c r="E707" s="55">
        <v>45716</v>
      </c>
      <c r="F707" s="34">
        <v>273851</v>
      </c>
      <c r="G707" s="45" t="s">
        <v>18</v>
      </c>
      <c r="H707" s="14">
        <v>996511</v>
      </c>
      <c r="I707" s="14">
        <v>0</v>
      </c>
      <c r="J707" s="14">
        <v>0</v>
      </c>
      <c r="K707" s="14">
        <v>49294</v>
      </c>
      <c r="L707" s="4">
        <v>0</v>
      </c>
      <c r="M707" s="14" t="s">
        <v>19</v>
      </c>
      <c r="N707" s="14">
        <f t="shared" si="23"/>
        <v>49294</v>
      </c>
    </row>
    <row r="708" spans="1:14">
      <c r="A708" s="12">
        <v>707</v>
      </c>
      <c r="B708" s="14"/>
      <c r="C708" s="45" t="s">
        <v>1313</v>
      </c>
      <c r="D708" s="45" t="s">
        <v>946</v>
      </c>
      <c r="E708" s="55">
        <v>45688</v>
      </c>
      <c r="F708" s="15">
        <v>61717</v>
      </c>
      <c r="G708" s="45" t="s">
        <v>18</v>
      </c>
      <c r="H708" s="14">
        <v>996511</v>
      </c>
      <c r="I708" s="14">
        <v>0</v>
      </c>
      <c r="J708" s="14">
        <v>0</v>
      </c>
      <c r="K708" s="14">
        <v>3085.8500000000004</v>
      </c>
      <c r="L708" s="4">
        <v>0</v>
      </c>
      <c r="M708" s="14" t="s">
        <v>19</v>
      </c>
      <c r="N708" s="14">
        <f t="shared" si="23"/>
        <v>3085.8500000000004</v>
      </c>
    </row>
    <row r="709" spans="1:14">
      <c r="A709" s="12">
        <v>708</v>
      </c>
      <c r="B709" s="3" t="s">
        <v>1314</v>
      </c>
      <c r="C709" s="43" t="s">
        <v>1315</v>
      </c>
      <c r="D709" s="43" t="s">
        <v>1316</v>
      </c>
      <c r="E709" s="43" t="s">
        <v>463</v>
      </c>
      <c r="F709" s="6">
        <v>838406</v>
      </c>
      <c r="G709" s="45" t="s">
        <v>18</v>
      </c>
      <c r="H709" s="3">
        <v>996713</v>
      </c>
      <c r="I709" s="6">
        <v>0</v>
      </c>
      <c r="J709" s="6">
        <v>0</v>
      </c>
      <c r="K709" s="6">
        <v>39924.080000000002</v>
      </c>
      <c r="L709" s="4">
        <v>0</v>
      </c>
      <c r="M709" s="14" t="s">
        <v>19</v>
      </c>
      <c r="N709" s="15">
        <f t="shared" si="23"/>
        <v>39924.080000000002</v>
      </c>
    </row>
    <row r="710" spans="1:14">
      <c r="A710" s="12">
        <v>709</v>
      </c>
      <c r="B710" s="3" t="s">
        <v>1314</v>
      </c>
      <c r="C710" s="43" t="s">
        <v>1315</v>
      </c>
      <c r="D710" s="43" t="s">
        <v>1317</v>
      </c>
      <c r="E710" s="43" t="s">
        <v>463</v>
      </c>
      <c r="F710" s="6">
        <v>89554</v>
      </c>
      <c r="G710" s="45" t="s">
        <v>18</v>
      </c>
      <c r="H710" s="3">
        <v>996713</v>
      </c>
      <c r="I710" s="6">
        <v>0</v>
      </c>
      <c r="J710" s="6">
        <v>0</v>
      </c>
      <c r="K710" s="6">
        <v>13660.8</v>
      </c>
      <c r="L710" s="4">
        <v>0</v>
      </c>
      <c r="M710" s="14" t="s">
        <v>19</v>
      </c>
      <c r="N710" s="15">
        <f t="shared" si="23"/>
        <v>13660.8</v>
      </c>
    </row>
    <row r="711" spans="1:14">
      <c r="A711" s="12">
        <v>710</v>
      </c>
      <c r="B711" s="3" t="s">
        <v>1314</v>
      </c>
      <c r="C711" s="43" t="s">
        <v>1315</v>
      </c>
      <c r="D711" s="43" t="s">
        <v>1318</v>
      </c>
      <c r="E711" s="43" t="s">
        <v>463</v>
      </c>
      <c r="F711" s="6">
        <v>838406</v>
      </c>
      <c r="G711" s="45" t="s">
        <v>18</v>
      </c>
      <c r="H711" s="3">
        <v>996713</v>
      </c>
      <c r="I711" s="6">
        <v>0</v>
      </c>
      <c r="J711" s="6">
        <v>0</v>
      </c>
      <c r="K711" s="6">
        <v>39924.080000000002</v>
      </c>
      <c r="L711" s="4">
        <v>0</v>
      </c>
      <c r="M711" s="14" t="s">
        <v>19</v>
      </c>
      <c r="N711" s="15">
        <f t="shared" si="23"/>
        <v>39924.080000000002</v>
      </c>
    </row>
    <row r="712" spans="1:14">
      <c r="A712" s="12">
        <v>711</v>
      </c>
      <c r="B712" s="3" t="s">
        <v>1314</v>
      </c>
      <c r="C712" s="43" t="s">
        <v>1315</v>
      </c>
      <c r="D712" s="43" t="s">
        <v>1319</v>
      </c>
      <c r="E712" s="43" t="s">
        <v>463</v>
      </c>
      <c r="F712" s="6">
        <v>89554</v>
      </c>
      <c r="G712" s="45" t="s">
        <v>18</v>
      </c>
      <c r="H712" s="3">
        <v>996713</v>
      </c>
      <c r="I712" s="6">
        <v>0</v>
      </c>
      <c r="J712" s="6">
        <v>0</v>
      </c>
      <c r="K712" s="6">
        <v>13660.8</v>
      </c>
      <c r="L712" s="4">
        <v>0</v>
      </c>
      <c r="M712" s="14" t="s">
        <v>19</v>
      </c>
      <c r="N712" s="15">
        <f t="shared" si="23"/>
        <v>13660.8</v>
      </c>
    </row>
    <row r="713" spans="1:14">
      <c r="A713" s="12">
        <v>712</v>
      </c>
      <c r="B713" s="3" t="s">
        <v>1314</v>
      </c>
      <c r="C713" s="43" t="s">
        <v>1315</v>
      </c>
      <c r="D713" s="43" t="s">
        <v>1320</v>
      </c>
      <c r="E713" s="43" t="s">
        <v>463</v>
      </c>
      <c r="F713" s="6">
        <v>1341449</v>
      </c>
      <c r="G713" s="45" t="s">
        <v>18</v>
      </c>
      <c r="H713" s="3">
        <v>996713</v>
      </c>
      <c r="I713" s="6">
        <v>0</v>
      </c>
      <c r="J713" s="6">
        <v>0</v>
      </c>
      <c r="K713" s="6">
        <v>63878.52</v>
      </c>
      <c r="L713" s="4">
        <v>0</v>
      </c>
      <c r="M713" s="14" t="s">
        <v>19</v>
      </c>
      <c r="N713" s="15">
        <f t="shared" si="23"/>
        <v>63878.52</v>
      </c>
    </row>
    <row r="714" spans="1:14">
      <c r="A714" s="12">
        <v>713</v>
      </c>
      <c r="B714" s="3" t="s">
        <v>1314</v>
      </c>
      <c r="C714" s="43" t="s">
        <v>1315</v>
      </c>
      <c r="D714" s="43" t="s">
        <v>1321</v>
      </c>
      <c r="E714" s="43" t="s">
        <v>463</v>
      </c>
      <c r="F714" s="6">
        <v>139676</v>
      </c>
      <c r="G714" s="45" t="s">
        <v>18</v>
      </c>
      <c r="H714" s="3">
        <v>996713</v>
      </c>
      <c r="I714" s="6">
        <v>0</v>
      </c>
      <c r="J714" s="6">
        <v>0</v>
      </c>
      <c r="K714" s="6">
        <v>21306.48</v>
      </c>
      <c r="L714" s="4">
        <v>0</v>
      </c>
      <c r="M714" s="14" t="s">
        <v>19</v>
      </c>
      <c r="N714" s="15">
        <f t="shared" si="23"/>
        <v>21306.48</v>
      </c>
    </row>
    <row r="715" spans="1:14">
      <c r="A715" s="12">
        <v>714</v>
      </c>
      <c r="B715" s="3" t="s">
        <v>1314</v>
      </c>
      <c r="C715" s="43" t="s">
        <v>1315</v>
      </c>
      <c r="D715" s="43" t="s">
        <v>1322</v>
      </c>
      <c r="E715" s="43" t="s">
        <v>463</v>
      </c>
      <c r="F715" s="6">
        <v>828143</v>
      </c>
      <c r="G715" s="45" t="s">
        <v>18</v>
      </c>
      <c r="H715" s="3">
        <v>996713</v>
      </c>
      <c r="I715" s="6">
        <v>0</v>
      </c>
      <c r="J715" s="6">
        <v>0</v>
      </c>
      <c r="K715" s="6">
        <v>39435.379999999997</v>
      </c>
      <c r="L715" s="4">
        <v>0</v>
      </c>
      <c r="M715" s="14" t="s">
        <v>19</v>
      </c>
      <c r="N715" s="15">
        <f t="shared" si="23"/>
        <v>39435.379999999997</v>
      </c>
    </row>
    <row r="716" spans="1:14">
      <c r="A716" s="12">
        <v>715</v>
      </c>
      <c r="B716" s="3" t="s">
        <v>1314</v>
      </c>
      <c r="C716" s="43" t="s">
        <v>1315</v>
      </c>
      <c r="D716" s="43" t="s">
        <v>1323</v>
      </c>
      <c r="E716" s="43" t="s">
        <v>463</v>
      </c>
      <c r="F716" s="6">
        <v>828143</v>
      </c>
      <c r="G716" s="45" t="s">
        <v>18</v>
      </c>
      <c r="H716" s="3">
        <v>996713</v>
      </c>
      <c r="I716" s="6">
        <v>0</v>
      </c>
      <c r="J716" s="6">
        <v>0</v>
      </c>
      <c r="K716" s="6">
        <v>39435.379999999997</v>
      </c>
      <c r="L716" s="4">
        <v>0</v>
      </c>
      <c r="M716" s="14" t="s">
        <v>19</v>
      </c>
      <c r="N716" s="15">
        <f t="shared" si="23"/>
        <v>39435.379999999997</v>
      </c>
    </row>
    <row r="717" spans="1:14">
      <c r="A717" s="12">
        <v>716</v>
      </c>
      <c r="B717" s="3" t="s">
        <v>1314</v>
      </c>
      <c r="C717" s="43" t="s">
        <v>1315</v>
      </c>
      <c r="D717" s="43" t="s">
        <v>1324</v>
      </c>
      <c r="E717" s="43" t="s">
        <v>463</v>
      </c>
      <c r="F717" s="6">
        <v>1325029</v>
      </c>
      <c r="G717" s="45" t="s">
        <v>18</v>
      </c>
      <c r="H717" s="3">
        <v>996713</v>
      </c>
      <c r="I717" s="6">
        <v>0</v>
      </c>
      <c r="J717" s="6">
        <v>0</v>
      </c>
      <c r="K717" s="6">
        <v>63096.6</v>
      </c>
      <c r="L717" s="4">
        <v>0</v>
      </c>
      <c r="M717" s="14" t="s">
        <v>19</v>
      </c>
      <c r="N717" s="15">
        <f t="shared" si="23"/>
        <v>63096.6</v>
      </c>
    </row>
    <row r="718" spans="1:14">
      <c r="A718" s="12">
        <v>717</v>
      </c>
      <c r="B718" s="3" t="s">
        <v>1314</v>
      </c>
      <c r="C718" s="43" t="s">
        <v>1315</v>
      </c>
      <c r="D718" s="43" t="s">
        <v>1325</v>
      </c>
      <c r="E718" s="43" t="s">
        <v>463</v>
      </c>
      <c r="F718" s="15">
        <v>-838406</v>
      </c>
      <c r="G718" s="45" t="s">
        <v>18</v>
      </c>
      <c r="H718" s="3">
        <v>996713</v>
      </c>
      <c r="I718" s="14">
        <v>0</v>
      </c>
      <c r="J718" s="14">
        <v>0</v>
      </c>
      <c r="K718" s="14">
        <v>-39924.080000000002</v>
      </c>
      <c r="L718" s="4">
        <v>0</v>
      </c>
      <c r="M718" s="14" t="s">
        <v>19</v>
      </c>
      <c r="N718" s="15">
        <f t="shared" si="23"/>
        <v>-39924.080000000002</v>
      </c>
    </row>
    <row r="719" spans="1:14">
      <c r="A719" s="12">
        <v>718</v>
      </c>
      <c r="B719" s="3" t="s">
        <v>1314</v>
      </c>
      <c r="C719" s="43" t="s">
        <v>1315</v>
      </c>
      <c r="D719" s="43" t="s">
        <v>1326</v>
      </c>
      <c r="E719" s="43" t="s">
        <v>463</v>
      </c>
      <c r="F719" s="15">
        <v>-838406</v>
      </c>
      <c r="G719" s="45" t="s">
        <v>18</v>
      </c>
      <c r="H719" s="3">
        <v>996713</v>
      </c>
      <c r="I719" s="14">
        <v>0</v>
      </c>
      <c r="J719" s="14">
        <v>0</v>
      </c>
      <c r="K719" s="14">
        <v>-39924.080000000002</v>
      </c>
      <c r="L719" s="4">
        <v>0</v>
      </c>
      <c r="M719" s="14" t="s">
        <v>19</v>
      </c>
      <c r="N719" s="15">
        <f t="shared" si="23"/>
        <v>-39924.080000000002</v>
      </c>
    </row>
    <row r="720" spans="1:14">
      <c r="A720" s="12">
        <v>719</v>
      </c>
      <c r="B720" s="3" t="s">
        <v>1314</v>
      </c>
      <c r="C720" s="43" t="s">
        <v>1315</v>
      </c>
      <c r="D720" s="43" t="s">
        <v>1327</v>
      </c>
      <c r="E720" s="43" t="s">
        <v>463</v>
      </c>
      <c r="F720" s="15">
        <v>-1341449</v>
      </c>
      <c r="G720" s="45" t="s">
        <v>18</v>
      </c>
      <c r="H720" s="3">
        <v>996713</v>
      </c>
      <c r="I720" s="14">
        <v>0</v>
      </c>
      <c r="J720" s="14">
        <v>0</v>
      </c>
      <c r="K720" s="14">
        <v>-63878.52</v>
      </c>
      <c r="L720" s="4">
        <v>0</v>
      </c>
      <c r="M720" s="14" t="s">
        <v>19</v>
      </c>
      <c r="N720" s="15">
        <f t="shared" si="23"/>
        <v>-63878.52</v>
      </c>
    </row>
    <row r="721" spans="1:14">
      <c r="A721" s="12">
        <v>720</v>
      </c>
      <c r="B721" s="3" t="s">
        <v>1314</v>
      </c>
      <c r="C721" s="43" t="s">
        <v>1315</v>
      </c>
      <c r="D721" s="43" t="s">
        <v>1328</v>
      </c>
      <c r="E721" s="43" t="s">
        <v>825</v>
      </c>
      <c r="F721" s="6">
        <v>172560</v>
      </c>
      <c r="G721" s="45" t="s">
        <v>18</v>
      </c>
      <c r="H721" s="3">
        <v>996713</v>
      </c>
      <c r="I721" s="6">
        <v>0</v>
      </c>
      <c r="J721" s="6">
        <v>0</v>
      </c>
      <c r="K721" s="6">
        <v>26322.7</v>
      </c>
      <c r="L721" s="4">
        <v>0</v>
      </c>
      <c r="M721" s="14" t="s">
        <v>19</v>
      </c>
      <c r="N721" s="15">
        <f t="shared" si="23"/>
        <v>26322.7</v>
      </c>
    </row>
    <row r="722" spans="1:14">
      <c r="A722" s="12">
        <v>721</v>
      </c>
      <c r="B722" s="3" t="s">
        <v>1314</v>
      </c>
      <c r="C722" s="43" t="s">
        <v>1315</v>
      </c>
      <c r="D722" s="43" t="s">
        <v>1329</v>
      </c>
      <c r="E722" s="43" t="s">
        <v>825</v>
      </c>
      <c r="F722" s="6">
        <v>89289</v>
      </c>
      <c r="G722" s="45" t="s">
        <v>18</v>
      </c>
      <c r="H722" s="3">
        <v>996713</v>
      </c>
      <c r="I722" s="6">
        <v>0</v>
      </c>
      <c r="J722" s="6">
        <v>0</v>
      </c>
      <c r="K722" s="6">
        <v>13620.35</v>
      </c>
      <c r="L722" s="4">
        <v>0</v>
      </c>
      <c r="M722" s="14" t="s">
        <v>19</v>
      </c>
      <c r="N722" s="15">
        <f t="shared" si="23"/>
        <v>13620.35</v>
      </c>
    </row>
    <row r="723" spans="1:14">
      <c r="A723" s="12">
        <v>722</v>
      </c>
      <c r="B723" s="3" t="s">
        <v>1314</v>
      </c>
      <c r="C723" s="43" t="s">
        <v>1315</v>
      </c>
      <c r="D723" s="43" t="s">
        <v>1330</v>
      </c>
      <c r="E723" s="43" t="s">
        <v>825</v>
      </c>
      <c r="F723" s="6">
        <v>339102</v>
      </c>
      <c r="G723" s="45" t="s">
        <v>18</v>
      </c>
      <c r="H723" s="3">
        <v>996713</v>
      </c>
      <c r="I723" s="6">
        <v>0</v>
      </c>
      <c r="J723" s="6">
        <v>0</v>
      </c>
      <c r="K723" s="6">
        <v>51727.39</v>
      </c>
      <c r="L723" s="4">
        <v>0</v>
      </c>
      <c r="M723" s="14" t="s">
        <v>19</v>
      </c>
      <c r="N723" s="15">
        <f t="shared" si="23"/>
        <v>51727.39</v>
      </c>
    </row>
    <row r="724" spans="1:14">
      <c r="A724" s="12">
        <v>723</v>
      </c>
      <c r="B724" s="3" t="s">
        <v>1314</v>
      </c>
      <c r="C724" s="43" t="s">
        <v>1315</v>
      </c>
      <c r="D724" s="43" t="s">
        <v>1331</v>
      </c>
      <c r="E724" s="43" t="s">
        <v>825</v>
      </c>
      <c r="F724" s="6">
        <v>339102</v>
      </c>
      <c r="G724" s="45" t="s">
        <v>18</v>
      </c>
      <c r="H724" s="3">
        <v>996713</v>
      </c>
      <c r="I724" s="6">
        <v>0</v>
      </c>
      <c r="J724" s="6">
        <v>0</v>
      </c>
      <c r="K724" s="6">
        <v>51727.39</v>
      </c>
      <c r="L724" s="4">
        <v>0</v>
      </c>
      <c r="M724" s="14" t="s">
        <v>19</v>
      </c>
      <c r="N724" s="15">
        <f t="shared" si="23"/>
        <v>51727.39</v>
      </c>
    </row>
    <row r="725" spans="1:14">
      <c r="A725" s="12">
        <v>724</v>
      </c>
      <c r="B725" s="3" t="s">
        <v>1314</v>
      </c>
      <c r="C725" s="43" t="s">
        <v>1315</v>
      </c>
      <c r="D725" s="43" t="s">
        <v>1332</v>
      </c>
      <c r="E725" s="43" t="s">
        <v>1333</v>
      </c>
      <c r="F725" s="6">
        <v>89402</v>
      </c>
      <c r="G725" s="45" t="s">
        <v>18</v>
      </c>
      <c r="H725" s="3">
        <v>996713</v>
      </c>
      <c r="I725" s="6">
        <v>0</v>
      </c>
      <c r="J725" s="6">
        <v>0</v>
      </c>
      <c r="K725" s="6">
        <v>13637.57</v>
      </c>
      <c r="L725" s="4">
        <v>0</v>
      </c>
      <c r="M725" s="14" t="s">
        <v>19</v>
      </c>
      <c r="N725" s="15">
        <f t="shared" si="23"/>
        <v>13637.57</v>
      </c>
    </row>
    <row r="726" spans="1:14">
      <c r="A726" s="12">
        <v>725</v>
      </c>
      <c r="B726" s="3" t="s">
        <v>1314</v>
      </c>
      <c r="C726" s="43" t="s">
        <v>1315</v>
      </c>
      <c r="D726" s="43" t="s">
        <v>1334</v>
      </c>
      <c r="E726" s="43" t="s">
        <v>1014</v>
      </c>
      <c r="F726" s="6">
        <v>139334</v>
      </c>
      <c r="G726" s="45" t="s">
        <v>18</v>
      </c>
      <c r="H726" s="3">
        <v>996713</v>
      </c>
      <c r="I726" s="6">
        <v>0</v>
      </c>
      <c r="J726" s="6">
        <v>0</v>
      </c>
      <c r="K726" s="6">
        <v>21254.28</v>
      </c>
      <c r="L726" s="4">
        <v>0</v>
      </c>
      <c r="M726" s="14" t="s">
        <v>19</v>
      </c>
      <c r="N726" s="15">
        <f t="shared" si="23"/>
        <v>21254.28</v>
      </c>
    </row>
    <row r="727" spans="1:14">
      <c r="A727" s="12">
        <v>726</v>
      </c>
      <c r="B727" s="3" t="s">
        <v>1314</v>
      </c>
      <c r="C727" s="43" t="s">
        <v>1315</v>
      </c>
      <c r="D727" s="43" t="s">
        <v>1335</v>
      </c>
      <c r="E727" s="43" t="s">
        <v>843</v>
      </c>
      <c r="F727" s="6">
        <v>255985</v>
      </c>
      <c r="G727" s="45" t="s">
        <v>18</v>
      </c>
      <c r="H727" s="3">
        <v>996713</v>
      </c>
      <c r="I727" s="6">
        <v>0</v>
      </c>
      <c r="J727" s="6">
        <v>0</v>
      </c>
      <c r="K727" s="6">
        <v>39048.53</v>
      </c>
      <c r="L727" s="4">
        <v>0</v>
      </c>
      <c r="M727" s="14" t="s">
        <v>19</v>
      </c>
      <c r="N727" s="15">
        <f t="shared" si="23"/>
        <v>39048.53</v>
      </c>
    </row>
    <row r="728" spans="1:14">
      <c r="A728" s="12">
        <v>727</v>
      </c>
      <c r="B728" s="3" t="s">
        <v>1336</v>
      </c>
      <c r="C728" s="43" t="s">
        <v>1337</v>
      </c>
      <c r="D728" s="43" t="s">
        <v>1338</v>
      </c>
      <c r="E728" s="43" t="s">
        <v>135</v>
      </c>
      <c r="F728" s="6">
        <v>36214.86</v>
      </c>
      <c r="G728" s="45" t="s">
        <v>18</v>
      </c>
      <c r="H728" s="3">
        <v>999128</v>
      </c>
      <c r="I728" s="6">
        <v>0</v>
      </c>
      <c r="J728" s="6">
        <v>0</v>
      </c>
      <c r="K728" s="6">
        <v>5524.32</v>
      </c>
      <c r="L728" s="4">
        <v>0</v>
      </c>
      <c r="M728" s="14" t="s">
        <v>19</v>
      </c>
      <c r="N728" s="15">
        <f t="shared" si="23"/>
        <v>5524.32</v>
      </c>
    </row>
    <row r="729" spans="1:14">
      <c r="A729" s="12">
        <v>728</v>
      </c>
      <c r="B729" s="3" t="s">
        <v>1336</v>
      </c>
      <c r="C729" s="43" t="s">
        <v>1337</v>
      </c>
      <c r="D729" s="43" t="s">
        <v>1339</v>
      </c>
      <c r="E729" s="43" t="s">
        <v>1340</v>
      </c>
      <c r="F729" s="6">
        <v>11274.31</v>
      </c>
      <c r="G729" s="45" t="s">
        <v>18</v>
      </c>
      <c r="H729" s="3">
        <v>996713</v>
      </c>
      <c r="I729" s="6">
        <v>0</v>
      </c>
      <c r="J729" s="6">
        <v>0</v>
      </c>
      <c r="K729" s="6">
        <v>1719.81</v>
      </c>
      <c r="L729" s="4">
        <v>0</v>
      </c>
      <c r="M729" s="14" t="s">
        <v>19</v>
      </c>
      <c r="N729" s="15">
        <f t="shared" si="23"/>
        <v>1719.81</v>
      </c>
    </row>
    <row r="730" spans="1:14">
      <c r="A730" s="12">
        <v>729</v>
      </c>
      <c r="B730" s="3" t="s">
        <v>1336</v>
      </c>
      <c r="C730" s="43" t="s">
        <v>1337</v>
      </c>
      <c r="D730" s="43" t="s">
        <v>1341</v>
      </c>
      <c r="E730" s="43" t="s">
        <v>1340</v>
      </c>
      <c r="F730" s="6">
        <v>7315.56</v>
      </c>
      <c r="G730" s="45" t="s">
        <v>18</v>
      </c>
      <c r="H730" s="3">
        <v>996713</v>
      </c>
      <c r="I730" s="6">
        <v>0</v>
      </c>
      <c r="J730" s="6">
        <v>0</v>
      </c>
      <c r="K730" s="6">
        <v>348.36</v>
      </c>
      <c r="L730" s="4">
        <v>0</v>
      </c>
      <c r="M730" s="14" t="s">
        <v>19</v>
      </c>
      <c r="N730" s="15">
        <f t="shared" si="23"/>
        <v>348.36</v>
      </c>
    </row>
    <row r="731" spans="1:14">
      <c r="A731" s="12">
        <v>730</v>
      </c>
      <c r="B731" s="3" t="s">
        <v>1336</v>
      </c>
      <c r="C731" s="43" t="s">
        <v>1337</v>
      </c>
      <c r="D731" s="43" t="s">
        <v>1342</v>
      </c>
      <c r="E731" s="43" t="s">
        <v>1340</v>
      </c>
      <c r="F731" s="6">
        <v>7702.16</v>
      </c>
      <c r="G731" s="45" t="s">
        <v>18</v>
      </c>
      <c r="H731" s="3">
        <v>996713</v>
      </c>
      <c r="I731" s="6">
        <v>0</v>
      </c>
      <c r="J731" s="6">
        <v>0</v>
      </c>
      <c r="K731" s="6">
        <v>1174.9100000000001</v>
      </c>
      <c r="L731" s="4">
        <v>0</v>
      </c>
      <c r="M731" s="14" t="s">
        <v>19</v>
      </c>
      <c r="N731" s="15">
        <f t="shared" si="23"/>
        <v>1174.9100000000001</v>
      </c>
    </row>
    <row r="732" spans="1:14">
      <c r="A732" s="12">
        <v>731</v>
      </c>
      <c r="B732" s="3" t="s">
        <v>1336</v>
      </c>
      <c r="C732" s="43" t="s">
        <v>1337</v>
      </c>
      <c r="D732" s="43" t="s">
        <v>1343</v>
      </c>
      <c r="E732" s="43" t="s">
        <v>1340</v>
      </c>
      <c r="F732" s="6">
        <v>3657.78</v>
      </c>
      <c r="G732" s="45" t="s">
        <v>18</v>
      </c>
      <c r="H732" s="3">
        <v>996713</v>
      </c>
      <c r="I732" s="6">
        <v>0</v>
      </c>
      <c r="J732" s="6">
        <v>0</v>
      </c>
      <c r="K732" s="6">
        <v>174.18</v>
      </c>
      <c r="L732" s="4">
        <v>0</v>
      </c>
      <c r="M732" s="14" t="s">
        <v>19</v>
      </c>
      <c r="N732" s="15">
        <f t="shared" si="23"/>
        <v>174.18</v>
      </c>
    </row>
    <row r="733" spans="1:14">
      <c r="A733" s="12">
        <v>732</v>
      </c>
      <c r="B733" s="3" t="s">
        <v>1336</v>
      </c>
      <c r="C733" s="43" t="s">
        <v>1337</v>
      </c>
      <c r="D733" s="43" t="s">
        <v>1344</v>
      </c>
      <c r="E733" s="43" t="s">
        <v>1340</v>
      </c>
      <c r="F733" s="6">
        <v>7702.16</v>
      </c>
      <c r="G733" s="45" t="s">
        <v>18</v>
      </c>
      <c r="H733" s="3">
        <v>996713</v>
      </c>
      <c r="I733" s="6">
        <v>0</v>
      </c>
      <c r="J733" s="6">
        <v>0</v>
      </c>
      <c r="K733" s="6">
        <v>1174.9100000000001</v>
      </c>
      <c r="L733" s="4">
        <v>0</v>
      </c>
      <c r="M733" s="14" t="s">
        <v>19</v>
      </c>
      <c r="N733" s="15">
        <f t="shared" si="23"/>
        <v>1174.9100000000001</v>
      </c>
    </row>
    <row r="734" spans="1:14">
      <c r="A734" s="12">
        <v>733</v>
      </c>
      <c r="B734" s="3" t="s">
        <v>1336</v>
      </c>
      <c r="C734" s="43" t="s">
        <v>1337</v>
      </c>
      <c r="D734" s="43" t="s">
        <v>1345</v>
      </c>
      <c r="E734" s="43" t="s">
        <v>1340</v>
      </c>
      <c r="F734" s="6">
        <v>3657.78</v>
      </c>
      <c r="G734" s="45" t="s">
        <v>18</v>
      </c>
      <c r="H734" s="3">
        <v>996713</v>
      </c>
      <c r="I734" s="6">
        <v>0</v>
      </c>
      <c r="J734" s="6">
        <v>0</v>
      </c>
      <c r="K734" s="6">
        <v>174.18</v>
      </c>
      <c r="L734" s="4">
        <v>0</v>
      </c>
      <c r="M734" s="14" t="s">
        <v>19</v>
      </c>
      <c r="N734" s="15">
        <f t="shared" si="23"/>
        <v>174.18</v>
      </c>
    </row>
    <row r="735" spans="1:14">
      <c r="A735" s="12">
        <v>734</v>
      </c>
      <c r="B735" s="3" t="s">
        <v>1336</v>
      </c>
      <c r="C735" s="43" t="s">
        <v>1337</v>
      </c>
      <c r="D735" s="43" t="s">
        <v>1346</v>
      </c>
      <c r="E735" s="43" t="s">
        <v>1340</v>
      </c>
      <c r="F735" s="6">
        <v>11274.31</v>
      </c>
      <c r="G735" s="45" t="s">
        <v>18</v>
      </c>
      <c r="H735" s="3">
        <v>996713</v>
      </c>
      <c r="I735" s="6">
        <v>0</v>
      </c>
      <c r="J735" s="6">
        <v>0</v>
      </c>
      <c r="K735" s="6">
        <v>1719.81</v>
      </c>
      <c r="L735" s="4">
        <v>0</v>
      </c>
      <c r="M735" s="14" t="s">
        <v>19</v>
      </c>
      <c r="N735" s="15">
        <f t="shared" si="23"/>
        <v>1719.81</v>
      </c>
    </row>
    <row r="736" spans="1:14">
      <c r="A736" s="12">
        <v>735</v>
      </c>
      <c r="B736" s="3" t="s">
        <v>1336</v>
      </c>
      <c r="C736" s="43" t="s">
        <v>1337</v>
      </c>
      <c r="D736" s="43" t="s">
        <v>1347</v>
      </c>
      <c r="E736" s="43" t="s">
        <v>1340</v>
      </c>
      <c r="F736" s="6">
        <v>7315.56</v>
      </c>
      <c r="G736" s="45" t="s">
        <v>18</v>
      </c>
      <c r="H736" s="3">
        <v>996713</v>
      </c>
      <c r="I736" s="6">
        <v>0</v>
      </c>
      <c r="J736" s="6">
        <v>0</v>
      </c>
      <c r="K736" s="6">
        <v>348.36</v>
      </c>
      <c r="L736" s="4">
        <v>0</v>
      </c>
      <c r="M736" s="14" t="s">
        <v>19</v>
      </c>
      <c r="N736" s="15">
        <f t="shared" si="23"/>
        <v>348.36</v>
      </c>
    </row>
    <row r="737" spans="1:14">
      <c r="A737" s="12">
        <v>736</v>
      </c>
      <c r="B737" s="3" t="s">
        <v>1336</v>
      </c>
      <c r="C737" s="43" t="s">
        <v>1337</v>
      </c>
      <c r="D737" s="43" t="s">
        <v>1348</v>
      </c>
      <c r="E737" s="43" t="s">
        <v>1084</v>
      </c>
      <c r="F737" s="6">
        <v>-18107.43</v>
      </c>
      <c r="G737" s="45" t="s">
        <v>18</v>
      </c>
      <c r="H737" s="3">
        <v>996713</v>
      </c>
      <c r="I737" s="14">
        <v>0</v>
      </c>
      <c r="J737" s="14">
        <v>0</v>
      </c>
      <c r="K737" s="14">
        <v>-2762.16</v>
      </c>
      <c r="L737" s="4">
        <v>0</v>
      </c>
      <c r="M737" s="14" t="s">
        <v>19</v>
      </c>
      <c r="N737" s="15">
        <f t="shared" si="23"/>
        <v>-2762.16</v>
      </c>
    </row>
    <row r="738" spans="1:14">
      <c r="A738" s="12">
        <v>737</v>
      </c>
      <c r="B738" s="3" t="s">
        <v>1336</v>
      </c>
      <c r="C738" s="43" t="s">
        <v>1337</v>
      </c>
      <c r="D738" s="43" t="s">
        <v>1349</v>
      </c>
      <c r="E738" s="43" t="s">
        <v>101</v>
      </c>
      <c r="F738" s="6">
        <v>9248.9599999999991</v>
      </c>
      <c r="G738" s="45" t="s">
        <v>18</v>
      </c>
      <c r="H738" s="3">
        <v>996713</v>
      </c>
      <c r="I738" s="6">
        <v>0</v>
      </c>
      <c r="J738" s="6">
        <v>0</v>
      </c>
      <c r="K738" s="6">
        <v>1410.86</v>
      </c>
      <c r="L738" s="4">
        <v>0</v>
      </c>
      <c r="M738" s="14" t="s">
        <v>19</v>
      </c>
      <c r="N738" s="15">
        <f t="shared" si="23"/>
        <v>1410.86</v>
      </c>
    </row>
    <row r="739" spans="1:14">
      <c r="A739" s="12">
        <v>738</v>
      </c>
      <c r="B739" s="3" t="s">
        <v>1350</v>
      </c>
      <c r="C739" s="43" t="s">
        <v>1351</v>
      </c>
      <c r="D739" s="43" t="s">
        <v>1352</v>
      </c>
      <c r="E739" s="43" t="s">
        <v>44</v>
      </c>
      <c r="F739" s="6">
        <v>20556</v>
      </c>
      <c r="G739" s="45" t="s">
        <v>18</v>
      </c>
      <c r="H739" s="3">
        <v>996812</v>
      </c>
      <c r="I739" s="6">
        <v>1567.82</v>
      </c>
      <c r="J739" s="6">
        <v>1567.82</v>
      </c>
      <c r="K739" s="6">
        <v>0</v>
      </c>
      <c r="L739" s="4">
        <v>0</v>
      </c>
      <c r="M739" s="14" t="s">
        <v>19</v>
      </c>
      <c r="N739" s="15">
        <f t="shared" si="23"/>
        <v>3135.64</v>
      </c>
    </row>
    <row r="740" spans="1:14">
      <c r="A740" s="12">
        <v>739</v>
      </c>
      <c r="B740" s="3" t="s">
        <v>1350</v>
      </c>
      <c r="C740" s="43" t="s">
        <v>1351</v>
      </c>
      <c r="D740" s="43" t="s">
        <v>1353</v>
      </c>
      <c r="E740" s="43" t="s">
        <v>1207</v>
      </c>
      <c r="F740" s="6">
        <v>28574</v>
      </c>
      <c r="G740" s="45" t="s">
        <v>18</v>
      </c>
      <c r="H740" s="3">
        <v>996812</v>
      </c>
      <c r="I740" s="6">
        <v>2179.34</v>
      </c>
      <c r="J740" s="6">
        <v>2179.34</v>
      </c>
      <c r="K740" s="6">
        <v>0</v>
      </c>
      <c r="L740" s="4">
        <v>0</v>
      </c>
      <c r="M740" s="14" t="s">
        <v>19</v>
      </c>
      <c r="N740" s="15">
        <f t="shared" si="23"/>
        <v>4358.68</v>
      </c>
    </row>
    <row r="741" spans="1:14">
      <c r="A741" s="12">
        <v>740</v>
      </c>
      <c r="B741" s="3" t="s">
        <v>1350</v>
      </c>
      <c r="C741" s="43" t="s">
        <v>1351</v>
      </c>
      <c r="D741" s="43" t="s">
        <v>1354</v>
      </c>
      <c r="E741" s="43" t="s">
        <v>800</v>
      </c>
      <c r="F741" s="6">
        <v>21686</v>
      </c>
      <c r="G741" s="45" t="s">
        <v>18</v>
      </c>
      <c r="H741" s="3">
        <v>996812</v>
      </c>
      <c r="I741" s="6">
        <v>1654.04</v>
      </c>
      <c r="J741" s="6">
        <v>1654.04</v>
      </c>
      <c r="K741" s="6">
        <v>0</v>
      </c>
      <c r="L741" s="4">
        <v>0</v>
      </c>
      <c r="M741" s="14" t="s">
        <v>19</v>
      </c>
      <c r="N741" s="15">
        <f t="shared" si="23"/>
        <v>3308.08</v>
      </c>
    </row>
    <row r="742" spans="1:14">
      <c r="A742" s="12">
        <v>741</v>
      </c>
      <c r="B742" s="3" t="s">
        <v>1350</v>
      </c>
      <c r="C742" s="43" t="s">
        <v>1351</v>
      </c>
      <c r="D742" s="43" t="s">
        <v>1355</v>
      </c>
      <c r="E742" s="43" t="s">
        <v>1186</v>
      </c>
      <c r="F742" s="6">
        <v>21305</v>
      </c>
      <c r="G742" s="45" t="s">
        <v>18</v>
      </c>
      <c r="H742" s="3">
        <v>996812</v>
      </c>
      <c r="I742" s="6">
        <v>1624.92</v>
      </c>
      <c r="J742" s="6">
        <v>1624.92</v>
      </c>
      <c r="K742" s="6">
        <v>0</v>
      </c>
      <c r="L742" s="4">
        <v>0</v>
      </c>
      <c r="M742" s="14" t="s">
        <v>19</v>
      </c>
      <c r="N742" s="15">
        <f t="shared" si="23"/>
        <v>3249.84</v>
      </c>
    </row>
    <row r="743" spans="1:14">
      <c r="A743" s="12">
        <v>742</v>
      </c>
      <c r="B743" s="3" t="s">
        <v>1350</v>
      </c>
      <c r="C743" s="43" t="s">
        <v>1351</v>
      </c>
      <c r="D743" s="43" t="s">
        <v>1356</v>
      </c>
      <c r="E743" s="43" t="s">
        <v>483</v>
      </c>
      <c r="F743" s="15">
        <v>-1229</v>
      </c>
      <c r="G743" s="45" t="s">
        <v>18</v>
      </c>
      <c r="H743" s="3">
        <v>996812</v>
      </c>
      <c r="I743" s="14">
        <v>-93.7</v>
      </c>
      <c r="J743" s="14">
        <v>-93.7</v>
      </c>
      <c r="K743" s="14">
        <v>0</v>
      </c>
      <c r="L743" s="4">
        <v>0</v>
      </c>
      <c r="M743" s="14" t="s">
        <v>19</v>
      </c>
      <c r="N743" s="15">
        <f t="shared" si="23"/>
        <v>-187.4</v>
      </c>
    </row>
    <row r="744" spans="1:14">
      <c r="A744" s="12">
        <v>743</v>
      </c>
      <c r="B744" s="3" t="s">
        <v>1350</v>
      </c>
      <c r="C744" s="43" t="s">
        <v>1351</v>
      </c>
      <c r="D744" s="43" t="s">
        <v>1357</v>
      </c>
      <c r="E744" s="43" t="s">
        <v>849</v>
      </c>
      <c r="F744" s="6">
        <v>93595</v>
      </c>
      <c r="G744" s="45" t="s">
        <v>18</v>
      </c>
      <c r="H744" s="3">
        <v>996812</v>
      </c>
      <c r="I744" s="6">
        <v>7138.58</v>
      </c>
      <c r="J744" s="6">
        <v>7138.58</v>
      </c>
      <c r="K744" s="6">
        <v>0</v>
      </c>
      <c r="L744" s="4">
        <v>0</v>
      </c>
      <c r="M744" s="14" t="s">
        <v>19</v>
      </c>
      <c r="N744" s="15">
        <f t="shared" si="23"/>
        <v>14277.16</v>
      </c>
    </row>
    <row r="745" spans="1:14">
      <c r="A745" s="12">
        <v>744</v>
      </c>
      <c r="B745" s="3" t="s">
        <v>1350</v>
      </c>
      <c r="C745" s="43" t="s">
        <v>1351</v>
      </c>
      <c r="D745" s="43" t="s">
        <v>1358</v>
      </c>
      <c r="E745" s="43" t="s">
        <v>84</v>
      </c>
      <c r="F745" s="6">
        <v>4698</v>
      </c>
      <c r="G745" s="45" t="s">
        <v>18</v>
      </c>
      <c r="H745" s="3">
        <v>996812</v>
      </c>
      <c r="I745" s="6">
        <v>358.35</v>
      </c>
      <c r="J745" s="6">
        <v>358.35</v>
      </c>
      <c r="K745" s="6">
        <v>0</v>
      </c>
      <c r="L745" s="4">
        <v>0</v>
      </c>
      <c r="M745" s="14" t="s">
        <v>19</v>
      </c>
      <c r="N745" s="15">
        <f t="shared" si="23"/>
        <v>716.7</v>
      </c>
    </row>
    <row r="746" spans="1:14">
      <c r="A746" s="12">
        <v>745</v>
      </c>
      <c r="B746" s="3" t="s">
        <v>1359</v>
      </c>
      <c r="C746" s="43" t="s">
        <v>1360</v>
      </c>
      <c r="D746" s="43" t="s">
        <v>1361</v>
      </c>
      <c r="E746" s="43" t="s">
        <v>1275</v>
      </c>
      <c r="F746" s="6">
        <v>3540</v>
      </c>
      <c r="G746" s="45" t="s">
        <v>18</v>
      </c>
      <c r="H746" s="3">
        <v>998531</v>
      </c>
      <c r="I746" s="6">
        <v>0</v>
      </c>
      <c r="J746" s="6">
        <v>0</v>
      </c>
      <c r="K746" s="6">
        <v>540</v>
      </c>
      <c r="L746" s="4">
        <v>0</v>
      </c>
      <c r="M746" s="14" t="s">
        <v>19</v>
      </c>
      <c r="N746" s="15">
        <f t="shared" si="23"/>
        <v>540</v>
      </c>
    </row>
    <row r="747" spans="1:14">
      <c r="A747" s="12">
        <v>746</v>
      </c>
      <c r="B747" s="3" t="s">
        <v>1359</v>
      </c>
      <c r="C747" s="43" t="s">
        <v>1360</v>
      </c>
      <c r="D747" s="43" t="s">
        <v>1362</v>
      </c>
      <c r="E747" s="43" t="s">
        <v>1275</v>
      </c>
      <c r="F747" s="6">
        <v>3540</v>
      </c>
      <c r="G747" s="45" t="s">
        <v>18</v>
      </c>
      <c r="H747" s="3">
        <v>998531</v>
      </c>
      <c r="I747" s="6">
        <v>0</v>
      </c>
      <c r="J747" s="6">
        <v>0</v>
      </c>
      <c r="K747" s="6">
        <v>540</v>
      </c>
      <c r="L747" s="4">
        <v>0</v>
      </c>
      <c r="M747" s="14" t="s">
        <v>19</v>
      </c>
      <c r="N747" s="15">
        <f t="shared" si="23"/>
        <v>540</v>
      </c>
    </row>
    <row r="748" spans="1:14">
      <c r="A748" s="12">
        <v>747</v>
      </c>
      <c r="B748" s="3" t="s">
        <v>1359</v>
      </c>
      <c r="C748" s="43" t="s">
        <v>1360</v>
      </c>
      <c r="D748" s="43" t="s">
        <v>1363</v>
      </c>
      <c r="E748" s="43" t="s">
        <v>1275</v>
      </c>
      <c r="F748" s="6">
        <v>5664</v>
      </c>
      <c r="G748" s="45" t="s">
        <v>18</v>
      </c>
      <c r="H748" s="3">
        <v>998531</v>
      </c>
      <c r="I748" s="6">
        <v>0</v>
      </c>
      <c r="J748" s="6">
        <v>0</v>
      </c>
      <c r="K748" s="6">
        <v>864</v>
      </c>
      <c r="L748" s="4">
        <v>0</v>
      </c>
      <c r="M748" s="14" t="s">
        <v>19</v>
      </c>
      <c r="N748" s="15">
        <f t="shared" si="23"/>
        <v>864</v>
      </c>
    </row>
    <row r="749" spans="1:14">
      <c r="A749" s="12">
        <v>748</v>
      </c>
      <c r="B749" s="3" t="s">
        <v>1359</v>
      </c>
      <c r="C749" s="43" t="s">
        <v>1360</v>
      </c>
      <c r="D749" s="43" t="s">
        <v>1364</v>
      </c>
      <c r="E749" s="43" t="s">
        <v>59</v>
      </c>
      <c r="F749" s="6">
        <v>28532</v>
      </c>
      <c r="G749" s="45" t="s">
        <v>18</v>
      </c>
      <c r="H749" s="3">
        <v>998531</v>
      </c>
      <c r="I749" s="6">
        <v>0</v>
      </c>
      <c r="J749" s="6">
        <v>0</v>
      </c>
      <c r="K749" s="6">
        <v>4352.3999999999996</v>
      </c>
      <c r="L749" s="4">
        <v>0</v>
      </c>
      <c r="M749" s="14" t="s">
        <v>19</v>
      </c>
      <c r="N749" s="15">
        <f t="shared" si="23"/>
        <v>4352.3999999999996</v>
      </c>
    </row>
    <row r="750" spans="1:14">
      <c r="A750" s="12">
        <v>749</v>
      </c>
      <c r="B750" s="3" t="s">
        <v>1359</v>
      </c>
      <c r="C750" s="43" t="s">
        <v>1360</v>
      </c>
      <c r="D750" s="43" t="s">
        <v>1365</v>
      </c>
      <c r="E750" s="43" t="s">
        <v>970</v>
      </c>
      <c r="F750" s="6">
        <v>10620</v>
      </c>
      <c r="G750" s="45" t="s">
        <v>18</v>
      </c>
      <c r="H750" s="3">
        <v>998531</v>
      </c>
      <c r="I750" s="6">
        <v>0</v>
      </c>
      <c r="J750" s="6">
        <v>0</v>
      </c>
      <c r="K750" s="6">
        <v>1620</v>
      </c>
      <c r="L750" s="4">
        <v>0</v>
      </c>
      <c r="M750" s="14" t="s">
        <v>19</v>
      </c>
      <c r="N750" s="15">
        <f t="shared" si="23"/>
        <v>1620</v>
      </c>
    </row>
    <row r="751" spans="1:14">
      <c r="A751" s="12">
        <v>750</v>
      </c>
      <c r="B751" s="3" t="s">
        <v>1359</v>
      </c>
      <c r="C751" s="43" t="s">
        <v>1360</v>
      </c>
      <c r="D751" s="43" t="s">
        <v>1366</v>
      </c>
      <c r="E751" s="43" t="s">
        <v>831</v>
      </c>
      <c r="F751" s="6">
        <v>6372</v>
      </c>
      <c r="G751" s="45" t="s">
        <v>18</v>
      </c>
      <c r="H751" s="3">
        <v>998531</v>
      </c>
      <c r="I751" s="6">
        <v>0</v>
      </c>
      <c r="J751" s="6">
        <v>0</v>
      </c>
      <c r="K751" s="6">
        <v>972</v>
      </c>
      <c r="L751" s="4">
        <v>0</v>
      </c>
      <c r="M751" s="14" t="s">
        <v>19</v>
      </c>
      <c r="N751" s="15">
        <f t="shared" si="23"/>
        <v>972</v>
      </c>
    </row>
    <row r="752" spans="1:14">
      <c r="A752" s="12">
        <v>751</v>
      </c>
      <c r="B752" s="3" t="s">
        <v>1359</v>
      </c>
      <c r="C752" s="43" t="s">
        <v>1360</v>
      </c>
      <c r="D752" s="43" t="s">
        <v>1367</v>
      </c>
      <c r="E752" s="43" t="s">
        <v>831</v>
      </c>
      <c r="F752" s="6">
        <v>4248</v>
      </c>
      <c r="G752" s="45" t="s">
        <v>18</v>
      </c>
      <c r="H752" s="3">
        <v>998531</v>
      </c>
      <c r="I752" s="6">
        <v>0</v>
      </c>
      <c r="J752" s="6">
        <v>0</v>
      </c>
      <c r="K752" s="6">
        <v>648</v>
      </c>
      <c r="L752" s="4">
        <v>0</v>
      </c>
      <c r="M752" s="14" t="s">
        <v>19</v>
      </c>
      <c r="N752" s="15">
        <f t="shared" si="23"/>
        <v>648</v>
      </c>
    </row>
    <row r="753" spans="1:14">
      <c r="A753" s="12">
        <v>752</v>
      </c>
      <c r="B753" s="3" t="s">
        <v>1368</v>
      </c>
      <c r="C753" s="43" t="s">
        <v>1369</v>
      </c>
      <c r="D753" s="43" t="s">
        <v>1370</v>
      </c>
      <c r="E753" s="43" t="s">
        <v>964</v>
      </c>
      <c r="F753" s="6">
        <v>24723</v>
      </c>
      <c r="G753" s="45" t="s">
        <v>18</v>
      </c>
      <c r="H753" s="3">
        <v>996713</v>
      </c>
      <c r="I753" s="6">
        <v>0</v>
      </c>
      <c r="J753" s="6">
        <v>0</v>
      </c>
      <c r="K753" s="6">
        <v>3771.36</v>
      </c>
      <c r="L753" s="4">
        <v>0</v>
      </c>
      <c r="M753" s="14" t="s">
        <v>19</v>
      </c>
      <c r="N753" s="15">
        <f t="shared" si="23"/>
        <v>3771.36</v>
      </c>
    </row>
    <row r="754" spans="1:14">
      <c r="A754" s="12">
        <v>753</v>
      </c>
      <c r="B754" s="3" t="s">
        <v>1368</v>
      </c>
      <c r="C754" s="43" t="s">
        <v>1369</v>
      </c>
      <c r="D754" s="43" t="s">
        <v>1371</v>
      </c>
      <c r="E754" s="43" t="s">
        <v>964</v>
      </c>
      <c r="F754" s="6">
        <v>12657</v>
      </c>
      <c r="G754" s="45" t="s">
        <v>18</v>
      </c>
      <c r="H754" s="3">
        <v>996713</v>
      </c>
      <c r="I754" s="6">
        <v>0</v>
      </c>
      <c r="J754" s="6">
        <v>0</v>
      </c>
      <c r="K754" s="6">
        <v>1930.68</v>
      </c>
      <c r="L754" s="4">
        <v>0</v>
      </c>
      <c r="M754" s="14" t="s">
        <v>19</v>
      </c>
      <c r="N754" s="15">
        <f t="shared" si="23"/>
        <v>1930.68</v>
      </c>
    </row>
    <row r="755" spans="1:14">
      <c r="A755" s="12">
        <v>754</v>
      </c>
      <c r="B755" s="3" t="s">
        <v>1368</v>
      </c>
      <c r="C755" s="43" t="s">
        <v>1369</v>
      </c>
      <c r="D755" s="43" t="s">
        <v>1372</v>
      </c>
      <c r="E755" s="43" t="s">
        <v>964</v>
      </c>
      <c r="F755" s="6">
        <v>12657</v>
      </c>
      <c r="G755" s="45" t="s">
        <v>18</v>
      </c>
      <c r="H755" s="3">
        <v>996713</v>
      </c>
      <c r="I755" s="6">
        <v>0</v>
      </c>
      <c r="J755" s="6">
        <v>0</v>
      </c>
      <c r="K755" s="6">
        <v>1930.68</v>
      </c>
      <c r="L755" s="4">
        <v>0</v>
      </c>
      <c r="M755" s="14" t="s">
        <v>19</v>
      </c>
      <c r="N755" s="15">
        <f t="shared" si="23"/>
        <v>1930.68</v>
      </c>
    </row>
    <row r="756" spans="1:14">
      <c r="A756" s="12">
        <v>755</v>
      </c>
      <c r="B756" s="3" t="s">
        <v>1368</v>
      </c>
      <c r="C756" s="43" t="s">
        <v>1369</v>
      </c>
      <c r="D756" s="43" t="s">
        <v>1373</v>
      </c>
      <c r="E756" s="43" t="s">
        <v>1374</v>
      </c>
      <c r="F756" s="6">
        <v>12656</v>
      </c>
      <c r="G756" s="45" t="s">
        <v>18</v>
      </c>
      <c r="H756" s="3">
        <v>996713</v>
      </c>
      <c r="I756" s="6">
        <v>0</v>
      </c>
      <c r="J756" s="6">
        <v>0</v>
      </c>
      <c r="K756" s="6">
        <v>1930.5</v>
      </c>
      <c r="L756" s="4">
        <v>0</v>
      </c>
      <c r="M756" s="14" t="s">
        <v>19</v>
      </c>
      <c r="N756" s="15">
        <f t="shared" si="23"/>
        <v>1930.5</v>
      </c>
    </row>
    <row r="757" spans="1:14">
      <c r="A757" s="12">
        <v>756</v>
      </c>
      <c r="B757" s="3" t="s">
        <v>1368</v>
      </c>
      <c r="C757" s="43" t="s">
        <v>1369</v>
      </c>
      <c r="D757" s="43" t="s">
        <v>1375</v>
      </c>
      <c r="E757" s="43" t="s">
        <v>924</v>
      </c>
      <c r="F757" s="6">
        <v>24721</v>
      </c>
      <c r="G757" s="45" t="s">
        <v>18</v>
      </c>
      <c r="H757" s="3">
        <v>996713</v>
      </c>
      <c r="I757" s="6">
        <v>0</v>
      </c>
      <c r="J757" s="6">
        <v>0</v>
      </c>
      <c r="K757" s="6">
        <v>3771</v>
      </c>
      <c r="L757" s="4">
        <v>0</v>
      </c>
      <c r="M757" s="14" t="s">
        <v>19</v>
      </c>
      <c r="N757" s="15">
        <f t="shared" si="23"/>
        <v>3771</v>
      </c>
    </row>
    <row r="758" spans="1:14">
      <c r="A758" s="12">
        <v>757</v>
      </c>
      <c r="B758" s="3" t="s">
        <v>1368</v>
      </c>
      <c r="C758" s="43" t="s">
        <v>1369</v>
      </c>
      <c r="D758" s="43" t="s">
        <v>1376</v>
      </c>
      <c r="E758" s="43" t="s">
        <v>924</v>
      </c>
      <c r="F758" s="6">
        <v>48852</v>
      </c>
      <c r="G758" s="45" t="s">
        <v>18</v>
      </c>
      <c r="H758" s="3">
        <v>996713</v>
      </c>
      <c r="I758" s="6">
        <v>0</v>
      </c>
      <c r="J758" s="6">
        <v>0</v>
      </c>
      <c r="K758" s="6">
        <v>7452</v>
      </c>
      <c r="L758" s="4">
        <v>0</v>
      </c>
      <c r="M758" s="14" t="s">
        <v>19</v>
      </c>
      <c r="N758" s="15">
        <f t="shared" si="23"/>
        <v>7452</v>
      </c>
    </row>
    <row r="759" spans="1:14">
      <c r="A759" s="12">
        <v>758</v>
      </c>
      <c r="B759" s="3" t="s">
        <v>1368</v>
      </c>
      <c r="C759" s="43" t="s">
        <v>1369</v>
      </c>
      <c r="D759" s="43" t="s">
        <v>1377</v>
      </c>
      <c r="E759" s="43" t="s">
        <v>924</v>
      </c>
      <c r="F759" s="6">
        <v>48852</v>
      </c>
      <c r="G759" s="45" t="s">
        <v>18</v>
      </c>
      <c r="H759" s="3">
        <v>996713</v>
      </c>
      <c r="I759" s="6">
        <v>0</v>
      </c>
      <c r="J759" s="6">
        <v>0</v>
      </c>
      <c r="K759" s="6">
        <v>7452</v>
      </c>
      <c r="L759" s="4">
        <v>0</v>
      </c>
      <c r="M759" s="14" t="s">
        <v>19</v>
      </c>
      <c r="N759" s="15">
        <f t="shared" si="23"/>
        <v>7452</v>
      </c>
    </row>
    <row r="760" spans="1:14">
      <c r="A760" s="12">
        <v>759</v>
      </c>
      <c r="B760" s="3" t="s">
        <v>1368</v>
      </c>
      <c r="C760" s="43" t="s">
        <v>1369</v>
      </c>
      <c r="D760" s="43" t="s">
        <v>1378</v>
      </c>
      <c r="E760" s="43" t="s">
        <v>1379</v>
      </c>
      <c r="F760" s="6">
        <v>12966</v>
      </c>
      <c r="G760" s="45" t="s">
        <v>18</v>
      </c>
      <c r="H760" s="3">
        <v>996713</v>
      </c>
      <c r="I760" s="6">
        <v>0</v>
      </c>
      <c r="J760" s="6">
        <v>0</v>
      </c>
      <c r="K760" s="6">
        <v>1977.84</v>
      </c>
      <c r="L760" s="4">
        <v>0</v>
      </c>
      <c r="M760" s="14" t="s">
        <v>19</v>
      </c>
      <c r="N760" s="15">
        <f t="shared" si="23"/>
        <v>1977.84</v>
      </c>
    </row>
    <row r="761" spans="1:14">
      <c r="A761" s="12">
        <v>760</v>
      </c>
      <c r="B761" s="3" t="s">
        <v>1368</v>
      </c>
      <c r="C761" s="43" t="s">
        <v>1369</v>
      </c>
      <c r="D761" s="43" t="s">
        <v>1380</v>
      </c>
      <c r="E761" s="43" t="s">
        <v>843</v>
      </c>
      <c r="F761" s="6">
        <v>38110</v>
      </c>
      <c r="G761" s="45" t="s">
        <v>18</v>
      </c>
      <c r="H761" s="3">
        <v>996713</v>
      </c>
      <c r="I761" s="6">
        <v>0</v>
      </c>
      <c r="J761" s="6">
        <v>0</v>
      </c>
      <c r="K761" s="6">
        <v>5813.46</v>
      </c>
      <c r="L761" s="4">
        <v>0</v>
      </c>
      <c r="M761" s="14" t="s">
        <v>19</v>
      </c>
      <c r="N761" s="15">
        <f t="shared" si="23"/>
        <v>5813.46</v>
      </c>
    </row>
    <row r="762" spans="1:14">
      <c r="A762" s="12">
        <v>761</v>
      </c>
      <c r="B762" s="3" t="s">
        <v>1368</v>
      </c>
      <c r="C762" s="43" t="s">
        <v>1369</v>
      </c>
      <c r="D762" s="43" t="s">
        <v>1381</v>
      </c>
      <c r="E762" s="43" t="s">
        <v>827</v>
      </c>
      <c r="F762" s="6">
        <v>25604</v>
      </c>
      <c r="G762" s="45" t="s">
        <v>18</v>
      </c>
      <c r="H762" s="3">
        <v>996713</v>
      </c>
      <c r="I762" s="6">
        <v>0</v>
      </c>
      <c r="J762" s="6">
        <v>0</v>
      </c>
      <c r="K762" s="6">
        <v>3905.64</v>
      </c>
      <c r="L762" s="4">
        <v>0</v>
      </c>
      <c r="M762" s="14" t="s">
        <v>19</v>
      </c>
      <c r="N762" s="15">
        <f t="shared" si="23"/>
        <v>3905.64</v>
      </c>
    </row>
    <row r="763" spans="1:14">
      <c r="A763" s="12">
        <v>762</v>
      </c>
      <c r="B763" s="3" t="s">
        <v>1368</v>
      </c>
      <c r="C763" s="43" t="s">
        <v>1369</v>
      </c>
      <c r="D763" s="43" t="s">
        <v>1382</v>
      </c>
      <c r="E763" s="43" t="s">
        <v>1257</v>
      </c>
      <c r="F763" s="6">
        <v>25346</v>
      </c>
      <c r="G763" s="45" t="s">
        <v>18</v>
      </c>
      <c r="H763" s="3">
        <v>996713</v>
      </c>
      <c r="I763" s="6">
        <v>0</v>
      </c>
      <c r="J763" s="6">
        <v>0</v>
      </c>
      <c r="K763" s="6">
        <v>3866.4</v>
      </c>
      <c r="L763" s="4">
        <v>0</v>
      </c>
      <c r="M763" s="14" t="s">
        <v>19</v>
      </c>
      <c r="N763" s="15">
        <f t="shared" si="23"/>
        <v>3866.4</v>
      </c>
    </row>
    <row r="764" spans="1:14">
      <c r="A764" s="12">
        <v>763</v>
      </c>
      <c r="B764" s="3" t="s">
        <v>1368</v>
      </c>
      <c r="C764" s="43" t="s">
        <v>1369</v>
      </c>
      <c r="D764" s="43" t="s">
        <v>1383</v>
      </c>
      <c r="E764" s="43" t="s">
        <v>1257</v>
      </c>
      <c r="F764" s="6">
        <v>25346</v>
      </c>
      <c r="G764" s="45" t="s">
        <v>18</v>
      </c>
      <c r="H764" s="3">
        <v>996713</v>
      </c>
      <c r="I764" s="6">
        <v>0</v>
      </c>
      <c r="J764" s="6">
        <v>0</v>
      </c>
      <c r="K764" s="6">
        <v>3866.4</v>
      </c>
      <c r="L764" s="4">
        <v>0</v>
      </c>
      <c r="M764" s="14" t="s">
        <v>19</v>
      </c>
      <c r="N764" s="15">
        <f t="shared" si="23"/>
        <v>3866.4</v>
      </c>
    </row>
    <row r="765" spans="1:14">
      <c r="A765" s="12">
        <v>764</v>
      </c>
      <c r="B765" s="3" t="s">
        <v>1368</v>
      </c>
      <c r="C765" s="43" t="s">
        <v>1369</v>
      </c>
      <c r="D765" s="43" t="s">
        <v>1384</v>
      </c>
      <c r="E765" s="43" t="s">
        <v>1257</v>
      </c>
      <c r="F765" s="6">
        <v>25346</v>
      </c>
      <c r="G765" s="45" t="s">
        <v>18</v>
      </c>
      <c r="H765" s="3">
        <v>996713</v>
      </c>
      <c r="I765" s="6">
        <v>0</v>
      </c>
      <c r="J765" s="6">
        <v>0</v>
      </c>
      <c r="K765" s="6">
        <v>3866.4</v>
      </c>
      <c r="L765" s="4">
        <v>0</v>
      </c>
      <c r="M765" s="14" t="s">
        <v>19</v>
      </c>
      <c r="N765" s="15">
        <f t="shared" si="23"/>
        <v>3866.4</v>
      </c>
    </row>
    <row r="766" spans="1:14">
      <c r="A766" s="12">
        <v>765</v>
      </c>
      <c r="B766" s="3" t="s">
        <v>1368</v>
      </c>
      <c r="C766" s="43" t="s">
        <v>1369</v>
      </c>
      <c r="D766" s="43" t="s">
        <v>1385</v>
      </c>
      <c r="E766" s="43" t="s">
        <v>1257</v>
      </c>
      <c r="F766" s="6">
        <v>25346</v>
      </c>
      <c r="G766" s="45" t="s">
        <v>18</v>
      </c>
      <c r="H766" s="3">
        <v>996713</v>
      </c>
      <c r="I766" s="6">
        <v>0</v>
      </c>
      <c r="J766" s="6">
        <v>0</v>
      </c>
      <c r="K766" s="6">
        <v>3866.4</v>
      </c>
      <c r="L766" s="4">
        <v>0</v>
      </c>
      <c r="M766" s="14" t="s">
        <v>19</v>
      </c>
      <c r="N766" s="15">
        <f t="shared" si="23"/>
        <v>3866.4</v>
      </c>
    </row>
    <row r="767" spans="1:14">
      <c r="A767" s="12">
        <v>766</v>
      </c>
      <c r="B767" s="14"/>
      <c r="C767" s="44" t="s">
        <v>1386</v>
      </c>
      <c r="D767" s="45" t="s">
        <v>946</v>
      </c>
      <c r="E767" s="55">
        <v>45747</v>
      </c>
      <c r="F767" s="34">
        <v>63712</v>
      </c>
      <c r="G767" s="45" t="s">
        <v>18</v>
      </c>
      <c r="H767" s="14">
        <v>996511</v>
      </c>
      <c r="I767" s="14">
        <v>1592.8000000000002</v>
      </c>
      <c r="J767" s="14">
        <v>1592.8000000000002</v>
      </c>
      <c r="K767" s="14">
        <v>0</v>
      </c>
      <c r="L767" s="4">
        <v>0</v>
      </c>
      <c r="M767" s="14" t="s">
        <v>19</v>
      </c>
      <c r="N767" s="14">
        <f t="shared" si="23"/>
        <v>3185.6000000000004</v>
      </c>
    </row>
    <row r="768" spans="1:14">
      <c r="A768" s="12">
        <v>767</v>
      </c>
      <c r="B768" s="14"/>
      <c r="C768" s="44" t="s">
        <v>1386</v>
      </c>
      <c r="D768" s="45" t="s">
        <v>946</v>
      </c>
      <c r="E768" s="55">
        <v>45808</v>
      </c>
      <c r="F768" s="15">
        <v>33761</v>
      </c>
      <c r="G768" s="45" t="s">
        <v>18</v>
      </c>
      <c r="H768" s="14">
        <v>996511</v>
      </c>
      <c r="I768" s="14">
        <v>844.02500000000009</v>
      </c>
      <c r="J768" s="14">
        <v>844.02500000000009</v>
      </c>
      <c r="K768" s="14">
        <v>0</v>
      </c>
      <c r="L768" s="4">
        <v>0</v>
      </c>
      <c r="M768" s="14" t="s">
        <v>19</v>
      </c>
      <c r="N768" s="14">
        <f t="shared" ref="N768:N807" si="24">SUM(I768:L768)</f>
        <v>1688.0500000000002</v>
      </c>
    </row>
    <row r="769" spans="1:14">
      <c r="A769" s="12">
        <v>768</v>
      </c>
      <c r="B769" s="3" t="s">
        <v>1387</v>
      </c>
      <c r="C769" s="45" t="s">
        <v>1388</v>
      </c>
      <c r="D769" s="43" t="s">
        <v>1389</v>
      </c>
      <c r="E769" s="43" t="s">
        <v>438</v>
      </c>
      <c r="F769" s="6">
        <v>15000</v>
      </c>
      <c r="G769" s="45" t="s">
        <v>18</v>
      </c>
      <c r="H769" s="3">
        <v>998525</v>
      </c>
      <c r="I769" s="6">
        <v>1350</v>
      </c>
      <c r="J769" s="6">
        <v>1350</v>
      </c>
      <c r="K769" s="6">
        <v>0</v>
      </c>
      <c r="L769" s="4">
        <v>0</v>
      </c>
      <c r="M769" s="14" t="s">
        <v>19</v>
      </c>
      <c r="N769" s="15">
        <f t="shared" si="24"/>
        <v>2700</v>
      </c>
    </row>
    <row r="770" spans="1:14">
      <c r="A770" s="12">
        <v>769</v>
      </c>
      <c r="B770" s="14"/>
      <c r="C770" s="44" t="s">
        <v>1390</v>
      </c>
      <c r="D770" s="45" t="s">
        <v>946</v>
      </c>
      <c r="E770" s="55">
        <v>45747</v>
      </c>
      <c r="F770" s="34">
        <v>14032</v>
      </c>
      <c r="G770" s="45" t="s">
        <v>18</v>
      </c>
      <c r="H770" s="14">
        <v>996511</v>
      </c>
      <c r="I770" s="14">
        <v>1262.8799999999999</v>
      </c>
      <c r="J770" s="14">
        <v>1262.8799999999999</v>
      </c>
      <c r="K770" s="14">
        <v>0</v>
      </c>
      <c r="L770" s="4">
        <v>0</v>
      </c>
      <c r="M770" s="14" t="s">
        <v>19</v>
      </c>
      <c r="N770" s="14">
        <f t="shared" si="24"/>
        <v>2525.7599999999998</v>
      </c>
    </row>
    <row r="771" spans="1:14">
      <c r="A771" s="12">
        <v>770</v>
      </c>
      <c r="B771" s="3" t="s">
        <v>1387</v>
      </c>
      <c r="C771" s="45" t="s">
        <v>1391</v>
      </c>
      <c r="D771" s="43" t="s">
        <v>1392</v>
      </c>
      <c r="E771" s="43" t="s">
        <v>798</v>
      </c>
      <c r="F771" s="6">
        <v>11786</v>
      </c>
      <c r="G771" s="45" t="s">
        <v>18</v>
      </c>
      <c r="H771" s="3">
        <v>998525</v>
      </c>
      <c r="I771" s="6">
        <v>1060.74</v>
      </c>
      <c r="J771" s="6">
        <v>1060.74</v>
      </c>
      <c r="K771" s="6">
        <v>0</v>
      </c>
      <c r="L771" s="4">
        <v>0</v>
      </c>
      <c r="M771" s="14" t="s">
        <v>19</v>
      </c>
      <c r="N771" s="15">
        <f t="shared" si="24"/>
        <v>2121.48</v>
      </c>
    </row>
    <row r="772" spans="1:14">
      <c r="A772" s="12">
        <v>771</v>
      </c>
      <c r="B772" s="3" t="s">
        <v>1387</v>
      </c>
      <c r="C772" s="45" t="s">
        <v>1391</v>
      </c>
      <c r="D772" s="43" t="s">
        <v>1393</v>
      </c>
      <c r="E772" s="43" t="s">
        <v>1102</v>
      </c>
      <c r="F772" s="6">
        <v>12000</v>
      </c>
      <c r="G772" s="45" t="s">
        <v>18</v>
      </c>
      <c r="H772" s="3">
        <v>998525</v>
      </c>
      <c r="I772" s="6">
        <v>1080</v>
      </c>
      <c r="J772" s="6">
        <v>1080</v>
      </c>
      <c r="K772" s="6">
        <v>0</v>
      </c>
      <c r="L772" s="4">
        <v>0</v>
      </c>
      <c r="M772" s="14" t="s">
        <v>19</v>
      </c>
      <c r="N772" s="15">
        <f t="shared" si="24"/>
        <v>2160</v>
      </c>
    </row>
    <row r="773" spans="1:14">
      <c r="A773" s="12">
        <v>772</v>
      </c>
      <c r="B773" s="3" t="s">
        <v>1387</v>
      </c>
      <c r="C773" s="45" t="s">
        <v>1391</v>
      </c>
      <c r="D773" s="43" t="s">
        <v>1394</v>
      </c>
      <c r="E773" s="43" t="s">
        <v>868</v>
      </c>
      <c r="F773" s="6">
        <v>15000</v>
      </c>
      <c r="G773" s="45" t="s">
        <v>18</v>
      </c>
      <c r="H773" s="3">
        <v>998525</v>
      </c>
      <c r="I773" s="6">
        <v>1350</v>
      </c>
      <c r="J773" s="6">
        <v>1350</v>
      </c>
      <c r="K773" s="6">
        <v>0</v>
      </c>
      <c r="L773" s="4">
        <v>0</v>
      </c>
      <c r="M773" s="14" t="s">
        <v>19</v>
      </c>
      <c r="N773" s="15">
        <f t="shared" si="24"/>
        <v>2700</v>
      </c>
    </row>
    <row r="774" spans="1:14">
      <c r="A774" s="12">
        <v>773</v>
      </c>
      <c r="B774" s="3" t="s">
        <v>1395</v>
      </c>
      <c r="C774" s="43" t="s">
        <v>1396</v>
      </c>
      <c r="D774" s="43" t="s">
        <v>1397</v>
      </c>
      <c r="E774" s="43" t="s">
        <v>79</v>
      </c>
      <c r="F774" s="6">
        <v>1436888</v>
      </c>
      <c r="G774" s="45" t="s">
        <v>18</v>
      </c>
      <c r="H774" s="3">
        <v>996521</v>
      </c>
      <c r="I774" s="6">
        <v>0</v>
      </c>
      <c r="J774" s="6">
        <v>0</v>
      </c>
      <c r="K774" s="6">
        <v>86107.63</v>
      </c>
      <c r="L774" s="4">
        <v>0</v>
      </c>
      <c r="M774" s="14" t="s">
        <v>19</v>
      </c>
      <c r="N774" s="15">
        <f t="shared" si="24"/>
        <v>86107.63</v>
      </c>
    </row>
    <row r="775" spans="1:14">
      <c r="A775" s="12">
        <v>774</v>
      </c>
      <c r="B775" s="3" t="s">
        <v>1395</v>
      </c>
      <c r="C775" s="43" t="s">
        <v>1396</v>
      </c>
      <c r="D775" s="43" t="s">
        <v>1398</v>
      </c>
      <c r="E775" s="43" t="s">
        <v>79</v>
      </c>
      <c r="F775" s="6">
        <v>1436888</v>
      </c>
      <c r="G775" s="45" t="s">
        <v>18</v>
      </c>
      <c r="H775" s="3">
        <v>996521</v>
      </c>
      <c r="I775" s="6">
        <v>0</v>
      </c>
      <c r="J775" s="6">
        <v>0</v>
      </c>
      <c r="K775" s="6">
        <v>86107.63</v>
      </c>
      <c r="L775" s="4">
        <v>0</v>
      </c>
      <c r="M775" s="14" t="s">
        <v>19</v>
      </c>
      <c r="N775" s="15">
        <f t="shared" si="24"/>
        <v>86107.63</v>
      </c>
    </row>
    <row r="776" spans="1:14">
      <c r="A776" s="12">
        <v>775</v>
      </c>
      <c r="B776" s="3" t="s">
        <v>1395</v>
      </c>
      <c r="C776" s="43" t="s">
        <v>1396</v>
      </c>
      <c r="D776" s="43" t="s">
        <v>1399</v>
      </c>
      <c r="E776" s="43" t="s">
        <v>79</v>
      </c>
      <c r="F776" s="6">
        <v>1260975</v>
      </c>
      <c r="G776" s="45" t="s">
        <v>18</v>
      </c>
      <c r="H776" s="3">
        <v>996521</v>
      </c>
      <c r="I776" s="6">
        <v>0</v>
      </c>
      <c r="J776" s="6">
        <v>0</v>
      </c>
      <c r="K776" s="6">
        <v>76025.55</v>
      </c>
      <c r="L776" s="4">
        <v>0</v>
      </c>
      <c r="M776" s="14" t="s">
        <v>19</v>
      </c>
      <c r="N776" s="15">
        <f t="shared" si="24"/>
        <v>76025.55</v>
      </c>
    </row>
    <row r="777" spans="1:14">
      <c r="A777" s="12">
        <v>776</v>
      </c>
      <c r="B777" s="3" t="s">
        <v>1395</v>
      </c>
      <c r="C777" s="43" t="s">
        <v>1396</v>
      </c>
      <c r="D777" s="43" t="s">
        <v>1400</v>
      </c>
      <c r="E777" s="43" t="s">
        <v>79</v>
      </c>
      <c r="F777" s="6">
        <v>1451650</v>
      </c>
      <c r="G777" s="45" t="s">
        <v>18</v>
      </c>
      <c r="H777" s="3">
        <v>996521</v>
      </c>
      <c r="I777" s="6">
        <v>0</v>
      </c>
      <c r="J777" s="6">
        <v>0</v>
      </c>
      <c r="K777" s="6">
        <v>92186.43</v>
      </c>
      <c r="L777" s="4">
        <v>0</v>
      </c>
      <c r="M777" s="14" t="s">
        <v>19</v>
      </c>
      <c r="N777" s="15">
        <f t="shared" si="24"/>
        <v>92186.43</v>
      </c>
    </row>
    <row r="778" spans="1:14">
      <c r="A778" s="12">
        <v>777</v>
      </c>
      <c r="B778" s="3" t="s">
        <v>1401</v>
      </c>
      <c r="C778" s="43" t="s">
        <v>1402</v>
      </c>
      <c r="D778" s="43" t="s">
        <v>1403</v>
      </c>
      <c r="E778" s="43" t="s">
        <v>751</v>
      </c>
      <c r="F778" s="6">
        <v>1256005</v>
      </c>
      <c r="G778" s="45" t="s">
        <v>1159</v>
      </c>
      <c r="H778" s="3">
        <v>1006</v>
      </c>
      <c r="I778" s="6">
        <v>0</v>
      </c>
      <c r="J778" s="6">
        <v>0</v>
      </c>
      <c r="K778" s="6">
        <v>1254.75</v>
      </c>
      <c r="L778" s="4">
        <v>0</v>
      </c>
      <c r="M778" s="14" t="s">
        <v>108</v>
      </c>
      <c r="N778" s="15">
        <f t="shared" si="24"/>
        <v>1254.75</v>
      </c>
    </row>
    <row r="779" spans="1:14">
      <c r="A779" s="12">
        <v>778</v>
      </c>
      <c r="B779" s="3" t="s">
        <v>1401</v>
      </c>
      <c r="C779" s="43" t="s">
        <v>1402</v>
      </c>
      <c r="D779" s="43" t="s">
        <v>1404</v>
      </c>
      <c r="E779" s="43" t="s">
        <v>42</v>
      </c>
      <c r="F779" s="6">
        <v>1256005</v>
      </c>
      <c r="G779" s="45" t="s">
        <v>1159</v>
      </c>
      <c r="H779" s="3">
        <v>1006</v>
      </c>
      <c r="I779" s="6">
        <v>0</v>
      </c>
      <c r="J779" s="6">
        <v>0</v>
      </c>
      <c r="K779" s="6">
        <v>1254.75</v>
      </c>
      <c r="L779" s="4">
        <v>0</v>
      </c>
      <c r="M779" s="14" t="s">
        <v>108</v>
      </c>
      <c r="N779" s="15">
        <f t="shared" si="24"/>
        <v>1254.75</v>
      </c>
    </row>
    <row r="780" spans="1:14">
      <c r="A780" s="12">
        <v>779</v>
      </c>
      <c r="B780" s="3" t="s">
        <v>1401</v>
      </c>
      <c r="C780" s="43" t="s">
        <v>1402</v>
      </c>
      <c r="D780" s="43" t="s">
        <v>1405</v>
      </c>
      <c r="E780" s="43" t="s">
        <v>42</v>
      </c>
      <c r="F780" s="6">
        <v>1256005</v>
      </c>
      <c r="G780" s="45" t="s">
        <v>1159</v>
      </c>
      <c r="H780" s="3">
        <v>1006</v>
      </c>
      <c r="I780" s="6">
        <v>0</v>
      </c>
      <c r="J780" s="6">
        <v>0</v>
      </c>
      <c r="K780" s="6">
        <v>1254.75</v>
      </c>
      <c r="L780" s="4">
        <v>0</v>
      </c>
      <c r="M780" s="14" t="s">
        <v>108</v>
      </c>
      <c r="N780" s="15">
        <f t="shared" si="24"/>
        <v>1254.75</v>
      </c>
    </row>
    <row r="781" spans="1:14">
      <c r="A781" s="12">
        <v>780</v>
      </c>
      <c r="B781" s="3" t="s">
        <v>1401</v>
      </c>
      <c r="C781" s="43" t="s">
        <v>1402</v>
      </c>
      <c r="D781" s="43" t="s">
        <v>1406</v>
      </c>
      <c r="E781" s="43" t="s">
        <v>42</v>
      </c>
      <c r="F781" s="6">
        <v>1076576</v>
      </c>
      <c r="G781" s="45" t="s">
        <v>1159</v>
      </c>
      <c r="H781" s="3">
        <v>1006</v>
      </c>
      <c r="I781" s="6">
        <v>0</v>
      </c>
      <c r="J781" s="6">
        <v>0</v>
      </c>
      <c r="K781" s="6">
        <v>1075.5</v>
      </c>
      <c r="L781" s="4">
        <v>0</v>
      </c>
      <c r="M781" s="14" t="s">
        <v>108</v>
      </c>
      <c r="N781" s="15">
        <f t="shared" si="24"/>
        <v>1075.5</v>
      </c>
    </row>
    <row r="782" spans="1:14">
      <c r="A782" s="12">
        <v>781</v>
      </c>
      <c r="B782" s="3" t="s">
        <v>1401</v>
      </c>
      <c r="C782" s="43" t="s">
        <v>1402</v>
      </c>
      <c r="D782" s="43" t="s">
        <v>1407</v>
      </c>
      <c r="E782" s="43" t="s">
        <v>44</v>
      </c>
      <c r="F782" s="6">
        <v>1256005</v>
      </c>
      <c r="G782" s="45" t="s">
        <v>1159</v>
      </c>
      <c r="H782" s="3">
        <v>1006</v>
      </c>
      <c r="I782" s="6">
        <v>0</v>
      </c>
      <c r="J782" s="6">
        <v>0</v>
      </c>
      <c r="K782" s="6">
        <v>1254.75</v>
      </c>
      <c r="L782" s="4">
        <v>0</v>
      </c>
      <c r="M782" s="14" t="s">
        <v>108</v>
      </c>
      <c r="N782" s="15">
        <f t="shared" si="24"/>
        <v>1254.75</v>
      </c>
    </row>
    <row r="783" spans="1:14">
      <c r="A783" s="12">
        <v>782</v>
      </c>
      <c r="B783" s="3" t="s">
        <v>1401</v>
      </c>
      <c r="C783" s="43" t="s">
        <v>1402</v>
      </c>
      <c r="D783" s="43" t="s">
        <v>1408</v>
      </c>
      <c r="E783" s="43" t="s">
        <v>44</v>
      </c>
      <c r="F783" s="6">
        <v>1256005</v>
      </c>
      <c r="G783" s="45" t="s">
        <v>1159</v>
      </c>
      <c r="H783" s="3">
        <v>1006</v>
      </c>
      <c r="I783" s="6">
        <v>0</v>
      </c>
      <c r="J783" s="6">
        <v>0</v>
      </c>
      <c r="K783" s="6">
        <v>1254.75</v>
      </c>
      <c r="L783" s="4">
        <v>0</v>
      </c>
      <c r="M783" s="14" t="s">
        <v>108</v>
      </c>
      <c r="N783" s="15">
        <f t="shared" si="24"/>
        <v>1254.75</v>
      </c>
    </row>
    <row r="784" spans="1:14">
      <c r="A784" s="12">
        <v>783</v>
      </c>
      <c r="B784" s="3" t="s">
        <v>1409</v>
      </c>
      <c r="C784" s="43" t="s">
        <v>1410</v>
      </c>
      <c r="D784" s="43" t="s">
        <v>1411</v>
      </c>
      <c r="E784" s="43" t="s">
        <v>59</v>
      </c>
      <c r="F784" s="6">
        <v>121683</v>
      </c>
      <c r="G784" s="45" t="s">
        <v>18</v>
      </c>
      <c r="H784" s="3">
        <v>998816</v>
      </c>
      <c r="I784" s="6">
        <v>0</v>
      </c>
      <c r="J784" s="6">
        <v>0</v>
      </c>
      <c r="K784" s="6">
        <v>5794.43</v>
      </c>
      <c r="L784" s="4">
        <v>0</v>
      </c>
      <c r="M784" s="14" t="s">
        <v>19</v>
      </c>
      <c r="N784" s="15">
        <f t="shared" si="24"/>
        <v>5794.43</v>
      </c>
    </row>
    <row r="785" spans="1:14">
      <c r="A785" s="12">
        <v>784</v>
      </c>
      <c r="B785" s="3" t="s">
        <v>1409</v>
      </c>
      <c r="C785" s="43" t="s">
        <v>1410</v>
      </c>
      <c r="D785" s="43" t="s">
        <v>1412</v>
      </c>
      <c r="E785" s="43" t="s">
        <v>831</v>
      </c>
      <c r="F785" s="6">
        <v>493894</v>
      </c>
      <c r="G785" s="45" t="s">
        <v>18</v>
      </c>
      <c r="H785" s="3">
        <v>998816</v>
      </c>
      <c r="I785" s="6">
        <v>0</v>
      </c>
      <c r="J785" s="6">
        <v>0</v>
      </c>
      <c r="K785" s="6">
        <v>23518.75</v>
      </c>
      <c r="L785" s="4">
        <v>0</v>
      </c>
      <c r="M785" s="14" t="s">
        <v>19</v>
      </c>
      <c r="N785" s="15">
        <f t="shared" si="24"/>
        <v>23518.75</v>
      </c>
    </row>
    <row r="786" spans="1:14">
      <c r="A786" s="12">
        <v>785</v>
      </c>
      <c r="B786" s="3" t="s">
        <v>1409</v>
      </c>
      <c r="C786" s="43" t="s">
        <v>1410</v>
      </c>
      <c r="D786" s="43" t="s">
        <v>1413</v>
      </c>
      <c r="E786" s="43" t="s">
        <v>93</v>
      </c>
      <c r="F786" s="6">
        <v>286187</v>
      </c>
      <c r="G786" s="45" t="s">
        <v>18</v>
      </c>
      <c r="H786" s="3">
        <v>998816</v>
      </c>
      <c r="I786" s="6">
        <v>0</v>
      </c>
      <c r="J786" s="6">
        <v>0</v>
      </c>
      <c r="K786" s="6">
        <v>13627.95</v>
      </c>
      <c r="L786" s="4">
        <v>0</v>
      </c>
      <c r="M786" s="14" t="s">
        <v>19</v>
      </c>
      <c r="N786" s="15">
        <f t="shared" si="24"/>
        <v>13627.95</v>
      </c>
    </row>
    <row r="787" spans="1:14">
      <c r="A787" s="12">
        <v>786</v>
      </c>
      <c r="B787" s="14"/>
      <c r="C787" s="44" t="s">
        <v>1414</v>
      </c>
      <c r="D787" s="45" t="s">
        <v>946</v>
      </c>
      <c r="E787" s="55">
        <v>45716</v>
      </c>
      <c r="F787" s="34">
        <v>12288</v>
      </c>
      <c r="G787" s="45" t="s">
        <v>18</v>
      </c>
      <c r="H787" s="14">
        <v>996511</v>
      </c>
      <c r="I787" s="14">
        <v>308</v>
      </c>
      <c r="J787" s="14">
        <v>308</v>
      </c>
      <c r="K787" s="14">
        <v>0</v>
      </c>
      <c r="L787" s="4">
        <v>0</v>
      </c>
      <c r="M787" s="14" t="s">
        <v>19</v>
      </c>
      <c r="N787" s="14">
        <f t="shared" si="24"/>
        <v>616</v>
      </c>
    </row>
    <row r="788" spans="1:14">
      <c r="A788" s="12">
        <v>787</v>
      </c>
      <c r="B788" s="14"/>
      <c r="C788" s="44" t="s">
        <v>1414</v>
      </c>
      <c r="D788" s="45" t="s">
        <v>946</v>
      </c>
      <c r="E788" s="55">
        <v>45716</v>
      </c>
      <c r="F788" s="34">
        <v>10703</v>
      </c>
      <c r="G788" s="45" t="s">
        <v>18</v>
      </c>
      <c r="H788" s="14">
        <v>996511</v>
      </c>
      <c r="I788" s="14">
        <v>268</v>
      </c>
      <c r="J788" s="14">
        <v>268</v>
      </c>
      <c r="K788" s="14">
        <v>0</v>
      </c>
      <c r="L788" s="4">
        <v>0</v>
      </c>
      <c r="M788" s="14" t="s">
        <v>19</v>
      </c>
      <c r="N788" s="14">
        <f t="shared" si="24"/>
        <v>536</v>
      </c>
    </row>
    <row r="789" spans="1:14">
      <c r="A789" s="12">
        <v>788</v>
      </c>
      <c r="B789" s="14"/>
      <c r="C789" s="44" t="s">
        <v>1414</v>
      </c>
      <c r="D789" s="45" t="s">
        <v>946</v>
      </c>
      <c r="E789" s="55">
        <v>45808</v>
      </c>
      <c r="F789" s="15">
        <v>20504</v>
      </c>
      <c r="G789" s="45" t="s">
        <v>18</v>
      </c>
      <c r="H789" s="14">
        <v>996511</v>
      </c>
      <c r="I789" s="14">
        <v>512.6</v>
      </c>
      <c r="J789" s="14">
        <v>512.6</v>
      </c>
      <c r="K789" s="14">
        <v>0</v>
      </c>
      <c r="L789" s="4">
        <v>0</v>
      </c>
      <c r="M789" s="14" t="s">
        <v>19</v>
      </c>
      <c r="N789" s="14">
        <f t="shared" si="24"/>
        <v>1025.2</v>
      </c>
    </row>
    <row r="790" spans="1:14">
      <c r="A790" s="12">
        <v>789</v>
      </c>
      <c r="B790" s="3" t="s">
        <v>1415</v>
      </c>
      <c r="C790" s="43" t="s">
        <v>1416</v>
      </c>
      <c r="D790" s="43" t="s">
        <v>1417</v>
      </c>
      <c r="E790" s="43" t="s">
        <v>1418</v>
      </c>
      <c r="F790" s="6">
        <v>241457</v>
      </c>
      <c r="G790" s="45" t="s">
        <v>18</v>
      </c>
      <c r="H790" s="3">
        <v>997157</v>
      </c>
      <c r="I790" s="6">
        <v>0</v>
      </c>
      <c r="J790" s="6">
        <v>0</v>
      </c>
      <c r="K790" s="6">
        <v>307.04000000000002</v>
      </c>
      <c r="L790" s="4">
        <v>0</v>
      </c>
      <c r="M790" s="14" t="s">
        <v>19</v>
      </c>
      <c r="N790" s="15">
        <f t="shared" si="24"/>
        <v>307.04000000000002</v>
      </c>
    </row>
    <row r="791" spans="1:14">
      <c r="A791" s="12">
        <v>790</v>
      </c>
      <c r="B791" s="3" t="s">
        <v>1415</v>
      </c>
      <c r="C791" s="43" t="s">
        <v>1416</v>
      </c>
      <c r="D791" s="43" t="s">
        <v>1419</v>
      </c>
      <c r="E791" s="43" t="s">
        <v>1420</v>
      </c>
      <c r="F791" s="6">
        <v>242718</v>
      </c>
      <c r="G791" s="45" t="s">
        <v>18</v>
      </c>
      <c r="H791" s="3">
        <v>997157</v>
      </c>
      <c r="I791" s="6">
        <v>0</v>
      </c>
      <c r="J791" s="6">
        <v>0</v>
      </c>
      <c r="K791" s="6">
        <v>308.17</v>
      </c>
      <c r="L791" s="4">
        <v>0</v>
      </c>
      <c r="M791" s="14" t="s">
        <v>19</v>
      </c>
      <c r="N791" s="15">
        <f t="shared" si="24"/>
        <v>308.17</v>
      </c>
    </row>
    <row r="792" spans="1:14">
      <c r="A792" s="12">
        <v>791</v>
      </c>
      <c r="B792" s="3" t="s">
        <v>1421</v>
      </c>
      <c r="C792" s="43" t="s">
        <v>1422</v>
      </c>
      <c r="D792" s="43" t="s">
        <v>1423</v>
      </c>
      <c r="E792" s="43" t="s">
        <v>1424</v>
      </c>
      <c r="F792" s="6">
        <v>855375.4</v>
      </c>
      <c r="G792" s="45" t="s">
        <v>18</v>
      </c>
      <c r="H792" s="3">
        <v>1006</v>
      </c>
      <c r="I792" s="6">
        <v>0</v>
      </c>
      <c r="J792" s="6">
        <v>0</v>
      </c>
      <c r="K792" s="6">
        <v>0</v>
      </c>
      <c r="L792" s="4">
        <v>0</v>
      </c>
      <c r="M792" s="14" t="s">
        <v>19</v>
      </c>
      <c r="N792" s="15">
        <f t="shared" si="24"/>
        <v>0</v>
      </c>
    </row>
    <row r="793" spans="1:14">
      <c r="A793" s="12">
        <v>792</v>
      </c>
      <c r="B793" s="3" t="s">
        <v>1421</v>
      </c>
      <c r="C793" s="43" t="s">
        <v>1422</v>
      </c>
      <c r="D793" s="43" t="s">
        <v>1425</v>
      </c>
      <c r="E793" s="43" t="s">
        <v>1424</v>
      </c>
      <c r="F793" s="6">
        <v>818087.6</v>
      </c>
      <c r="G793" s="45" t="s">
        <v>18</v>
      </c>
      <c r="H793" s="3">
        <v>1006</v>
      </c>
      <c r="I793" s="6">
        <v>0</v>
      </c>
      <c r="J793" s="6">
        <v>0</v>
      </c>
      <c r="K793" s="6">
        <v>0</v>
      </c>
      <c r="L793" s="4">
        <v>0</v>
      </c>
      <c r="M793" s="14" t="s">
        <v>19</v>
      </c>
      <c r="N793" s="15">
        <f t="shared" si="24"/>
        <v>0</v>
      </c>
    </row>
    <row r="794" spans="1:14">
      <c r="A794" s="12">
        <v>793</v>
      </c>
      <c r="B794" s="3" t="s">
        <v>1421</v>
      </c>
      <c r="C794" s="43" t="s">
        <v>1422</v>
      </c>
      <c r="D794" s="43" t="s">
        <v>1426</v>
      </c>
      <c r="E794" s="43" t="s">
        <v>449</v>
      </c>
      <c r="F794" s="6">
        <v>438296.25</v>
      </c>
      <c r="G794" s="45" t="s">
        <v>18</v>
      </c>
      <c r="H794" s="3">
        <v>1006</v>
      </c>
      <c r="I794" s="6">
        <v>0</v>
      </c>
      <c r="J794" s="6">
        <v>0</v>
      </c>
      <c r="K794" s="6">
        <v>0</v>
      </c>
      <c r="L794" s="4">
        <v>0</v>
      </c>
      <c r="M794" s="14" t="s">
        <v>19</v>
      </c>
      <c r="N794" s="15">
        <f t="shared" si="24"/>
        <v>0</v>
      </c>
    </row>
    <row r="795" spans="1:14">
      <c r="A795" s="12">
        <v>794</v>
      </c>
      <c r="B795" s="3" t="s">
        <v>1421</v>
      </c>
      <c r="C795" s="43" t="s">
        <v>1422</v>
      </c>
      <c r="D795" s="43" t="s">
        <v>1427</v>
      </c>
      <c r="E795" s="43" t="s">
        <v>1428</v>
      </c>
      <c r="F795" s="6">
        <v>425859</v>
      </c>
      <c r="G795" s="45" t="s">
        <v>18</v>
      </c>
      <c r="H795" s="3">
        <v>1006</v>
      </c>
      <c r="I795" s="6">
        <v>0</v>
      </c>
      <c r="J795" s="6">
        <v>0</v>
      </c>
      <c r="K795" s="6">
        <v>0</v>
      </c>
      <c r="L795" s="4">
        <v>0</v>
      </c>
      <c r="M795" s="14" t="s">
        <v>19</v>
      </c>
      <c r="N795" s="15">
        <f t="shared" si="24"/>
        <v>0</v>
      </c>
    </row>
    <row r="796" spans="1:14">
      <c r="A796" s="12">
        <v>795</v>
      </c>
      <c r="B796" s="3" t="s">
        <v>1429</v>
      </c>
      <c r="C796" s="43" t="s">
        <v>1430</v>
      </c>
      <c r="D796" s="43" t="s">
        <v>1431</v>
      </c>
      <c r="E796" s="43" t="s">
        <v>1257</v>
      </c>
      <c r="F796" s="6">
        <v>21240</v>
      </c>
      <c r="G796" s="45" t="s">
        <v>18</v>
      </c>
      <c r="H796" s="3">
        <v>9982</v>
      </c>
      <c r="I796" s="6">
        <v>0</v>
      </c>
      <c r="J796" s="6">
        <v>0</v>
      </c>
      <c r="K796" s="6">
        <v>3240</v>
      </c>
      <c r="L796" s="4">
        <v>0</v>
      </c>
      <c r="M796" s="14" t="s">
        <v>19</v>
      </c>
      <c r="N796" s="15">
        <f t="shared" si="24"/>
        <v>3240</v>
      </c>
    </row>
    <row r="797" spans="1:14">
      <c r="A797" s="12">
        <v>796</v>
      </c>
      <c r="B797" s="3" t="s">
        <v>1432</v>
      </c>
      <c r="C797" s="43" t="s">
        <v>1433</v>
      </c>
      <c r="D797" s="43" t="s">
        <v>1434</v>
      </c>
      <c r="E797" s="43" t="s">
        <v>467</v>
      </c>
      <c r="F797" s="6">
        <v>749300</v>
      </c>
      <c r="G797" s="45" t="s">
        <v>24</v>
      </c>
      <c r="H797" s="3">
        <v>63051030</v>
      </c>
      <c r="I797" s="6">
        <v>0</v>
      </c>
      <c r="J797" s="6">
        <v>0</v>
      </c>
      <c r="K797" s="6">
        <v>114300</v>
      </c>
      <c r="L797" s="4">
        <v>0</v>
      </c>
      <c r="M797" s="14" t="s">
        <v>108</v>
      </c>
      <c r="N797" s="15">
        <f t="shared" si="24"/>
        <v>114300</v>
      </c>
    </row>
    <row r="798" spans="1:14">
      <c r="A798" s="12">
        <v>797</v>
      </c>
      <c r="B798" s="3" t="s">
        <v>1432</v>
      </c>
      <c r="C798" s="43" t="s">
        <v>1433</v>
      </c>
      <c r="D798" s="43" t="s">
        <v>1435</v>
      </c>
      <c r="E798" s="43" t="s">
        <v>1161</v>
      </c>
      <c r="F798" s="6">
        <v>475656</v>
      </c>
      <c r="G798" s="45" t="s">
        <v>24</v>
      </c>
      <c r="H798" s="3">
        <v>63051030</v>
      </c>
      <c r="I798" s="6">
        <v>0</v>
      </c>
      <c r="J798" s="6">
        <v>0</v>
      </c>
      <c r="K798" s="6">
        <v>72557.64</v>
      </c>
      <c r="L798" s="4">
        <v>0</v>
      </c>
      <c r="M798" s="14" t="s">
        <v>108</v>
      </c>
      <c r="N798" s="15">
        <f t="shared" si="24"/>
        <v>72557.64</v>
      </c>
    </row>
    <row r="799" spans="1:14">
      <c r="A799" s="12">
        <v>798</v>
      </c>
      <c r="B799" s="3" t="s">
        <v>1432</v>
      </c>
      <c r="C799" s="43" t="s">
        <v>1433</v>
      </c>
      <c r="D799" s="43" t="s">
        <v>1436</v>
      </c>
      <c r="E799" s="43" t="s">
        <v>1437</v>
      </c>
      <c r="F799" s="6">
        <v>60977</v>
      </c>
      <c r="G799" s="45" t="s">
        <v>24</v>
      </c>
      <c r="H799" s="3">
        <v>63051030</v>
      </c>
      <c r="I799" s="6">
        <v>0</v>
      </c>
      <c r="J799" s="6">
        <v>0</v>
      </c>
      <c r="K799" s="6">
        <v>9301.5</v>
      </c>
      <c r="L799" s="4">
        <v>0</v>
      </c>
      <c r="M799" s="14" t="s">
        <v>108</v>
      </c>
      <c r="N799" s="15">
        <f t="shared" si="24"/>
        <v>9301.5</v>
      </c>
    </row>
    <row r="800" spans="1:14">
      <c r="A800" s="12">
        <v>799</v>
      </c>
      <c r="B800" s="3" t="s">
        <v>1432</v>
      </c>
      <c r="C800" s="43" t="s">
        <v>1433</v>
      </c>
      <c r="D800" s="43" t="s">
        <v>1438</v>
      </c>
      <c r="E800" s="43" t="s">
        <v>1437</v>
      </c>
      <c r="F800" s="6">
        <v>60977</v>
      </c>
      <c r="G800" s="45" t="s">
        <v>24</v>
      </c>
      <c r="H800" s="3">
        <v>63051030</v>
      </c>
      <c r="I800" s="6">
        <v>0</v>
      </c>
      <c r="J800" s="6">
        <v>0</v>
      </c>
      <c r="K800" s="6">
        <v>9301.5</v>
      </c>
      <c r="L800" s="4">
        <v>0</v>
      </c>
      <c r="M800" s="14" t="s">
        <v>108</v>
      </c>
      <c r="N800" s="15">
        <f t="shared" si="24"/>
        <v>9301.5</v>
      </c>
    </row>
    <row r="801" spans="1:14">
      <c r="A801" s="12">
        <v>800</v>
      </c>
      <c r="B801" s="3" t="s">
        <v>1432</v>
      </c>
      <c r="C801" s="43" t="s">
        <v>1433</v>
      </c>
      <c r="D801" s="43" t="s">
        <v>1439</v>
      </c>
      <c r="E801" s="43" t="s">
        <v>1437</v>
      </c>
      <c r="F801" s="6">
        <v>60977</v>
      </c>
      <c r="G801" s="45" t="s">
        <v>24</v>
      </c>
      <c r="H801" s="3">
        <v>63051030</v>
      </c>
      <c r="I801" s="6">
        <v>0</v>
      </c>
      <c r="J801" s="6">
        <v>0</v>
      </c>
      <c r="K801" s="6">
        <v>9301.5</v>
      </c>
      <c r="L801" s="4">
        <v>0</v>
      </c>
      <c r="M801" s="14" t="s">
        <v>108</v>
      </c>
      <c r="N801" s="15">
        <f t="shared" si="24"/>
        <v>9301.5</v>
      </c>
    </row>
    <row r="802" spans="1:14">
      <c r="A802" s="12">
        <v>801</v>
      </c>
      <c r="B802" s="3" t="s">
        <v>1432</v>
      </c>
      <c r="C802" s="43" t="s">
        <v>1433</v>
      </c>
      <c r="D802" s="43" t="s">
        <v>1440</v>
      </c>
      <c r="E802" s="43" t="s">
        <v>1437</v>
      </c>
      <c r="F802" s="6">
        <v>60977</v>
      </c>
      <c r="G802" s="45" t="s">
        <v>24</v>
      </c>
      <c r="H802" s="3">
        <v>63051030</v>
      </c>
      <c r="I802" s="6">
        <v>0</v>
      </c>
      <c r="J802" s="6">
        <v>0</v>
      </c>
      <c r="K802" s="6">
        <v>9301.5</v>
      </c>
      <c r="L802" s="4">
        <v>0</v>
      </c>
      <c r="M802" s="14" t="s">
        <v>108</v>
      </c>
      <c r="N802" s="15">
        <f t="shared" si="24"/>
        <v>9301.5</v>
      </c>
    </row>
    <row r="803" spans="1:14">
      <c r="A803" s="12">
        <v>802</v>
      </c>
      <c r="B803" s="3" t="s">
        <v>1432</v>
      </c>
      <c r="C803" s="43" t="s">
        <v>1433</v>
      </c>
      <c r="D803" s="43" t="s">
        <v>1441</v>
      </c>
      <c r="E803" s="43" t="s">
        <v>1437</v>
      </c>
      <c r="F803" s="6">
        <v>60977</v>
      </c>
      <c r="G803" s="45" t="s">
        <v>24</v>
      </c>
      <c r="H803" s="3">
        <v>63051030</v>
      </c>
      <c r="I803" s="6">
        <v>0</v>
      </c>
      <c r="J803" s="6">
        <v>0</v>
      </c>
      <c r="K803" s="6">
        <v>9301.5</v>
      </c>
      <c r="L803" s="4">
        <v>0</v>
      </c>
      <c r="M803" s="14" t="s">
        <v>108</v>
      </c>
      <c r="N803" s="15">
        <f t="shared" si="24"/>
        <v>9301.5</v>
      </c>
    </row>
    <row r="804" spans="1:14">
      <c r="A804" s="12">
        <v>803</v>
      </c>
      <c r="B804" s="3" t="s">
        <v>1432</v>
      </c>
      <c r="C804" s="43" t="s">
        <v>1433</v>
      </c>
      <c r="D804" s="43" t="s">
        <v>1442</v>
      </c>
      <c r="E804" s="43" t="s">
        <v>1437</v>
      </c>
      <c r="F804" s="6">
        <v>60977</v>
      </c>
      <c r="G804" s="45" t="s">
        <v>24</v>
      </c>
      <c r="H804" s="3">
        <v>63051030</v>
      </c>
      <c r="I804" s="6">
        <v>0</v>
      </c>
      <c r="J804" s="6">
        <v>0</v>
      </c>
      <c r="K804" s="6">
        <v>9301.5</v>
      </c>
      <c r="L804" s="4">
        <v>0</v>
      </c>
      <c r="M804" s="14" t="s">
        <v>108</v>
      </c>
      <c r="N804" s="15">
        <f t="shared" si="24"/>
        <v>9301.5</v>
      </c>
    </row>
    <row r="805" spans="1:14">
      <c r="A805" s="12">
        <v>804</v>
      </c>
      <c r="B805" s="3" t="s">
        <v>1432</v>
      </c>
      <c r="C805" s="43" t="s">
        <v>1433</v>
      </c>
      <c r="D805" s="43" t="s">
        <v>1443</v>
      </c>
      <c r="E805" s="43" t="s">
        <v>843</v>
      </c>
      <c r="F805" s="6">
        <v>128856</v>
      </c>
      <c r="G805" s="45" t="s">
        <v>24</v>
      </c>
      <c r="H805" s="3">
        <v>63051030</v>
      </c>
      <c r="I805" s="6">
        <v>0</v>
      </c>
      <c r="J805" s="6">
        <v>0</v>
      </c>
      <c r="K805" s="6">
        <v>19656</v>
      </c>
      <c r="L805" s="4">
        <v>0</v>
      </c>
      <c r="M805" s="14" t="s">
        <v>108</v>
      </c>
      <c r="N805" s="15">
        <f t="shared" si="24"/>
        <v>19656</v>
      </c>
    </row>
    <row r="806" spans="1:14">
      <c r="A806" s="12">
        <v>805</v>
      </c>
      <c r="B806" s="3" t="s">
        <v>1432</v>
      </c>
      <c r="C806" s="43" t="s">
        <v>1433</v>
      </c>
      <c r="D806" s="43" t="s">
        <v>1444</v>
      </c>
      <c r="E806" s="43" t="s">
        <v>834</v>
      </c>
      <c r="F806" s="6">
        <v>16107</v>
      </c>
      <c r="G806" s="45" t="s">
        <v>24</v>
      </c>
      <c r="H806" s="3">
        <v>63051030</v>
      </c>
      <c r="I806" s="6">
        <v>0</v>
      </c>
      <c r="J806" s="6">
        <v>0</v>
      </c>
      <c r="K806" s="6">
        <v>2457</v>
      </c>
      <c r="L806" s="4">
        <v>0</v>
      </c>
      <c r="M806" s="14" t="s">
        <v>108</v>
      </c>
      <c r="N806" s="15">
        <f t="shared" si="24"/>
        <v>2457</v>
      </c>
    </row>
    <row r="807" spans="1:14">
      <c r="A807" s="12">
        <v>806</v>
      </c>
      <c r="B807" s="3" t="s">
        <v>1432</v>
      </c>
      <c r="C807" s="43" t="s">
        <v>1433</v>
      </c>
      <c r="D807" s="43" t="s">
        <v>1445</v>
      </c>
      <c r="E807" s="43" t="s">
        <v>1255</v>
      </c>
      <c r="F807" s="6">
        <v>330942</v>
      </c>
      <c r="G807" s="45" t="s">
        <v>24</v>
      </c>
      <c r="H807" s="3">
        <v>63051030</v>
      </c>
      <c r="I807" s="6">
        <v>0</v>
      </c>
      <c r="J807" s="6">
        <v>0</v>
      </c>
      <c r="K807" s="6">
        <v>50482.62</v>
      </c>
      <c r="L807" s="4">
        <v>0</v>
      </c>
      <c r="M807" s="14" t="s">
        <v>108</v>
      </c>
      <c r="N807" s="15">
        <f t="shared" si="24"/>
        <v>50482.62</v>
      </c>
    </row>
    <row r="808" spans="1:14">
      <c r="A808" s="12">
        <v>807</v>
      </c>
      <c r="B808" s="3" t="s">
        <v>1446</v>
      </c>
      <c r="C808" s="45" t="s">
        <v>1447</v>
      </c>
      <c r="D808" s="43" t="s">
        <v>1448</v>
      </c>
      <c r="E808" s="43" t="s">
        <v>751</v>
      </c>
      <c r="F808" s="6">
        <v>24000</v>
      </c>
      <c r="G808" s="45" t="s">
        <v>18</v>
      </c>
      <c r="H808" s="3">
        <v>85176290</v>
      </c>
      <c r="I808" s="6">
        <v>1830.51</v>
      </c>
      <c r="J808" s="6">
        <v>1830.51</v>
      </c>
      <c r="K808" s="6">
        <v>0</v>
      </c>
      <c r="L808" s="4">
        <v>0</v>
      </c>
      <c r="M808" s="14" t="s">
        <v>157</v>
      </c>
      <c r="N808" s="15" t="s">
        <v>202</v>
      </c>
    </row>
    <row r="809" spans="1:14">
      <c r="A809" s="12">
        <v>808</v>
      </c>
      <c r="B809" s="3" t="s">
        <v>1449</v>
      </c>
      <c r="C809" s="43" t="s">
        <v>1450</v>
      </c>
      <c r="D809" s="43" t="s">
        <v>1451</v>
      </c>
      <c r="E809" s="43" t="s">
        <v>775</v>
      </c>
      <c r="F809" s="6">
        <v>1000000</v>
      </c>
      <c r="G809" s="45" t="s">
        <v>156</v>
      </c>
      <c r="H809" s="3">
        <v>71131910</v>
      </c>
      <c r="I809" s="6">
        <v>0</v>
      </c>
      <c r="J809" s="6">
        <v>0</v>
      </c>
      <c r="K809" s="6">
        <v>29126.22</v>
      </c>
      <c r="L809" s="4">
        <v>0</v>
      </c>
      <c r="M809" s="14" t="s">
        <v>157</v>
      </c>
      <c r="N809" s="15" t="s">
        <v>202</v>
      </c>
    </row>
    <row r="810" spans="1:14">
      <c r="A810" s="12">
        <v>809</v>
      </c>
      <c r="B810" s="3" t="s">
        <v>1449</v>
      </c>
      <c r="C810" s="43" t="s">
        <v>1450</v>
      </c>
      <c r="D810" s="43" t="s">
        <v>1452</v>
      </c>
      <c r="E810" s="43" t="s">
        <v>454</v>
      </c>
      <c r="F810" s="6">
        <v>500000</v>
      </c>
      <c r="G810" s="45" t="s">
        <v>156</v>
      </c>
      <c r="H810" s="3">
        <v>71131910</v>
      </c>
      <c r="I810" s="6">
        <v>0</v>
      </c>
      <c r="J810" s="6">
        <v>0</v>
      </c>
      <c r="K810" s="6">
        <v>14563.11</v>
      </c>
      <c r="L810" s="4">
        <v>0</v>
      </c>
      <c r="M810" s="14" t="s">
        <v>157</v>
      </c>
      <c r="N810" s="15" t="s">
        <v>202</v>
      </c>
    </row>
    <row r="811" spans="1:14">
      <c r="A811" s="12">
        <v>810</v>
      </c>
      <c r="B811" s="3" t="s">
        <v>1449</v>
      </c>
      <c r="C811" s="43" t="s">
        <v>1450</v>
      </c>
      <c r="D811" s="43" t="s">
        <v>1453</v>
      </c>
      <c r="E811" s="43" t="s">
        <v>964</v>
      </c>
      <c r="F811" s="6">
        <v>500000</v>
      </c>
      <c r="G811" s="45" t="s">
        <v>156</v>
      </c>
      <c r="H811" s="3">
        <v>71131910</v>
      </c>
      <c r="I811" s="6">
        <v>0</v>
      </c>
      <c r="J811" s="6">
        <v>0</v>
      </c>
      <c r="K811" s="6">
        <v>14563.11</v>
      </c>
      <c r="L811" s="4">
        <v>0</v>
      </c>
      <c r="M811" s="14" t="s">
        <v>157</v>
      </c>
      <c r="N811" s="15" t="s">
        <v>202</v>
      </c>
    </row>
    <row r="812" spans="1:14">
      <c r="A812" s="12">
        <v>811</v>
      </c>
      <c r="B812" s="3" t="s">
        <v>1454</v>
      </c>
      <c r="C812" s="43" t="s">
        <v>1455</v>
      </c>
      <c r="D812" s="43" t="s">
        <v>1456</v>
      </c>
      <c r="E812" s="43" t="s">
        <v>30</v>
      </c>
      <c r="F812" s="6">
        <v>24190</v>
      </c>
      <c r="G812" s="45" t="s">
        <v>18</v>
      </c>
      <c r="H812" s="3">
        <v>999799</v>
      </c>
      <c r="I812" s="6">
        <v>0</v>
      </c>
      <c r="J812" s="6">
        <v>0</v>
      </c>
      <c r="K812" s="6">
        <v>3690</v>
      </c>
      <c r="L812" s="4">
        <v>0</v>
      </c>
      <c r="M812" s="14" t="s">
        <v>19</v>
      </c>
      <c r="N812" s="15">
        <f t="shared" ref="N812:N875" si="25">SUM(I812:L812)</f>
        <v>3690</v>
      </c>
    </row>
    <row r="813" spans="1:14">
      <c r="A813" s="12">
        <v>812</v>
      </c>
      <c r="B813" s="3" t="s">
        <v>1454</v>
      </c>
      <c r="C813" s="43" t="s">
        <v>1455</v>
      </c>
      <c r="D813" s="43" t="s">
        <v>1457</v>
      </c>
      <c r="E813" s="43" t="s">
        <v>30</v>
      </c>
      <c r="F813" s="6">
        <v>24190</v>
      </c>
      <c r="G813" s="45" t="s">
        <v>18</v>
      </c>
      <c r="H813" s="3">
        <v>999799</v>
      </c>
      <c r="I813" s="6">
        <v>0</v>
      </c>
      <c r="J813" s="6">
        <v>0</v>
      </c>
      <c r="K813" s="6">
        <v>3690</v>
      </c>
      <c r="L813" s="4">
        <v>0</v>
      </c>
      <c r="M813" s="14" t="s">
        <v>19</v>
      </c>
      <c r="N813" s="15">
        <f t="shared" si="25"/>
        <v>3690</v>
      </c>
    </row>
    <row r="814" spans="1:14">
      <c r="A814" s="12">
        <v>813</v>
      </c>
      <c r="B814" s="3" t="s">
        <v>1454</v>
      </c>
      <c r="C814" s="43" t="s">
        <v>1455</v>
      </c>
      <c r="D814" s="43" t="s">
        <v>1458</v>
      </c>
      <c r="E814" s="43" t="s">
        <v>30</v>
      </c>
      <c r="F814" s="6">
        <v>12980</v>
      </c>
      <c r="G814" s="45" t="s">
        <v>18</v>
      </c>
      <c r="H814" s="3">
        <v>999799</v>
      </c>
      <c r="I814" s="6">
        <v>0</v>
      </c>
      <c r="J814" s="6">
        <v>0</v>
      </c>
      <c r="K814" s="6">
        <v>1980</v>
      </c>
      <c r="L814" s="4">
        <v>0</v>
      </c>
      <c r="M814" s="14" t="s">
        <v>19</v>
      </c>
      <c r="N814" s="15">
        <f t="shared" si="25"/>
        <v>1980</v>
      </c>
    </row>
    <row r="815" spans="1:14">
      <c r="A815" s="12">
        <v>814</v>
      </c>
      <c r="B815" s="3" t="s">
        <v>1454</v>
      </c>
      <c r="C815" s="43" t="s">
        <v>1455</v>
      </c>
      <c r="D815" s="43" t="s">
        <v>1459</v>
      </c>
      <c r="E815" s="43" t="s">
        <v>30</v>
      </c>
      <c r="F815" s="6">
        <v>24190</v>
      </c>
      <c r="G815" s="45" t="s">
        <v>18</v>
      </c>
      <c r="H815" s="3">
        <v>999799</v>
      </c>
      <c r="I815" s="6">
        <v>0</v>
      </c>
      <c r="J815" s="6">
        <v>0</v>
      </c>
      <c r="K815" s="6">
        <v>3690</v>
      </c>
      <c r="L815" s="4">
        <v>0</v>
      </c>
      <c r="M815" s="14" t="s">
        <v>19</v>
      </c>
      <c r="N815" s="15">
        <f t="shared" si="25"/>
        <v>3690</v>
      </c>
    </row>
    <row r="816" spans="1:14">
      <c r="A816" s="12">
        <v>815</v>
      </c>
      <c r="B816" s="3" t="s">
        <v>1454</v>
      </c>
      <c r="C816" s="43" t="s">
        <v>1455</v>
      </c>
      <c r="D816" s="43" t="s">
        <v>1460</v>
      </c>
      <c r="E816" s="43" t="s">
        <v>30</v>
      </c>
      <c r="F816" s="6">
        <v>35400</v>
      </c>
      <c r="G816" s="45" t="s">
        <v>18</v>
      </c>
      <c r="H816" s="3">
        <v>999799</v>
      </c>
      <c r="I816" s="6">
        <v>0</v>
      </c>
      <c r="J816" s="6">
        <v>0</v>
      </c>
      <c r="K816" s="6">
        <v>5400</v>
      </c>
      <c r="L816" s="4">
        <v>0</v>
      </c>
      <c r="M816" s="14" t="s">
        <v>19</v>
      </c>
      <c r="N816" s="15">
        <f t="shared" si="25"/>
        <v>5400</v>
      </c>
    </row>
    <row r="817" spans="1:14">
      <c r="A817" s="12">
        <v>816</v>
      </c>
      <c r="B817" s="3" t="s">
        <v>1454</v>
      </c>
      <c r="C817" s="43" t="s">
        <v>1455</v>
      </c>
      <c r="D817" s="43" t="s">
        <v>1461</v>
      </c>
      <c r="E817" s="43" t="s">
        <v>30</v>
      </c>
      <c r="F817" s="6">
        <v>24190</v>
      </c>
      <c r="G817" s="45" t="s">
        <v>18</v>
      </c>
      <c r="H817" s="3">
        <v>999799</v>
      </c>
      <c r="I817" s="6">
        <v>0</v>
      </c>
      <c r="J817" s="6">
        <v>0</v>
      </c>
      <c r="K817" s="6">
        <v>3690</v>
      </c>
      <c r="L817" s="4">
        <v>0</v>
      </c>
      <c r="M817" s="14" t="s">
        <v>19</v>
      </c>
      <c r="N817" s="15">
        <f t="shared" si="25"/>
        <v>3690</v>
      </c>
    </row>
    <row r="818" spans="1:14">
      <c r="A818" s="12">
        <v>817</v>
      </c>
      <c r="B818" s="3" t="s">
        <v>1454</v>
      </c>
      <c r="C818" s="43" t="s">
        <v>1455</v>
      </c>
      <c r="D818" s="43" t="s">
        <v>1462</v>
      </c>
      <c r="E818" s="43" t="s">
        <v>30</v>
      </c>
      <c r="F818" s="6">
        <v>12980</v>
      </c>
      <c r="G818" s="45" t="s">
        <v>18</v>
      </c>
      <c r="H818" s="3">
        <v>999799</v>
      </c>
      <c r="I818" s="6">
        <v>0</v>
      </c>
      <c r="J818" s="6">
        <v>0</v>
      </c>
      <c r="K818" s="6">
        <v>1980</v>
      </c>
      <c r="L818" s="4">
        <v>0</v>
      </c>
      <c r="M818" s="14" t="s">
        <v>19</v>
      </c>
      <c r="N818" s="15">
        <f t="shared" si="25"/>
        <v>1980</v>
      </c>
    </row>
    <row r="819" spans="1:14">
      <c r="A819" s="12">
        <v>818</v>
      </c>
      <c r="B819" s="3" t="s">
        <v>1454</v>
      </c>
      <c r="C819" s="43" t="s">
        <v>1455</v>
      </c>
      <c r="D819" s="43" t="s">
        <v>1463</v>
      </c>
      <c r="E819" s="43" t="s">
        <v>30</v>
      </c>
      <c r="F819" s="6">
        <v>12980</v>
      </c>
      <c r="G819" s="45" t="s">
        <v>18</v>
      </c>
      <c r="H819" s="3">
        <v>999799</v>
      </c>
      <c r="I819" s="6">
        <v>0</v>
      </c>
      <c r="J819" s="6">
        <v>0</v>
      </c>
      <c r="K819" s="6">
        <v>1980</v>
      </c>
      <c r="L819" s="4">
        <v>0</v>
      </c>
      <c r="M819" s="14" t="s">
        <v>19</v>
      </c>
      <c r="N819" s="15">
        <f t="shared" si="25"/>
        <v>1980</v>
      </c>
    </row>
    <row r="820" spans="1:14">
      <c r="A820" s="12">
        <v>819</v>
      </c>
      <c r="B820" s="3" t="s">
        <v>1454</v>
      </c>
      <c r="C820" s="43" t="s">
        <v>1455</v>
      </c>
      <c r="D820" s="43" t="s">
        <v>1464</v>
      </c>
      <c r="E820" s="43" t="s">
        <v>30</v>
      </c>
      <c r="F820" s="6">
        <v>12980</v>
      </c>
      <c r="G820" s="45" t="s">
        <v>18</v>
      </c>
      <c r="H820" s="3">
        <v>999799</v>
      </c>
      <c r="I820" s="6">
        <v>0</v>
      </c>
      <c r="J820" s="6">
        <v>0</v>
      </c>
      <c r="K820" s="6">
        <v>1980</v>
      </c>
      <c r="L820" s="4">
        <v>0</v>
      </c>
      <c r="M820" s="14" t="s">
        <v>19</v>
      </c>
      <c r="N820" s="15">
        <f t="shared" si="25"/>
        <v>1980</v>
      </c>
    </row>
    <row r="821" spans="1:14">
      <c r="A821" s="12">
        <v>820</v>
      </c>
      <c r="B821" s="3" t="s">
        <v>1454</v>
      </c>
      <c r="C821" s="43" t="s">
        <v>1455</v>
      </c>
      <c r="D821" s="43" t="s">
        <v>1465</v>
      </c>
      <c r="E821" s="43" t="s">
        <v>30</v>
      </c>
      <c r="F821" s="6">
        <v>12980</v>
      </c>
      <c r="G821" s="45" t="s">
        <v>18</v>
      </c>
      <c r="H821" s="3">
        <v>999799</v>
      </c>
      <c r="I821" s="6">
        <v>0</v>
      </c>
      <c r="J821" s="6">
        <v>0</v>
      </c>
      <c r="K821" s="6">
        <v>1980</v>
      </c>
      <c r="L821" s="4">
        <v>0</v>
      </c>
      <c r="M821" s="14" t="s">
        <v>19</v>
      </c>
      <c r="N821" s="15">
        <f t="shared" si="25"/>
        <v>1980</v>
      </c>
    </row>
    <row r="822" spans="1:14">
      <c r="A822" s="12">
        <v>821</v>
      </c>
      <c r="B822" s="3" t="s">
        <v>1454</v>
      </c>
      <c r="C822" s="43" t="s">
        <v>1455</v>
      </c>
      <c r="D822" s="43" t="s">
        <v>1466</v>
      </c>
      <c r="E822" s="43" t="s">
        <v>1207</v>
      </c>
      <c r="F822" s="6">
        <v>24190</v>
      </c>
      <c r="G822" s="45" t="s">
        <v>18</v>
      </c>
      <c r="H822" s="3">
        <v>999799</v>
      </c>
      <c r="I822" s="6">
        <v>0</v>
      </c>
      <c r="J822" s="6">
        <v>0</v>
      </c>
      <c r="K822" s="6">
        <v>3690</v>
      </c>
      <c r="L822" s="4">
        <v>0</v>
      </c>
      <c r="M822" s="14" t="s">
        <v>19</v>
      </c>
      <c r="N822" s="15">
        <f t="shared" si="25"/>
        <v>3690</v>
      </c>
    </row>
    <row r="823" spans="1:14">
      <c r="A823" s="12">
        <v>822</v>
      </c>
      <c r="B823" s="3" t="s">
        <v>1454</v>
      </c>
      <c r="C823" s="43" t="s">
        <v>1455</v>
      </c>
      <c r="D823" s="43" t="s">
        <v>1467</v>
      </c>
      <c r="E823" s="43" t="s">
        <v>1207</v>
      </c>
      <c r="F823" s="6">
        <v>24190</v>
      </c>
      <c r="G823" s="45" t="s">
        <v>18</v>
      </c>
      <c r="H823" s="3">
        <v>999799</v>
      </c>
      <c r="I823" s="6">
        <v>0</v>
      </c>
      <c r="J823" s="6">
        <v>0</v>
      </c>
      <c r="K823" s="6">
        <v>3690</v>
      </c>
      <c r="L823" s="4">
        <v>0</v>
      </c>
      <c r="M823" s="14" t="s">
        <v>19</v>
      </c>
      <c r="N823" s="15">
        <f t="shared" si="25"/>
        <v>3690</v>
      </c>
    </row>
    <row r="824" spans="1:14">
      <c r="A824" s="12">
        <v>823</v>
      </c>
      <c r="B824" s="3" t="s">
        <v>1454</v>
      </c>
      <c r="C824" s="43" t="s">
        <v>1455</v>
      </c>
      <c r="D824" s="43" t="s">
        <v>1468</v>
      </c>
      <c r="E824" s="43" t="s">
        <v>1207</v>
      </c>
      <c r="F824" s="6">
        <v>35400</v>
      </c>
      <c r="G824" s="45" t="s">
        <v>18</v>
      </c>
      <c r="H824" s="3">
        <v>999799</v>
      </c>
      <c r="I824" s="6">
        <v>0</v>
      </c>
      <c r="J824" s="6">
        <v>0</v>
      </c>
      <c r="K824" s="6">
        <v>5400</v>
      </c>
      <c r="L824" s="4">
        <v>0</v>
      </c>
      <c r="M824" s="14" t="s">
        <v>19</v>
      </c>
      <c r="N824" s="15">
        <f t="shared" si="25"/>
        <v>5400</v>
      </c>
    </row>
    <row r="825" spans="1:14">
      <c r="A825" s="12">
        <v>824</v>
      </c>
      <c r="B825" s="3" t="s">
        <v>1469</v>
      </c>
      <c r="C825" s="43" t="s">
        <v>1470</v>
      </c>
      <c r="D825" s="43" t="s">
        <v>1471</v>
      </c>
      <c r="E825" s="43" t="s">
        <v>1472</v>
      </c>
      <c r="F825" s="6">
        <v>253405</v>
      </c>
      <c r="G825" s="45" t="s">
        <v>18</v>
      </c>
      <c r="H825" s="3" t="s">
        <v>992</v>
      </c>
      <c r="I825" s="6">
        <v>0</v>
      </c>
      <c r="J825" s="6">
        <v>0</v>
      </c>
      <c r="K825" s="6">
        <v>38655</v>
      </c>
      <c r="L825" s="4">
        <v>0</v>
      </c>
      <c r="M825" s="14" t="s">
        <v>19</v>
      </c>
      <c r="N825" s="15">
        <f t="shared" si="25"/>
        <v>38655</v>
      </c>
    </row>
    <row r="826" spans="1:14">
      <c r="A826" s="12">
        <v>825</v>
      </c>
      <c r="B826" s="3" t="s">
        <v>1473</v>
      </c>
      <c r="C826" s="43" t="s">
        <v>1470</v>
      </c>
      <c r="D826" s="43" t="s">
        <v>1474</v>
      </c>
      <c r="E826" s="43" t="s">
        <v>1475</v>
      </c>
      <c r="F826" s="6">
        <v>68522.600000000006</v>
      </c>
      <c r="G826" s="45" t="s">
        <v>18</v>
      </c>
      <c r="H826" s="3" t="s">
        <v>992</v>
      </c>
      <c r="I826" s="6">
        <v>0</v>
      </c>
      <c r="J826" s="6">
        <v>0</v>
      </c>
      <c r="K826" s="6">
        <v>10452.6</v>
      </c>
      <c r="L826" s="4">
        <v>0</v>
      </c>
      <c r="M826" s="14" t="s">
        <v>19</v>
      </c>
      <c r="N826" s="15">
        <f t="shared" si="25"/>
        <v>10452.6</v>
      </c>
    </row>
    <row r="827" spans="1:14">
      <c r="A827" s="12">
        <v>826</v>
      </c>
      <c r="B827" s="3" t="s">
        <v>1476</v>
      </c>
      <c r="C827" s="43" t="s">
        <v>1477</v>
      </c>
      <c r="D827" s="43" t="s">
        <v>1478</v>
      </c>
      <c r="E827" s="43" t="s">
        <v>1014</v>
      </c>
      <c r="F827" s="6">
        <v>25100</v>
      </c>
      <c r="G827" s="45" t="s">
        <v>18</v>
      </c>
      <c r="H827" s="3" t="s">
        <v>103</v>
      </c>
      <c r="I827" s="6">
        <v>0</v>
      </c>
      <c r="J827" s="6">
        <v>0</v>
      </c>
      <c r="K827" s="6">
        <v>1255</v>
      </c>
      <c r="L827" s="4">
        <v>0</v>
      </c>
      <c r="M827" s="14" t="s">
        <v>19</v>
      </c>
      <c r="N827" s="15">
        <f t="shared" si="25"/>
        <v>1255</v>
      </c>
    </row>
    <row r="828" spans="1:14">
      <c r="A828" s="12">
        <v>827</v>
      </c>
      <c r="B828" s="3" t="s">
        <v>1479</v>
      </c>
      <c r="C828" s="43" t="s">
        <v>1480</v>
      </c>
      <c r="D828" s="43" t="s">
        <v>1481</v>
      </c>
      <c r="E828" s="43" t="s">
        <v>38</v>
      </c>
      <c r="F828" s="6">
        <v>1293081</v>
      </c>
      <c r="G828" s="45" t="s">
        <v>24</v>
      </c>
      <c r="H828" s="3">
        <v>63051030</v>
      </c>
      <c r="I828" s="6">
        <v>36015.5</v>
      </c>
      <c r="J828" s="6">
        <v>36015.5</v>
      </c>
      <c r="K828" s="6">
        <v>0</v>
      </c>
      <c r="L828" s="4">
        <v>0</v>
      </c>
      <c r="M828" s="14" t="s">
        <v>108</v>
      </c>
      <c r="N828" s="15">
        <f t="shared" si="25"/>
        <v>72031</v>
      </c>
    </row>
    <row r="829" spans="1:14">
      <c r="A829" s="12">
        <v>828</v>
      </c>
      <c r="B829" s="3" t="s">
        <v>1479</v>
      </c>
      <c r="C829" s="43" t="s">
        <v>1480</v>
      </c>
      <c r="D829" s="43" t="s">
        <v>1482</v>
      </c>
      <c r="E829" s="43" t="s">
        <v>449</v>
      </c>
      <c r="F829" s="6">
        <v>88944</v>
      </c>
      <c r="G829" s="45" t="s">
        <v>24</v>
      </c>
      <c r="H829" s="3">
        <v>63051030</v>
      </c>
      <c r="I829" s="6">
        <v>6783.86</v>
      </c>
      <c r="J829" s="6">
        <v>6783.86</v>
      </c>
      <c r="K829" s="6">
        <v>0</v>
      </c>
      <c r="L829" s="4">
        <v>0</v>
      </c>
      <c r="M829" s="14" t="s">
        <v>108</v>
      </c>
      <c r="N829" s="15">
        <f t="shared" si="25"/>
        <v>13567.72</v>
      </c>
    </row>
    <row r="830" spans="1:14">
      <c r="A830" s="12">
        <v>829</v>
      </c>
      <c r="B830" s="3" t="s">
        <v>1479</v>
      </c>
      <c r="C830" s="43" t="s">
        <v>1480</v>
      </c>
      <c r="D830" s="43" t="s">
        <v>1483</v>
      </c>
      <c r="E830" s="43" t="s">
        <v>449</v>
      </c>
      <c r="F830" s="6">
        <v>201320</v>
      </c>
      <c r="G830" s="45" t="s">
        <v>24</v>
      </c>
      <c r="H830" s="3">
        <v>63051030</v>
      </c>
      <c r="I830" s="6">
        <v>15354.9</v>
      </c>
      <c r="J830" s="6">
        <v>15354.9</v>
      </c>
      <c r="K830" s="6">
        <v>0</v>
      </c>
      <c r="L830" s="4">
        <v>0</v>
      </c>
      <c r="M830" s="14" t="s">
        <v>108</v>
      </c>
      <c r="N830" s="15">
        <f t="shared" si="25"/>
        <v>30709.8</v>
      </c>
    </row>
    <row r="831" spans="1:14">
      <c r="A831" s="12">
        <v>830</v>
      </c>
      <c r="B831" s="3" t="s">
        <v>1479</v>
      </c>
      <c r="C831" s="43" t="s">
        <v>1480</v>
      </c>
      <c r="D831" s="43" t="s">
        <v>1484</v>
      </c>
      <c r="E831" s="43" t="s">
        <v>1196</v>
      </c>
      <c r="F831" s="6">
        <v>196504</v>
      </c>
      <c r="G831" s="45" t="s">
        <v>24</v>
      </c>
      <c r="H831" s="3">
        <v>63051030</v>
      </c>
      <c r="I831" s="6">
        <v>14987.61</v>
      </c>
      <c r="J831" s="6">
        <v>14987.61</v>
      </c>
      <c r="K831" s="6">
        <v>0</v>
      </c>
      <c r="L831" s="4">
        <v>0</v>
      </c>
      <c r="M831" s="14" t="s">
        <v>108</v>
      </c>
      <c r="N831" s="15">
        <f t="shared" si="25"/>
        <v>29975.22</v>
      </c>
    </row>
    <row r="832" spans="1:14">
      <c r="A832" s="12">
        <v>831</v>
      </c>
      <c r="B832" s="3" t="s">
        <v>1479</v>
      </c>
      <c r="C832" s="43" t="s">
        <v>1480</v>
      </c>
      <c r="D832" s="43" t="s">
        <v>1485</v>
      </c>
      <c r="E832" s="43" t="s">
        <v>1196</v>
      </c>
      <c r="F832" s="15">
        <v>-2478</v>
      </c>
      <c r="G832" s="45" t="s">
        <v>24</v>
      </c>
      <c r="H832" s="3">
        <v>63051030</v>
      </c>
      <c r="I832" s="14">
        <v>-189</v>
      </c>
      <c r="J832" s="14">
        <v>-189</v>
      </c>
      <c r="K832" s="14">
        <v>0</v>
      </c>
      <c r="L832" s="4">
        <v>0</v>
      </c>
      <c r="M832" s="14" t="s">
        <v>108</v>
      </c>
      <c r="N832" s="15">
        <f t="shared" si="25"/>
        <v>-378</v>
      </c>
    </row>
    <row r="833" spans="1:14">
      <c r="A833" s="12">
        <v>832</v>
      </c>
      <c r="B833" s="3" t="s">
        <v>1479</v>
      </c>
      <c r="C833" s="43" t="s">
        <v>1480</v>
      </c>
      <c r="D833" s="43" t="s">
        <v>1486</v>
      </c>
      <c r="E833" s="43" t="s">
        <v>59</v>
      </c>
      <c r="F833" s="6">
        <v>571423</v>
      </c>
      <c r="G833" s="45" t="s">
        <v>24</v>
      </c>
      <c r="H833" s="3">
        <v>63051030</v>
      </c>
      <c r="I833" s="6">
        <v>13605.31</v>
      </c>
      <c r="J833" s="6">
        <v>13605.31</v>
      </c>
      <c r="K833" s="6">
        <v>0</v>
      </c>
      <c r="L833" s="4">
        <v>0</v>
      </c>
      <c r="M833" s="14" t="s">
        <v>108</v>
      </c>
      <c r="N833" s="15">
        <f t="shared" si="25"/>
        <v>27210.62</v>
      </c>
    </row>
    <row r="834" spans="1:14">
      <c r="A834" s="12">
        <v>833</v>
      </c>
      <c r="B834" s="3" t="s">
        <v>1479</v>
      </c>
      <c r="C834" s="43" t="s">
        <v>1480</v>
      </c>
      <c r="D834" s="43" t="s">
        <v>1487</v>
      </c>
      <c r="E834" s="43" t="s">
        <v>59</v>
      </c>
      <c r="F834" s="6">
        <v>565126</v>
      </c>
      <c r="G834" s="45" t="s">
        <v>24</v>
      </c>
      <c r="H834" s="3">
        <v>63051030</v>
      </c>
      <c r="I834" s="6">
        <v>43102.8</v>
      </c>
      <c r="J834" s="6">
        <v>43102.8</v>
      </c>
      <c r="K834" s="6">
        <v>0</v>
      </c>
      <c r="L834" s="4">
        <v>0</v>
      </c>
      <c r="M834" s="14" t="s">
        <v>108</v>
      </c>
      <c r="N834" s="15">
        <f t="shared" si="25"/>
        <v>86205.6</v>
      </c>
    </row>
    <row r="835" spans="1:14">
      <c r="A835" s="12">
        <v>834</v>
      </c>
      <c r="B835" s="3" t="s">
        <v>1479</v>
      </c>
      <c r="C835" s="43" t="s">
        <v>1480</v>
      </c>
      <c r="D835" s="43" t="s">
        <v>1488</v>
      </c>
      <c r="E835" s="43" t="s">
        <v>1374</v>
      </c>
      <c r="F835" s="6">
        <v>58690</v>
      </c>
      <c r="G835" s="45" t="s">
        <v>24</v>
      </c>
      <c r="H835" s="3">
        <v>63051030</v>
      </c>
      <c r="I835" s="6">
        <v>4476.33</v>
      </c>
      <c r="J835" s="6">
        <v>4476.33</v>
      </c>
      <c r="K835" s="6">
        <v>0</v>
      </c>
      <c r="L835" s="4">
        <v>0</v>
      </c>
      <c r="M835" s="14" t="s">
        <v>108</v>
      </c>
      <c r="N835" s="15">
        <f t="shared" si="25"/>
        <v>8952.66</v>
      </c>
    </row>
    <row r="836" spans="1:14">
      <c r="A836" s="12">
        <v>835</v>
      </c>
      <c r="B836" s="3" t="s">
        <v>1479</v>
      </c>
      <c r="C836" s="43" t="s">
        <v>1480</v>
      </c>
      <c r="D836" s="43" t="s">
        <v>1489</v>
      </c>
      <c r="E836" s="43" t="s">
        <v>820</v>
      </c>
      <c r="F836" s="6">
        <v>94530</v>
      </c>
      <c r="G836" s="45" t="s">
        <v>24</v>
      </c>
      <c r="H836" s="3">
        <v>63051030</v>
      </c>
      <c r="I836" s="6">
        <v>7209.92</v>
      </c>
      <c r="J836" s="6">
        <v>7209.92</v>
      </c>
      <c r="K836" s="6">
        <v>0</v>
      </c>
      <c r="L836" s="4">
        <v>0</v>
      </c>
      <c r="M836" s="14" t="s">
        <v>108</v>
      </c>
      <c r="N836" s="15">
        <f t="shared" si="25"/>
        <v>14419.84</v>
      </c>
    </row>
    <row r="837" spans="1:14">
      <c r="A837" s="12">
        <v>836</v>
      </c>
      <c r="B837" s="3" t="s">
        <v>1479</v>
      </c>
      <c r="C837" s="43" t="s">
        <v>1480</v>
      </c>
      <c r="D837" s="43" t="s">
        <v>1490</v>
      </c>
      <c r="E837" s="43" t="s">
        <v>829</v>
      </c>
      <c r="F837" s="6">
        <v>177170</v>
      </c>
      <c r="G837" s="45" t="s">
        <v>24</v>
      </c>
      <c r="H837" s="3">
        <v>63051030</v>
      </c>
      <c r="I837" s="6">
        <v>13512.97</v>
      </c>
      <c r="J837" s="6">
        <v>13512.97</v>
      </c>
      <c r="K837" s="6">
        <v>0</v>
      </c>
      <c r="L837" s="4">
        <v>0</v>
      </c>
      <c r="M837" s="14" t="s">
        <v>108</v>
      </c>
      <c r="N837" s="15">
        <f t="shared" si="25"/>
        <v>27025.94</v>
      </c>
    </row>
    <row r="838" spans="1:14">
      <c r="A838" s="12">
        <v>837</v>
      </c>
      <c r="B838" s="3" t="s">
        <v>1479</v>
      </c>
      <c r="C838" s="43" t="s">
        <v>1480</v>
      </c>
      <c r="D838" s="43" t="s">
        <v>1491</v>
      </c>
      <c r="E838" s="43" t="s">
        <v>1492</v>
      </c>
      <c r="F838" s="6">
        <v>743054</v>
      </c>
      <c r="G838" s="45" t="s">
        <v>24</v>
      </c>
      <c r="H838" s="3">
        <v>63051030</v>
      </c>
      <c r="I838" s="6">
        <v>18504.580000000002</v>
      </c>
      <c r="J838" s="6">
        <v>18504.580000000002</v>
      </c>
      <c r="K838" s="6">
        <v>0</v>
      </c>
      <c r="L838" s="4">
        <v>0</v>
      </c>
      <c r="M838" s="14" t="s">
        <v>108</v>
      </c>
      <c r="N838" s="15">
        <f t="shared" si="25"/>
        <v>37009.160000000003</v>
      </c>
    </row>
    <row r="839" spans="1:14">
      <c r="A839" s="12">
        <v>838</v>
      </c>
      <c r="B839" s="3" t="s">
        <v>1479</v>
      </c>
      <c r="C839" s="43" t="s">
        <v>1480</v>
      </c>
      <c r="D839" s="43" t="s">
        <v>1493</v>
      </c>
      <c r="E839" s="43" t="s">
        <v>1492</v>
      </c>
      <c r="F839" s="6">
        <v>490265</v>
      </c>
      <c r="G839" s="45" t="s">
        <v>24</v>
      </c>
      <c r="H839" s="3">
        <v>63051030</v>
      </c>
      <c r="I839" s="6">
        <v>37393.11</v>
      </c>
      <c r="J839" s="6">
        <v>37393.11</v>
      </c>
      <c r="K839" s="6">
        <v>0</v>
      </c>
      <c r="L839" s="4">
        <v>0</v>
      </c>
      <c r="M839" s="14" t="s">
        <v>108</v>
      </c>
      <c r="N839" s="15">
        <f t="shared" si="25"/>
        <v>74786.22</v>
      </c>
    </row>
    <row r="840" spans="1:14">
      <c r="A840" s="12">
        <v>839</v>
      </c>
      <c r="B840" s="3" t="s">
        <v>1479</v>
      </c>
      <c r="C840" s="43" t="s">
        <v>1480</v>
      </c>
      <c r="D840" s="43" t="s">
        <v>1494</v>
      </c>
      <c r="E840" s="43" t="s">
        <v>927</v>
      </c>
      <c r="F840" s="6">
        <v>27842</v>
      </c>
      <c r="G840" s="45" t="s">
        <v>24</v>
      </c>
      <c r="H840" s="3">
        <v>63051030</v>
      </c>
      <c r="I840" s="6">
        <v>2123.5500000000002</v>
      </c>
      <c r="J840" s="6">
        <v>2123.5500000000002</v>
      </c>
      <c r="K840" s="6">
        <v>0</v>
      </c>
      <c r="L840" s="4">
        <v>0</v>
      </c>
      <c r="M840" s="14" t="s">
        <v>108</v>
      </c>
      <c r="N840" s="15">
        <f t="shared" si="25"/>
        <v>4247.1000000000004</v>
      </c>
    </row>
    <row r="841" spans="1:14">
      <c r="A841" s="12">
        <v>840</v>
      </c>
      <c r="B841" s="3" t="s">
        <v>1479</v>
      </c>
      <c r="C841" s="43" t="s">
        <v>1480</v>
      </c>
      <c r="D841" s="43" t="s">
        <v>1495</v>
      </c>
      <c r="E841" s="43" t="s">
        <v>1475</v>
      </c>
      <c r="F841" s="6">
        <v>167687</v>
      </c>
      <c r="G841" s="45" t="s">
        <v>24</v>
      </c>
      <c r="H841" s="3">
        <v>63051030</v>
      </c>
      <c r="I841" s="6">
        <v>12789.72</v>
      </c>
      <c r="J841" s="6">
        <v>12789.72</v>
      </c>
      <c r="K841" s="6">
        <v>0</v>
      </c>
      <c r="L841" s="4">
        <v>0</v>
      </c>
      <c r="M841" s="14" t="s">
        <v>108</v>
      </c>
      <c r="N841" s="15">
        <f t="shared" si="25"/>
        <v>25579.439999999999</v>
      </c>
    </row>
    <row r="842" spans="1:14">
      <c r="A842" s="12">
        <v>841</v>
      </c>
      <c r="B842" s="3" t="s">
        <v>1479</v>
      </c>
      <c r="C842" s="43" t="s">
        <v>1480</v>
      </c>
      <c r="D842" s="43" t="s">
        <v>1496</v>
      </c>
      <c r="E842" s="43" t="s">
        <v>1497</v>
      </c>
      <c r="F842" s="6">
        <v>-11004</v>
      </c>
      <c r="G842" s="45" t="s">
        <v>24</v>
      </c>
      <c r="H842" s="3">
        <v>63051030</v>
      </c>
      <c r="I842" s="14">
        <v>-839.25</v>
      </c>
      <c r="J842" s="14">
        <v>-839.25</v>
      </c>
      <c r="K842" s="14">
        <v>0</v>
      </c>
      <c r="L842" s="4">
        <v>0</v>
      </c>
      <c r="M842" s="14" t="s">
        <v>108</v>
      </c>
      <c r="N842" s="15">
        <f t="shared" si="25"/>
        <v>-1678.5</v>
      </c>
    </row>
    <row r="843" spans="1:14">
      <c r="A843" s="12">
        <v>842</v>
      </c>
      <c r="B843" s="14"/>
      <c r="C843" s="45" t="s">
        <v>1498</v>
      </c>
      <c r="D843" s="45" t="s">
        <v>946</v>
      </c>
      <c r="E843" s="55">
        <v>45688</v>
      </c>
      <c r="F843" s="15">
        <v>139941</v>
      </c>
      <c r="G843" s="45" t="s">
        <v>18</v>
      </c>
      <c r="H843" s="14">
        <v>996511</v>
      </c>
      <c r="I843" s="14">
        <v>0</v>
      </c>
      <c r="J843" s="14">
        <v>0</v>
      </c>
      <c r="K843" s="14">
        <v>6997.05</v>
      </c>
      <c r="L843" s="4">
        <v>0</v>
      </c>
      <c r="M843" s="14" t="s">
        <v>19</v>
      </c>
      <c r="N843" s="14">
        <f t="shared" si="25"/>
        <v>6997.05</v>
      </c>
    </row>
    <row r="844" spans="1:14">
      <c r="A844" s="12">
        <v>843</v>
      </c>
      <c r="B844" s="14"/>
      <c r="C844" s="45" t="s">
        <v>1498</v>
      </c>
      <c r="D844" s="45" t="s">
        <v>946</v>
      </c>
      <c r="E844" s="55">
        <v>45688</v>
      </c>
      <c r="F844" s="15">
        <v>123398</v>
      </c>
      <c r="G844" s="45" t="s">
        <v>18</v>
      </c>
      <c r="H844" s="14">
        <v>996511</v>
      </c>
      <c r="I844" s="14">
        <v>0</v>
      </c>
      <c r="J844" s="14">
        <v>0</v>
      </c>
      <c r="K844" s="14">
        <v>6169.9000000000005</v>
      </c>
      <c r="L844" s="4">
        <v>0</v>
      </c>
      <c r="M844" s="14" t="s">
        <v>19</v>
      </c>
      <c r="N844" s="14">
        <f t="shared" si="25"/>
        <v>6169.9000000000005</v>
      </c>
    </row>
    <row r="845" spans="1:14">
      <c r="A845" s="12">
        <v>844</v>
      </c>
      <c r="B845" s="14"/>
      <c r="C845" s="45" t="s">
        <v>1499</v>
      </c>
      <c r="D845" s="45" t="s">
        <v>946</v>
      </c>
      <c r="E845" s="55">
        <v>45688</v>
      </c>
      <c r="F845" s="15">
        <v>270900</v>
      </c>
      <c r="G845" s="45" t="s">
        <v>18</v>
      </c>
      <c r="H845" s="14">
        <v>996511</v>
      </c>
      <c r="I845" s="14">
        <v>0</v>
      </c>
      <c r="J845" s="14">
        <v>0</v>
      </c>
      <c r="K845" s="14">
        <v>13545</v>
      </c>
      <c r="L845" s="4">
        <v>0</v>
      </c>
      <c r="M845" s="14" t="s">
        <v>19</v>
      </c>
      <c r="N845" s="14">
        <f t="shared" si="25"/>
        <v>13545</v>
      </c>
    </row>
    <row r="846" spans="1:14">
      <c r="A846" s="12">
        <v>845</v>
      </c>
      <c r="B846" s="14"/>
      <c r="C846" s="45" t="s">
        <v>1499</v>
      </c>
      <c r="D846" s="45" t="s">
        <v>946</v>
      </c>
      <c r="E846" s="55">
        <v>45688</v>
      </c>
      <c r="F846" s="15">
        <v>290500</v>
      </c>
      <c r="G846" s="45" t="s">
        <v>18</v>
      </c>
      <c r="H846" s="14">
        <v>996511</v>
      </c>
      <c r="I846" s="14">
        <v>0</v>
      </c>
      <c r="J846" s="14">
        <v>0</v>
      </c>
      <c r="K846" s="14">
        <v>14525</v>
      </c>
      <c r="L846" s="4">
        <v>0</v>
      </c>
      <c r="M846" s="14" t="s">
        <v>19</v>
      </c>
      <c r="N846" s="14">
        <f t="shared" si="25"/>
        <v>14525</v>
      </c>
    </row>
    <row r="847" spans="1:14">
      <c r="A847" s="12">
        <v>846</v>
      </c>
      <c r="B847" s="14"/>
      <c r="C847" s="45" t="s">
        <v>1499</v>
      </c>
      <c r="D847" s="45" t="s">
        <v>946</v>
      </c>
      <c r="E847" s="55">
        <v>45688</v>
      </c>
      <c r="F847" s="15">
        <v>346600</v>
      </c>
      <c r="G847" s="45" t="s">
        <v>18</v>
      </c>
      <c r="H847" s="14">
        <v>996511</v>
      </c>
      <c r="I847" s="14">
        <v>0</v>
      </c>
      <c r="J847" s="14">
        <v>0</v>
      </c>
      <c r="K847" s="14">
        <v>17330</v>
      </c>
      <c r="L847" s="4">
        <v>0</v>
      </c>
      <c r="M847" s="14" t="s">
        <v>19</v>
      </c>
      <c r="N847" s="14">
        <f t="shared" si="25"/>
        <v>17330</v>
      </c>
    </row>
    <row r="848" spans="1:14">
      <c r="A848" s="12">
        <v>847</v>
      </c>
      <c r="B848" s="3" t="s">
        <v>1500</v>
      </c>
      <c r="C848" s="43" t="s">
        <v>1501</v>
      </c>
      <c r="D848" s="43" t="s">
        <v>1502</v>
      </c>
      <c r="E848" s="43" t="s">
        <v>42</v>
      </c>
      <c r="F848" s="6">
        <v>1256005</v>
      </c>
      <c r="G848" s="45" t="s">
        <v>24</v>
      </c>
      <c r="H848" s="3">
        <v>1006</v>
      </c>
      <c r="I848" s="6">
        <v>0</v>
      </c>
      <c r="J848" s="6">
        <v>0</v>
      </c>
      <c r="K848" s="6">
        <v>1254.75</v>
      </c>
      <c r="L848" s="4">
        <v>0</v>
      </c>
      <c r="M848" s="14" t="s">
        <v>108</v>
      </c>
      <c r="N848" s="15">
        <f t="shared" si="25"/>
        <v>1254.75</v>
      </c>
    </row>
    <row r="849" spans="1:14">
      <c r="A849" s="12">
        <v>848</v>
      </c>
      <c r="B849" s="3" t="s">
        <v>1500</v>
      </c>
      <c r="C849" s="43" t="s">
        <v>1501</v>
      </c>
      <c r="D849" s="43" t="s">
        <v>1503</v>
      </c>
      <c r="E849" s="43" t="s">
        <v>42</v>
      </c>
      <c r="F849" s="6">
        <v>179429</v>
      </c>
      <c r="G849" s="45" t="s">
        <v>24</v>
      </c>
      <c r="H849" s="3">
        <v>1006</v>
      </c>
      <c r="I849" s="6">
        <v>0</v>
      </c>
      <c r="J849" s="6">
        <v>0</v>
      </c>
      <c r="K849" s="6">
        <v>179.25</v>
      </c>
      <c r="L849" s="4">
        <v>0</v>
      </c>
      <c r="M849" s="14" t="s">
        <v>108</v>
      </c>
      <c r="N849" s="15">
        <f t="shared" si="25"/>
        <v>179.25</v>
      </c>
    </row>
    <row r="850" spans="1:14">
      <c r="A850" s="12">
        <v>849</v>
      </c>
      <c r="B850" s="3" t="s">
        <v>1500</v>
      </c>
      <c r="C850" s="43" t="s">
        <v>1501</v>
      </c>
      <c r="D850" s="43" t="s">
        <v>1504</v>
      </c>
      <c r="E850" s="43" t="s">
        <v>44</v>
      </c>
      <c r="F850" s="6">
        <v>1256005</v>
      </c>
      <c r="G850" s="45" t="s">
        <v>24</v>
      </c>
      <c r="H850" s="3">
        <v>1006</v>
      </c>
      <c r="I850" s="6">
        <v>0</v>
      </c>
      <c r="J850" s="6">
        <v>0</v>
      </c>
      <c r="K850" s="6">
        <v>1254.75</v>
      </c>
      <c r="L850" s="4">
        <v>0</v>
      </c>
      <c r="M850" s="14" t="s">
        <v>108</v>
      </c>
      <c r="N850" s="15">
        <f t="shared" si="25"/>
        <v>1254.75</v>
      </c>
    </row>
    <row r="851" spans="1:14">
      <c r="A851" s="12">
        <v>850</v>
      </c>
      <c r="B851" s="3" t="s">
        <v>1500</v>
      </c>
      <c r="C851" s="43" t="s">
        <v>1501</v>
      </c>
      <c r="D851" s="43" t="s">
        <v>1505</v>
      </c>
      <c r="E851" s="43" t="s">
        <v>44</v>
      </c>
      <c r="F851" s="6">
        <v>179429</v>
      </c>
      <c r="G851" s="45" t="s">
        <v>24</v>
      </c>
      <c r="H851" s="3">
        <v>1006</v>
      </c>
      <c r="I851" s="6">
        <v>0</v>
      </c>
      <c r="J851" s="6">
        <v>0</v>
      </c>
      <c r="K851" s="6">
        <v>179.25</v>
      </c>
      <c r="L851" s="4">
        <v>0</v>
      </c>
      <c r="M851" s="14" t="s">
        <v>108</v>
      </c>
      <c r="N851" s="15">
        <f t="shared" si="25"/>
        <v>179.25</v>
      </c>
    </row>
    <row r="852" spans="1:14">
      <c r="A852" s="12">
        <v>851</v>
      </c>
      <c r="B852" s="3" t="s">
        <v>1500</v>
      </c>
      <c r="C852" s="43" t="s">
        <v>1501</v>
      </c>
      <c r="D852" s="43" t="s">
        <v>1506</v>
      </c>
      <c r="E852" s="43" t="s">
        <v>449</v>
      </c>
      <c r="F852" s="6">
        <v>1256005</v>
      </c>
      <c r="G852" s="45" t="s">
        <v>24</v>
      </c>
      <c r="H852" s="3">
        <v>1006</v>
      </c>
      <c r="I852" s="6">
        <v>0</v>
      </c>
      <c r="J852" s="6">
        <v>0</v>
      </c>
      <c r="K852" s="6">
        <v>1254.75</v>
      </c>
      <c r="L852" s="4">
        <v>0</v>
      </c>
      <c r="M852" s="14" t="s">
        <v>108</v>
      </c>
      <c r="N852" s="15">
        <f t="shared" si="25"/>
        <v>1254.75</v>
      </c>
    </row>
    <row r="853" spans="1:14">
      <c r="A853" s="12">
        <v>852</v>
      </c>
      <c r="B853" s="3" t="s">
        <v>1500</v>
      </c>
      <c r="C853" s="43" t="s">
        <v>1501</v>
      </c>
      <c r="D853" s="43" t="s">
        <v>1507</v>
      </c>
      <c r="E853" s="43" t="s">
        <v>449</v>
      </c>
      <c r="F853" s="6">
        <v>179429</v>
      </c>
      <c r="G853" s="45" t="s">
        <v>24</v>
      </c>
      <c r="H853" s="3">
        <v>1006</v>
      </c>
      <c r="I853" s="6">
        <v>0</v>
      </c>
      <c r="J853" s="6">
        <v>0</v>
      </c>
      <c r="K853" s="6">
        <v>179.25</v>
      </c>
      <c r="L853" s="4">
        <v>0</v>
      </c>
      <c r="M853" s="14" t="s">
        <v>108</v>
      </c>
      <c r="N853" s="15">
        <f t="shared" si="25"/>
        <v>179.25</v>
      </c>
    </row>
    <row r="854" spans="1:14">
      <c r="A854" s="12">
        <v>853</v>
      </c>
      <c r="B854" s="3" t="s">
        <v>1500</v>
      </c>
      <c r="C854" s="43" t="s">
        <v>1501</v>
      </c>
      <c r="D854" s="43" t="s">
        <v>983</v>
      </c>
      <c r="E854" s="43" t="s">
        <v>449</v>
      </c>
      <c r="F854" s="6">
        <v>1256005</v>
      </c>
      <c r="G854" s="45" t="s">
        <v>24</v>
      </c>
      <c r="H854" s="3">
        <v>1006</v>
      </c>
      <c r="I854" s="6">
        <v>0</v>
      </c>
      <c r="J854" s="6">
        <v>0</v>
      </c>
      <c r="K854" s="6">
        <v>1254.75</v>
      </c>
      <c r="L854" s="4">
        <v>0</v>
      </c>
      <c r="M854" s="14" t="s">
        <v>108</v>
      </c>
      <c r="N854" s="15">
        <f t="shared" si="25"/>
        <v>1254.75</v>
      </c>
    </row>
    <row r="855" spans="1:14">
      <c r="A855" s="12">
        <v>854</v>
      </c>
      <c r="B855" s="3" t="s">
        <v>1500</v>
      </c>
      <c r="C855" s="43" t="s">
        <v>1501</v>
      </c>
      <c r="D855" s="43" t="s">
        <v>1508</v>
      </c>
      <c r="E855" s="43" t="s">
        <v>449</v>
      </c>
      <c r="F855" s="6">
        <v>179429</v>
      </c>
      <c r="G855" s="45" t="s">
        <v>24</v>
      </c>
      <c r="H855" s="3">
        <v>1006</v>
      </c>
      <c r="I855" s="6">
        <v>0</v>
      </c>
      <c r="J855" s="6">
        <v>0</v>
      </c>
      <c r="K855" s="6">
        <v>179.25</v>
      </c>
      <c r="L855" s="4">
        <v>0</v>
      </c>
      <c r="M855" s="14" t="s">
        <v>108</v>
      </c>
      <c r="N855" s="15">
        <f t="shared" si="25"/>
        <v>179.25</v>
      </c>
    </row>
    <row r="856" spans="1:14">
      <c r="A856" s="12">
        <v>855</v>
      </c>
      <c r="B856" s="3" t="s">
        <v>1500</v>
      </c>
      <c r="C856" s="43" t="s">
        <v>1501</v>
      </c>
      <c r="D856" s="43" t="s">
        <v>1509</v>
      </c>
      <c r="E856" s="43" t="s">
        <v>1510</v>
      </c>
      <c r="F856" s="6">
        <v>1256005</v>
      </c>
      <c r="G856" s="45" t="s">
        <v>24</v>
      </c>
      <c r="H856" s="3">
        <v>1006</v>
      </c>
      <c r="I856" s="6">
        <v>0</v>
      </c>
      <c r="J856" s="6">
        <v>0</v>
      </c>
      <c r="K856" s="6">
        <v>1254.75</v>
      </c>
      <c r="L856" s="4">
        <v>0</v>
      </c>
      <c r="M856" s="14" t="s">
        <v>108</v>
      </c>
      <c r="N856" s="15">
        <f t="shared" si="25"/>
        <v>1254.75</v>
      </c>
    </row>
    <row r="857" spans="1:14">
      <c r="A857" s="12">
        <v>856</v>
      </c>
      <c r="B857" s="3" t="s">
        <v>1500</v>
      </c>
      <c r="C857" s="43" t="s">
        <v>1501</v>
      </c>
      <c r="D857" s="43" t="s">
        <v>1511</v>
      </c>
      <c r="E857" s="43" t="s">
        <v>1510</v>
      </c>
      <c r="F857" s="6">
        <v>179429</v>
      </c>
      <c r="G857" s="45" t="s">
        <v>24</v>
      </c>
      <c r="H857" s="3">
        <v>1006</v>
      </c>
      <c r="I857" s="6">
        <v>0</v>
      </c>
      <c r="J857" s="6">
        <v>0</v>
      </c>
      <c r="K857" s="6">
        <v>179.25</v>
      </c>
      <c r="L857" s="4">
        <v>0</v>
      </c>
      <c r="M857" s="14" t="s">
        <v>108</v>
      </c>
      <c r="N857" s="15">
        <f t="shared" si="25"/>
        <v>179.25</v>
      </c>
    </row>
    <row r="858" spans="1:14">
      <c r="A858" s="12">
        <v>857</v>
      </c>
      <c r="B858" s="3" t="s">
        <v>1500</v>
      </c>
      <c r="C858" s="43" t="s">
        <v>1501</v>
      </c>
      <c r="D858" s="43" t="s">
        <v>1512</v>
      </c>
      <c r="E858" s="43" t="s">
        <v>1513</v>
      </c>
      <c r="F858" s="6">
        <v>1256005</v>
      </c>
      <c r="G858" s="45" t="s">
        <v>24</v>
      </c>
      <c r="H858" s="3">
        <v>1006</v>
      </c>
      <c r="I858" s="6">
        <v>0</v>
      </c>
      <c r="J858" s="6">
        <v>0</v>
      </c>
      <c r="K858" s="6">
        <v>1254.75</v>
      </c>
      <c r="L858" s="4">
        <v>0</v>
      </c>
      <c r="M858" s="14" t="s">
        <v>108</v>
      </c>
      <c r="N858" s="15">
        <f t="shared" si="25"/>
        <v>1254.75</v>
      </c>
    </row>
    <row r="859" spans="1:14">
      <c r="A859" s="12">
        <v>858</v>
      </c>
      <c r="B859" s="3" t="s">
        <v>1500</v>
      </c>
      <c r="C859" s="43" t="s">
        <v>1501</v>
      </c>
      <c r="D859" s="43" t="s">
        <v>1514</v>
      </c>
      <c r="E859" s="43" t="s">
        <v>1513</v>
      </c>
      <c r="F859" s="6">
        <v>179429</v>
      </c>
      <c r="G859" s="45" t="s">
        <v>24</v>
      </c>
      <c r="H859" s="3">
        <v>1006</v>
      </c>
      <c r="I859" s="6">
        <v>0</v>
      </c>
      <c r="J859" s="6">
        <v>0</v>
      </c>
      <c r="K859" s="6">
        <v>179.25</v>
      </c>
      <c r="L859" s="4">
        <v>0</v>
      </c>
      <c r="M859" s="14" t="s">
        <v>108</v>
      </c>
      <c r="N859" s="15">
        <f t="shared" si="25"/>
        <v>179.25</v>
      </c>
    </row>
    <row r="860" spans="1:14">
      <c r="A860" s="12">
        <v>859</v>
      </c>
      <c r="B860" s="3" t="s">
        <v>1500</v>
      </c>
      <c r="C860" s="43" t="s">
        <v>1501</v>
      </c>
      <c r="D860" s="43" t="s">
        <v>1515</v>
      </c>
      <c r="E860" s="43" t="s">
        <v>451</v>
      </c>
      <c r="F860" s="6">
        <v>1076576</v>
      </c>
      <c r="G860" s="45" t="s">
        <v>24</v>
      </c>
      <c r="H860" s="3">
        <v>1006</v>
      </c>
      <c r="I860" s="6">
        <v>0</v>
      </c>
      <c r="J860" s="6">
        <v>0</v>
      </c>
      <c r="K860" s="6">
        <v>1075.5</v>
      </c>
      <c r="L860" s="4">
        <v>0</v>
      </c>
      <c r="M860" s="14" t="s">
        <v>108</v>
      </c>
      <c r="N860" s="15">
        <f t="shared" si="25"/>
        <v>1075.5</v>
      </c>
    </row>
    <row r="861" spans="1:14">
      <c r="A861" s="12">
        <v>860</v>
      </c>
      <c r="B861" s="3" t="s">
        <v>1500</v>
      </c>
      <c r="C861" s="43" t="s">
        <v>1501</v>
      </c>
      <c r="D861" s="43" t="s">
        <v>1516</v>
      </c>
      <c r="E861" s="43" t="s">
        <v>1025</v>
      </c>
      <c r="F861" s="6">
        <v>1076576</v>
      </c>
      <c r="G861" s="45" t="s">
        <v>24</v>
      </c>
      <c r="H861" s="3">
        <v>1006</v>
      </c>
      <c r="I861" s="6">
        <v>0</v>
      </c>
      <c r="J861" s="6">
        <v>0</v>
      </c>
      <c r="K861" s="6">
        <v>1075.5</v>
      </c>
      <c r="L861" s="4">
        <v>0</v>
      </c>
      <c r="M861" s="14" t="s">
        <v>108</v>
      </c>
      <c r="N861" s="15">
        <f t="shared" si="25"/>
        <v>1075.5</v>
      </c>
    </row>
    <row r="862" spans="1:14">
      <c r="A862" s="12">
        <v>861</v>
      </c>
      <c r="B862" s="3" t="s">
        <v>1517</v>
      </c>
      <c r="C862" s="43" t="s">
        <v>1518</v>
      </c>
      <c r="D862" s="43" t="s">
        <v>1519</v>
      </c>
      <c r="E862" s="43" t="s">
        <v>1055</v>
      </c>
      <c r="F862" s="6">
        <v>4130</v>
      </c>
      <c r="G862" s="45" t="s">
        <v>18</v>
      </c>
      <c r="H862" s="3">
        <v>998531</v>
      </c>
      <c r="I862" s="6">
        <v>0</v>
      </c>
      <c r="J862" s="6">
        <v>0</v>
      </c>
      <c r="K862" s="6">
        <v>630</v>
      </c>
      <c r="L862" s="4">
        <v>0</v>
      </c>
      <c r="M862" s="14" t="s">
        <v>19</v>
      </c>
      <c r="N862" s="15">
        <f t="shared" si="25"/>
        <v>630</v>
      </c>
    </row>
    <row r="863" spans="1:14">
      <c r="A863" s="12">
        <v>862</v>
      </c>
      <c r="B863" s="3" t="s">
        <v>1517</v>
      </c>
      <c r="C863" s="43" t="s">
        <v>1518</v>
      </c>
      <c r="D863" s="43" t="s">
        <v>1520</v>
      </c>
      <c r="E863" s="43" t="s">
        <v>1055</v>
      </c>
      <c r="F863" s="6">
        <v>4130</v>
      </c>
      <c r="G863" s="45" t="s">
        <v>18</v>
      </c>
      <c r="H863" s="3">
        <v>998531</v>
      </c>
      <c r="I863" s="6">
        <v>0</v>
      </c>
      <c r="J863" s="6">
        <v>0</v>
      </c>
      <c r="K863" s="6">
        <v>630</v>
      </c>
      <c r="L863" s="4">
        <v>0</v>
      </c>
      <c r="M863" s="14" t="s">
        <v>19</v>
      </c>
      <c r="N863" s="15">
        <f t="shared" si="25"/>
        <v>630</v>
      </c>
    </row>
    <row r="864" spans="1:14">
      <c r="A864" s="12">
        <v>863</v>
      </c>
      <c r="B864" s="3" t="s">
        <v>1517</v>
      </c>
      <c r="C864" s="43" t="s">
        <v>1518</v>
      </c>
      <c r="D864" s="43" t="s">
        <v>1521</v>
      </c>
      <c r="E864" s="43" t="s">
        <v>1055</v>
      </c>
      <c r="F864" s="6">
        <v>1239</v>
      </c>
      <c r="G864" s="45" t="s">
        <v>18</v>
      </c>
      <c r="H864" s="3">
        <v>998531</v>
      </c>
      <c r="I864" s="6">
        <v>0</v>
      </c>
      <c r="J864" s="6">
        <v>0</v>
      </c>
      <c r="K864" s="6">
        <v>189</v>
      </c>
      <c r="L864" s="4">
        <v>0</v>
      </c>
      <c r="M864" s="14" t="s">
        <v>19</v>
      </c>
      <c r="N864" s="15">
        <f t="shared" si="25"/>
        <v>189</v>
      </c>
    </row>
    <row r="865" spans="1:14">
      <c r="A865" s="12">
        <v>864</v>
      </c>
      <c r="B865" s="3" t="s">
        <v>1522</v>
      </c>
      <c r="C865" s="43" t="s">
        <v>1523</v>
      </c>
      <c r="D865" s="43" t="s">
        <v>1524</v>
      </c>
      <c r="E865" s="43" t="s">
        <v>59</v>
      </c>
      <c r="F865" s="15">
        <v>-5369</v>
      </c>
      <c r="G865" s="45" t="s">
        <v>24</v>
      </c>
      <c r="H865" s="3">
        <v>1006</v>
      </c>
      <c r="I865" s="14">
        <v>-409.5</v>
      </c>
      <c r="J865" s="14">
        <v>-409.5</v>
      </c>
      <c r="K865" s="14">
        <v>0</v>
      </c>
      <c r="L865" s="4">
        <v>0</v>
      </c>
      <c r="M865" s="14" t="s">
        <v>108</v>
      </c>
      <c r="N865" s="15">
        <f t="shared" si="25"/>
        <v>-819</v>
      </c>
    </row>
    <row r="866" spans="1:14">
      <c r="A866" s="12">
        <v>865</v>
      </c>
      <c r="B866" s="3" t="s">
        <v>1525</v>
      </c>
      <c r="C866" s="43" t="s">
        <v>1526</v>
      </c>
      <c r="D866" s="43" t="s">
        <v>1527</v>
      </c>
      <c r="E866" s="43" t="s">
        <v>135</v>
      </c>
      <c r="F866" s="6">
        <v>2950</v>
      </c>
      <c r="G866" s="45" t="s">
        <v>18</v>
      </c>
      <c r="H866" s="3">
        <v>996713</v>
      </c>
      <c r="I866" s="6">
        <v>225</v>
      </c>
      <c r="J866" s="6">
        <v>225</v>
      </c>
      <c r="K866" s="6">
        <v>0</v>
      </c>
      <c r="L866" s="4">
        <v>0</v>
      </c>
      <c r="M866" s="14" t="s">
        <v>19</v>
      </c>
      <c r="N866" s="15">
        <f t="shared" si="25"/>
        <v>450</v>
      </c>
    </row>
    <row r="867" spans="1:14">
      <c r="A867" s="12">
        <v>866</v>
      </c>
      <c r="B867" s="3" t="s">
        <v>1528</v>
      </c>
      <c r="C867" s="43" t="s">
        <v>1529</v>
      </c>
      <c r="D867" s="43" t="s">
        <v>1309</v>
      </c>
      <c r="E867" s="43" t="s">
        <v>1530</v>
      </c>
      <c r="F867" s="6">
        <v>20000</v>
      </c>
      <c r="G867" s="45" t="s">
        <v>18</v>
      </c>
      <c r="H867" s="3">
        <v>9982</v>
      </c>
      <c r="I867" s="6">
        <v>0</v>
      </c>
      <c r="J867" s="6">
        <v>0</v>
      </c>
      <c r="K867" s="6">
        <v>3050.85</v>
      </c>
      <c r="L867" s="4">
        <v>0</v>
      </c>
      <c r="M867" s="14" t="s">
        <v>19</v>
      </c>
      <c r="N867" s="15">
        <f t="shared" si="25"/>
        <v>3050.85</v>
      </c>
    </row>
    <row r="868" spans="1:14">
      <c r="A868" s="12">
        <v>867</v>
      </c>
      <c r="B868" s="3" t="s">
        <v>1531</v>
      </c>
      <c r="C868" s="43" t="s">
        <v>1532</v>
      </c>
      <c r="D868" s="43" t="s">
        <v>1533</v>
      </c>
      <c r="E868" s="43" t="s">
        <v>843</v>
      </c>
      <c r="F868" s="6">
        <v>107380</v>
      </c>
      <c r="G868" s="45" t="s">
        <v>24</v>
      </c>
      <c r="H868" s="3">
        <v>63051030</v>
      </c>
      <c r="I868" s="6">
        <v>0</v>
      </c>
      <c r="J868" s="6">
        <v>0</v>
      </c>
      <c r="K868" s="6">
        <v>16380</v>
      </c>
      <c r="L868" s="4">
        <v>0</v>
      </c>
      <c r="M868" s="14" t="s">
        <v>108</v>
      </c>
      <c r="N868" s="15">
        <f t="shared" si="25"/>
        <v>16380</v>
      </c>
    </row>
    <row r="869" spans="1:14">
      <c r="A869" s="12">
        <v>868</v>
      </c>
      <c r="B869" s="3" t="s">
        <v>1534</v>
      </c>
      <c r="C869" s="43" t="s">
        <v>1535</v>
      </c>
      <c r="D869" s="43" t="s">
        <v>1536</v>
      </c>
      <c r="E869" s="43" t="s">
        <v>444</v>
      </c>
      <c r="F869" s="6">
        <v>26255</v>
      </c>
      <c r="G869" s="45" t="s">
        <v>18</v>
      </c>
      <c r="H869" s="3">
        <v>996719</v>
      </c>
      <c r="I869" s="6">
        <v>0</v>
      </c>
      <c r="J869" s="6">
        <v>0</v>
      </c>
      <c r="K869" s="6">
        <v>4005</v>
      </c>
      <c r="L869" s="4">
        <v>0</v>
      </c>
      <c r="M869" s="14" t="s">
        <v>19</v>
      </c>
      <c r="N869" s="15">
        <f t="shared" si="25"/>
        <v>4005</v>
      </c>
    </row>
    <row r="870" spans="1:14">
      <c r="A870" s="12">
        <v>869</v>
      </c>
      <c r="B870" s="3" t="s">
        <v>1534</v>
      </c>
      <c r="C870" s="43" t="s">
        <v>1535</v>
      </c>
      <c r="D870" s="43" t="s">
        <v>1537</v>
      </c>
      <c r="E870" s="43" t="s">
        <v>1090</v>
      </c>
      <c r="F870" s="6">
        <v>5900</v>
      </c>
      <c r="G870" s="45" t="s">
        <v>18</v>
      </c>
      <c r="H870" s="3">
        <v>996719</v>
      </c>
      <c r="I870" s="6">
        <v>0</v>
      </c>
      <c r="J870" s="6">
        <v>0</v>
      </c>
      <c r="K870" s="6">
        <v>900</v>
      </c>
      <c r="L870" s="4">
        <v>0</v>
      </c>
      <c r="M870" s="14" t="s">
        <v>19</v>
      </c>
      <c r="N870" s="15">
        <f t="shared" si="25"/>
        <v>900</v>
      </c>
    </row>
    <row r="871" spans="1:14">
      <c r="A871" s="12">
        <v>870</v>
      </c>
      <c r="B871" s="3" t="s">
        <v>1534</v>
      </c>
      <c r="C871" s="43" t="s">
        <v>1535</v>
      </c>
      <c r="D871" s="43" t="s">
        <v>1538</v>
      </c>
      <c r="E871" s="43" t="s">
        <v>1090</v>
      </c>
      <c r="F871" s="6">
        <v>48722.2</v>
      </c>
      <c r="G871" s="45" t="s">
        <v>18</v>
      </c>
      <c r="H871" s="3">
        <v>996719</v>
      </c>
      <c r="I871" s="6">
        <v>0</v>
      </c>
      <c r="J871" s="6">
        <v>0</v>
      </c>
      <c r="K871" s="6">
        <v>7432.2</v>
      </c>
      <c r="L871" s="4">
        <v>0</v>
      </c>
      <c r="M871" s="14" t="s">
        <v>19</v>
      </c>
      <c r="N871" s="15">
        <f t="shared" si="25"/>
        <v>7432.2</v>
      </c>
    </row>
    <row r="872" spans="1:14">
      <c r="A872" s="12">
        <v>871</v>
      </c>
      <c r="B872" s="3" t="s">
        <v>1534</v>
      </c>
      <c r="C872" s="43" t="s">
        <v>1535</v>
      </c>
      <c r="D872" s="43" t="s">
        <v>1539</v>
      </c>
      <c r="E872" s="43" t="s">
        <v>781</v>
      </c>
      <c r="F872" s="6">
        <v>71233.240000000005</v>
      </c>
      <c r="G872" s="45" t="s">
        <v>18</v>
      </c>
      <c r="H872" s="3">
        <v>996719</v>
      </c>
      <c r="I872" s="6">
        <v>0</v>
      </c>
      <c r="J872" s="6">
        <v>0</v>
      </c>
      <c r="K872" s="6">
        <v>10866.09</v>
      </c>
      <c r="L872" s="4">
        <v>0</v>
      </c>
      <c r="M872" s="14" t="s">
        <v>19</v>
      </c>
      <c r="N872" s="15">
        <f t="shared" si="25"/>
        <v>10866.09</v>
      </c>
    </row>
    <row r="873" spans="1:14">
      <c r="A873" s="12">
        <v>872</v>
      </c>
      <c r="B873" s="3" t="s">
        <v>1534</v>
      </c>
      <c r="C873" s="43" t="s">
        <v>1535</v>
      </c>
      <c r="D873" s="43" t="s">
        <v>1540</v>
      </c>
      <c r="E873" s="43" t="s">
        <v>483</v>
      </c>
      <c r="F873" s="6">
        <v>12980</v>
      </c>
      <c r="G873" s="45" t="s">
        <v>18</v>
      </c>
      <c r="H873" s="3">
        <v>996719</v>
      </c>
      <c r="I873" s="6">
        <v>0</v>
      </c>
      <c r="J873" s="6">
        <v>0</v>
      </c>
      <c r="K873" s="6">
        <v>1980</v>
      </c>
      <c r="L873" s="4">
        <v>0</v>
      </c>
      <c r="M873" s="14" t="s">
        <v>19</v>
      </c>
      <c r="N873" s="15">
        <f t="shared" si="25"/>
        <v>1980</v>
      </c>
    </row>
    <row r="874" spans="1:14">
      <c r="A874" s="12">
        <v>873</v>
      </c>
      <c r="B874" s="3" t="s">
        <v>1534</v>
      </c>
      <c r="C874" s="43" t="s">
        <v>1535</v>
      </c>
      <c r="D874" s="43" t="s">
        <v>1541</v>
      </c>
      <c r="E874" s="43" t="s">
        <v>483</v>
      </c>
      <c r="F874" s="6">
        <v>3540</v>
      </c>
      <c r="G874" s="45" t="s">
        <v>18</v>
      </c>
      <c r="H874" s="3">
        <v>996719</v>
      </c>
      <c r="I874" s="6">
        <v>0</v>
      </c>
      <c r="J874" s="6">
        <v>0</v>
      </c>
      <c r="K874" s="6">
        <v>540</v>
      </c>
      <c r="L874" s="4">
        <v>0</v>
      </c>
      <c r="M874" s="14" t="s">
        <v>19</v>
      </c>
      <c r="N874" s="15">
        <f t="shared" si="25"/>
        <v>540</v>
      </c>
    </row>
    <row r="875" spans="1:14">
      <c r="A875" s="12">
        <v>874</v>
      </c>
      <c r="B875" s="3" t="s">
        <v>1534</v>
      </c>
      <c r="C875" s="43" t="s">
        <v>1535</v>
      </c>
      <c r="D875" s="43" t="s">
        <v>1542</v>
      </c>
      <c r="E875" s="43" t="s">
        <v>483</v>
      </c>
      <c r="F875" s="6">
        <v>5900</v>
      </c>
      <c r="G875" s="45" t="s">
        <v>18</v>
      </c>
      <c r="H875" s="3">
        <v>996719</v>
      </c>
      <c r="I875" s="6">
        <v>0</v>
      </c>
      <c r="J875" s="6">
        <v>0</v>
      </c>
      <c r="K875" s="6">
        <v>900</v>
      </c>
      <c r="L875" s="4">
        <v>0</v>
      </c>
      <c r="M875" s="14" t="s">
        <v>19</v>
      </c>
      <c r="N875" s="15">
        <f t="shared" si="25"/>
        <v>900</v>
      </c>
    </row>
    <row r="876" spans="1:14">
      <c r="A876" s="12">
        <v>875</v>
      </c>
      <c r="B876" s="3" t="s">
        <v>1534</v>
      </c>
      <c r="C876" s="43" t="s">
        <v>1535</v>
      </c>
      <c r="D876" s="43" t="s">
        <v>1543</v>
      </c>
      <c r="E876" s="43" t="s">
        <v>483</v>
      </c>
      <c r="F876" s="6">
        <v>5900</v>
      </c>
      <c r="G876" s="45" t="s">
        <v>18</v>
      </c>
      <c r="H876" s="3">
        <v>996719</v>
      </c>
      <c r="I876" s="6">
        <v>0</v>
      </c>
      <c r="J876" s="6">
        <v>0</v>
      </c>
      <c r="K876" s="6">
        <v>900</v>
      </c>
      <c r="L876" s="4">
        <v>0</v>
      </c>
      <c r="M876" s="14" t="s">
        <v>19</v>
      </c>
      <c r="N876" s="15">
        <f t="shared" ref="N876:N885" si="26">SUM(I876:L876)</f>
        <v>900</v>
      </c>
    </row>
    <row r="877" spans="1:14">
      <c r="A877" s="12">
        <v>876</v>
      </c>
      <c r="B877" s="3" t="s">
        <v>1534</v>
      </c>
      <c r="C877" s="43" t="s">
        <v>1535</v>
      </c>
      <c r="D877" s="43" t="s">
        <v>1544</v>
      </c>
      <c r="E877" s="43" t="s">
        <v>483</v>
      </c>
      <c r="F877" s="6">
        <v>1770</v>
      </c>
      <c r="G877" s="45" t="s">
        <v>18</v>
      </c>
      <c r="H877" s="3">
        <v>996719</v>
      </c>
      <c r="I877" s="6">
        <v>0</v>
      </c>
      <c r="J877" s="6">
        <v>0</v>
      </c>
      <c r="K877" s="6">
        <v>270</v>
      </c>
      <c r="L877" s="4">
        <v>0</v>
      </c>
      <c r="M877" s="14" t="s">
        <v>19</v>
      </c>
      <c r="N877" s="15">
        <f t="shared" si="26"/>
        <v>270</v>
      </c>
    </row>
    <row r="878" spans="1:14">
      <c r="A878" s="12">
        <v>877</v>
      </c>
      <c r="B878" s="3" t="s">
        <v>1534</v>
      </c>
      <c r="C878" s="43" t="s">
        <v>1535</v>
      </c>
      <c r="D878" s="43" t="s">
        <v>1545</v>
      </c>
      <c r="E878" s="43" t="s">
        <v>483</v>
      </c>
      <c r="F878" s="6">
        <v>5900</v>
      </c>
      <c r="G878" s="45" t="s">
        <v>18</v>
      </c>
      <c r="H878" s="3">
        <v>996719</v>
      </c>
      <c r="I878" s="6">
        <v>0</v>
      </c>
      <c r="J878" s="6">
        <v>0</v>
      </c>
      <c r="K878" s="6">
        <v>900</v>
      </c>
      <c r="L878" s="4">
        <v>0</v>
      </c>
      <c r="M878" s="14" t="s">
        <v>19</v>
      </c>
      <c r="N878" s="15">
        <f t="shared" si="26"/>
        <v>900</v>
      </c>
    </row>
    <row r="879" spans="1:14">
      <c r="A879" s="12">
        <v>878</v>
      </c>
      <c r="B879" s="3" t="s">
        <v>1534</v>
      </c>
      <c r="C879" s="43" t="s">
        <v>1535</v>
      </c>
      <c r="D879" s="43" t="s">
        <v>1546</v>
      </c>
      <c r="E879" s="43" t="s">
        <v>483</v>
      </c>
      <c r="F879" s="6">
        <v>8850</v>
      </c>
      <c r="G879" s="45" t="s">
        <v>18</v>
      </c>
      <c r="H879" s="3">
        <v>996719</v>
      </c>
      <c r="I879" s="6">
        <v>0</v>
      </c>
      <c r="J879" s="6">
        <v>0</v>
      </c>
      <c r="K879" s="6">
        <v>1350</v>
      </c>
      <c r="L879" s="4">
        <v>0</v>
      </c>
      <c r="M879" s="14" t="s">
        <v>19</v>
      </c>
      <c r="N879" s="15">
        <f t="shared" si="26"/>
        <v>1350</v>
      </c>
    </row>
    <row r="880" spans="1:14">
      <c r="A880" s="12">
        <v>879</v>
      </c>
      <c r="B880" s="3" t="s">
        <v>1534</v>
      </c>
      <c r="C880" s="43" t="s">
        <v>1535</v>
      </c>
      <c r="D880" s="43" t="s">
        <v>1547</v>
      </c>
      <c r="E880" s="43" t="s">
        <v>483</v>
      </c>
      <c r="F880" s="6">
        <v>5900</v>
      </c>
      <c r="G880" s="45" t="s">
        <v>18</v>
      </c>
      <c r="H880" s="3">
        <v>996719</v>
      </c>
      <c r="I880" s="6">
        <v>0</v>
      </c>
      <c r="J880" s="6">
        <v>0</v>
      </c>
      <c r="K880" s="6">
        <v>900</v>
      </c>
      <c r="L880" s="4">
        <v>0</v>
      </c>
      <c r="M880" s="14" t="s">
        <v>19</v>
      </c>
      <c r="N880" s="15">
        <f t="shared" si="26"/>
        <v>900</v>
      </c>
    </row>
    <row r="881" spans="1:14">
      <c r="A881" s="12">
        <v>880</v>
      </c>
      <c r="B881" s="3" t="s">
        <v>1534</v>
      </c>
      <c r="C881" s="43" t="s">
        <v>1535</v>
      </c>
      <c r="D881" s="43" t="s">
        <v>1548</v>
      </c>
      <c r="E881" s="43" t="s">
        <v>483</v>
      </c>
      <c r="F881" s="6">
        <v>2950</v>
      </c>
      <c r="G881" s="45" t="s">
        <v>18</v>
      </c>
      <c r="H881" s="3">
        <v>996719</v>
      </c>
      <c r="I881" s="6">
        <v>0</v>
      </c>
      <c r="J881" s="6">
        <v>0</v>
      </c>
      <c r="K881" s="6">
        <v>450</v>
      </c>
      <c r="L881" s="4">
        <v>0</v>
      </c>
      <c r="M881" s="14" t="s">
        <v>19</v>
      </c>
      <c r="N881" s="15">
        <f t="shared" si="26"/>
        <v>450</v>
      </c>
    </row>
    <row r="882" spans="1:14">
      <c r="A882" s="12">
        <v>881</v>
      </c>
      <c r="B882" s="3" t="s">
        <v>1534</v>
      </c>
      <c r="C882" s="43" t="s">
        <v>1535</v>
      </c>
      <c r="D882" s="43" t="s">
        <v>1549</v>
      </c>
      <c r="E882" s="43" t="s">
        <v>483</v>
      </c>
      <c r="F882" s="6">
        <v>2950</v>
      </c>
      <c r="G882" s="45" t="s">
        <v>18</v>
      </c>
      <c r="H882" s="3">
        <v>996719</v>
      </c>
      <c r="I882" s="6">
        <v>0</v>
      </c>
      <c r="J882" s="6">
        <v>0</v>
      </c>
      <c r="K882" s="6">
        <v>450</v>
      </c>
      <c r="L882" s="4">
        <v>0</v>
      </c>
      <c r="M882" s="14" t="s">
        <v>19</v>
      </c>
      <c r="N882" s="15">
        <f t="shared" si="26"/>
        <v>450</v>
      </c>
    </row>
    <row r="883" spans="1:14">
      <c r="A883" s="12">
        <v>882</v>
      </c>
      <c r="B883" s="3" t="s">
        <v>1534</v>
      </c>
      <c r="C883" s="43" t="s">
        <v>1535</v>
      </c>
      <c r="D883" s="43" t="s">
        <v>1550</v>
      </c>
      <c r="E883" s="43" t="s">
        <v>483</v>
      </c>
      <c r="F883" s="6">
        <v>2950</v>
      </c>
      <c r="G883" s="45" t="s">
        <v>18</v>
      </c>
      <c r="H883" s="3">
        <v>996719</v>
      </c>
      <c r="I883" s="6">
        <v>0</v>
      </c>
      <c r="J883" s="6">
        <v>0</v>
      </c>
      <c r="K883" s="6">
        <v>450</v>
      </c>
      <c r="L883" s="4">
        <v>0</v>
      </c>
      <c r="M883" s="14" t="s">
        <v>19</v>
      </c>
      <c r="N883" s="15">
        <f t="shared" si="26"/>
        <v>450</v>
      </c>
    </row>
    <row r="884" spans="1:14">
      <c r="A884" s="12">
        <v>883</v>
      </c>
      <c r="B884" s="3" t="s">
        <v>1534</v>
      </c>
      <c r="C884" s="43" t="s">
        <v>1535</v>
      </c>
      <c r="D884" s="43" t="s">
        <v>1551</v>
      </c>
      <c r="E884" s="43" t="s">
        <v>483</v>
      </c>
      <c r="F884" s="6">
        <v>2950</v>
      </c>
      <c r="G884" s="45" t="s">
        <v>18</v>
      </c>
      <c r="H884" s="3">
        <v>996719</v>
      </c>
      <c r="I884" s="6">
        <v>0</v>
      </c>
      <c r="J884" s="6">
        <v>0</v>
      </c>
      <c r="K884" s="6">
        <v>450</v>
      </c>
      <c r="L884" s="4">
        <v>0</v>
      </c>
      <c r="M884" s="14" t="s">
        <v>19</v>
      </c>
      <c r="N884" s="15">
        <f t="shared" si="26"/>
        <v>450</v>
      </c>
    </row>
    <row r="885" spans="1:14">
      <c r="A885" s="12">
        <v>884</v>
      </c>
      <c r="B885" s="3" t="s">
        <v>1534</v>
      </c>
      <c r="C885" s="43" t="s">
        <v>1535</v>
      </c>
      <c r="D885" s="43" t="s">
        <v>1552</v>
      </c>
      <c r="E885" s="43" t="s">
        <v>483</v>
      </c>
      <c r="F885" s="15">
        <v>-10502</v>
      </c>
      <c r="G885" s="45" t="s">
        <v>18</v>
      </c>
      <c r="H885" s="3">
        <v>996719</v>
      </c>
      <c r="I885" s="14">
        <v>0</v>
      </c>
      <c r="J885" s="14">
        <v>0</v>
      </c>
      <c r="K885" s="14">
        <v>-1602</v>
      </c>
      <c r="L885" s="4">
        <v>0</v>
      </c>
      <c r="M885" s="14" t="s">
        <v>19</v>
      </c>
      <c r="N885" s="15">
        <f t="shared" si="26"/>
        <v>-1602</v>
      </c>
    </row>
    <row r="886" spans="1:14">
      <c r="A886" s="12">
        <v>885</v>
      </c>
      <c r="B886" s="3" t="s">
        <v>1553</v>
      </c>
      <c r="C886" s="43" t="s">
        <v>1554</v>
      </c>
      <c r="D886" s="43" t="s">
        <v>1555</v>
      </c>
      <c r="E886" s="43" t="s">
        <v>463</v>
      </c>
      <c r="F886" s="6">
        <v>236</v>
      </c>
      <c r="G886" s="45" t="s">
        <v>18</v>
      </c>
      <c r="H886" s="3" t="s">
        <v>992</v>
      </c>
      <c r="I886" s="6">
        <v>0</v>
      </c>
      <c r="J886" s="6">
        <v>0</v>
      </c>
      <c r="K886" s="6">
        <v>36</v>
      </c>
      <c r="L886" s="4">
        <v>0</v>
      </c>
      <c r="M886" s="14" t="s">
        <v>157</v>
      </c>
      <c r="N886" s="15" t="s">
        <v>202</v>
      </c>
    </row>
    <row r="887" spans="1:14">
      <c r="A887" s="12">
        <v>886</v>
      </c>
      <c r="B887" s="3" t="s">
        <v>1553</v>
      </c>
      <c r="C887" s="43" t="s">
        <v>1554</v>
      </c>
      <c r="D887" s="43" t="s">
        <v>1556</v>
      </c>
      <c r="E887" s="43" t="s">
        <v>463</v>
      </c>
      <c r="F887" s="6">
        <v>236</v>
      </c>
      <c r="G887" s="45" t="s">
        <v>18</v>
      </c>
      <c r="H887" s="3" t="s">
        <v>992</v>
      </c>
      <c r="I887" s="6">
        <v>0</v>
      </c>
      <c r="J887" s="6">
        <v>0</v>
      </c>
      <c r="K887" s="6">
        <v>36</v>
      </c>
      <c r="L887" s="4">
        <v>0</v>
      </c>
      <c r="M887" s="14" t="s">
        <v>157</v>
      </c>
      <c r="N887" s="15" t="s">
        <v>202</v>
      </c>
    </row>
    <row r="888" spans="1:14">
      <c r="A888" s="12">
        <v>887</v>
      </c>
      <c r="B888" s="3" t="s">
        <v>1553</v>
      </c>
      <c r="C888" s="43" t="s">
        <v>1554</v>
      </c>
      <c r="D888" s="43" t="s">
        <v>1557</v>
      </c>
      <c r="E888" s="43" t="s">
        <v>463</v>
      </c>
      <c r="F888" s="6">
        <v>236</v>
      </c>
      <c r="G888" s="45" t="s">
        <v>18</v>
      </c>
      <c r="H888" s="3" t="s">
        <v>992</v>
      </c>
      <c r="I888" s="6">
        <v>0</v>
      </c>
      <c r="J888" s="6">
        <v>0</v>
      </c>
      <c r="K888" s="6">
        <v>36</v>
      </c>
      <c r="L888" s="4">
        <v>0</v>
      </c>
      <c r="M888" s="14" t="s">
        <v>157</v>
      </c>
      <c r="N888" s="15" t="s">
        <v>202</v>
      </c>
    </row>
    <row r="889" spans="1:14">
      <c r="A889" s="12">
        <v>888</v>
      </c>
      <c r="B889" s="3" t="s">
        <v>1553</v>
      </c>
      <c r="C889" s="43" t="s">
        <v>1554</v>
      </c>
      <c r="D889" s="43" t="s">
        <v>1558</v>
      </c>
      <c r="E889" s="43" t="s">
        <v>924</v>
      </c>
      <c r="F889" s="6">
        <v>236</v>
      </c>
      <c r="G889" s="45" t="s">
        <v>18</v>
      </c>
      <c r="H889" s="3" t="s">
        <v>992</v>
      </c>
      <c r="I889" s="6">
        <v>0</v>
      </c>
      <c r="J889" s="6">
        <v>0</v>
      </c>
      <c r="K889" s="6">
        <v>36</v>
      </c>
      <c r="L889" s="4">
        <v>0</v>
      </c>
      <c r="M889" s="14" t="s">
        <v>157</v>
      </c>
      <c r="N889" s="15" t="s">
        <v>202</v>
      </c>
    </row>
    <row r="890" spans="1:14">
      <c r="A890" s="12">
        <v>889</v>
      </c>
      <c r="B890" s="3" t="s">
        <v>1553</v>
      </c>
      <c r="C890" s="43" t="s">
        <v>1554</v>
      </c>
      <c r="D890" s="43" t="s">
        <v>1559</v>
      </c>
      <c r="E890" s="43" t="s">
        <v>924</v>
      </c>
      <c r="F890" s="6">
        <v>236</v>
      </c>
      <c r="G890" s="45" t="s">
        <v>18</v>
      </c>
      <c r="H890" s="3" t="s">
        <v>992</v>
      </c>
      <c r="I890" s="6">
        <v>0</v>
      </c>
      <c r="J890" s="6">
        <v>0</v>
      </c>
      <c r="K890" s="6">
        <v>36</v>
      </c>
      <c r="L890" s="4">
        <v>0</v>
      </c>
      <c r="M890" s="14" t="s">
        <v>157</v>
      </c>
      <c r="N890" s="15" t="s">
        <v>202</v>
      </c>
    </row>
    <row r="891" spans="1:14">
      <c r="A891" s="12">
        <v>890</v>
      </c>
      <c r="B891" s="3" t="s">
        <v>1553</v>
      </c>
      <c r="C891" s="43" t="s">
        <v>1554</v>
      </c>
      <c r="D891" s="43" t="s">
        <v>1560</v>
      </c>
      <c r="E891" s="43" t="s">
        <v>924</v>
      </c>
      <c r="F891" s="6">
        <v>236</v>
      </c>
      <c r="G891" s="45" t="s">
        <v>18</v>
      </c>
      <c r="H891" s="3" t="s">
        <v>992</v>
      </c>
      <c r="I891" s="6">
        <v>0</v>
      </c>
      <c r="J891" s="6">
        <v>0</v>
      </c>
      <c r="K891" s="6">
        <v>36</v>
      </c>
      <c r="L891" s="4">
        <v>0</v>
      </c>
      <c r="M891" s="14" t="s">
        <v>157</v>
      </c>
      <c r="N891" s="15" t="s">
        <v>202</v>
      </c>
    </row>
    <row r="892" spans="1:14">
      <c r="A892" s="12">
        <v>891</v>
      </c>
      <c r="B892" s="3" t="s">
        <v>1553</v>
      </c>
      <c r="C892" s="43" t="s">
        <v>1554</v>
      </c>
      <c r="D892" s="43" t="s">
        <v>1561</v>
      </c>
      <c r="E892" s="43" t="s">
        <v>924</v>
      </c>
      <c r="F892" s="6">
        <v>236</v>
      </c>
      <c r="G892" s="45" t="s">
        <v>18</v>
      </c>
      <c r="H892" s="3" t="s">
        <v>992</v>
      </c>
      <c r="I892" s="6">
        <v>0</v>
      </c>
      <c r="J892" s="6">
        <v>0</v>
      </c>
      <c r="K892" s="6">
        <v>36</v>
      </c>
      <c r="L892" s="4">
        <v>0</v>
      </c>
      <c r="M892" s="14" t="s">
        <v>157</v>
      </c>
      <c r="N892" s="15" t="s">
        <v>202</v>
      </c>
    </row>
    <row r="893" spans="1:14">
      <c r="A893" s="12">
        <v>892</v>
      </c>
      <c r="B893" s="3" t="s">
        <v>1553</v>
      </c>
      <c r="C893" s="43" t="s">
        <v>1554</v>
      </c>
      <c r="D893" s="43" t="s">
        <v>1562</v>
      </c>
      <c r="E893" s="43" t="s">
        <v>822</v>
      </c>
      <c r="F893" s="6">
        <v>236</v>
      </c>
      <c r="G893" s="45" t="s">
        <v>18</v>
      </c>
      <c r="H893" s="3" t="s">
        <v>992</v>
      </c>
      <c r="I893" s="6">
        <v>0</v>
      </c>
      <c r="J893" s="6">
        <v>0</v>
      </c>
      <c r="K893" s="6">
        <v>36</v>
      </c>
      <c r="L893" s="4">
        <v>0</v>
      </c>
      <c r="M893" s="14" t="s">
        <v>157</v>
      </c>
      <c r="N893" s="15" t="s">
        <v>202</v>
      </c>
    </row>
    <row r="894" spans="1:14">
      <c r="A894" s="12">
        <v>893</v>
      </c>
      <c r="B894" s="3" t="s">
        <v>1553</v>
      </c>
      <c r="C894" s="43" t="s">
        <v>1554</v>
      </c>
      <c r="D894" s="43" t="s">
        <v>1563</v>
      </c>
      <c r="E894" s="43" t="s">
        <v>843</v>
      </c>
      <c r="F894" s="6">
        <v>236</v>
      </c>
      <c r="G894" s="45" t="s">
        <v>18</v>
      </c>
      <c r="H894" s="3" t="s">
        <v>992</v>
      </c>
      <c r="I894" s="6">
        <v>0</v>
      </c>
      <c r="J894" s="6">
        <v>0</v>
      </c>
      <c r="K894" s="6">
        <v>36</v>
      </c>
      <c r="L894" s="4">
        <v>0</v>
      </c>
      <c r="M894" s="14" t="s">
        <v>157</v>
      </c>
      <c r="N894" s="15" t="s">
        <v>202</v>
      </c>
    </row>
    <row r="895" spans="1:14">
      <c r="A895" s="12">
        <v>894</v>
      </c>
      <c r="B895" s="3" t="s">
        <v>1553</v>
      </c>
      <c r="C895" s="43" t="s">
        <v>1554</v>
      </c>
      <c r="D895" s="43" t="s">
        <v>1564</v>
      </c>
      <c r="E895" s="43" t="s">
        <v>843</v>
      </c>
      <c r="F895" s="6">
        <v>236</v>
      </c>
      <c r="G895" s="45" t="s">
        <v>18</v>
      </c>
      <c r="H895" s="3" t="s">
        <v>992</v>
      </c>
      <c r="I895" s="6">
        <v>0</v>
      </c>
      <c r="J895" s="6">
        <v>0</v>
      </c>
      <c r="K895" s="6">
        <v>36</v>
      </c>
      <c r="L895" s="4">
        <v>0</v>
      </c>
      <c r="M895" s="14" t="s">
        <v>157</v>
      </c>
      <c r="N895" s="15" t="s">
        <v>202</v>
      </c>
    </row>
    <row r="896" spans="1:14">
      <c r="A896" s="12">
        <v>895</v>
      </c>
      <c r="B896" s="3" t="s">
        <v>1553</v>
      </c>
      <c r="C896" s="43" t="s">
        <v>1554</v>
      </c>
      <c r="D896" s="43" t="s">
        <v>1565</v>
      </c>
      <c r="E896" s="43" t="s">
        <v>135</v>
      </c>
      <c r="F896" s="6">
        <v>236</v>
      </c>
      <c r="G896" s="45" t="s">
        <v>18</v>
      </c>
      <c r="H896" s="3" t="s">
        <v>992</v>
      </c>
      <c r="I896" s="6">
        <v>0</v>
      </c>
      <c r="J896" s="6">
        <v>0</v>
      </c>
      <c r="K896" s="6">
        <v>36</v>
      </c>
      <c r="L896" s="4">
        <v>0</v>
      </c>
      <c r="M896" s="14" t="s">
        <v>157</v>
      </c>
      <c r="N896" s="15" t="s">
        <v>202</v>
      </c>
    </row>
    <row r="897" spans="1:14">
      <c r="A897" s="12">
        <v>896</v>
      </c>
      <c r="B897" s="3" t="s">
        <v>1553</v>
      </c>
      <c r="C897" s="43" t="s">
        <v>1554</v>
      </c>
      <c r="D897" s="43" t="s">
        <v>1566</v>
      </c>
      <c r="E897" s="43" t="s">
        <v>135</v>
      </c>
      <c r="F897" s="6">
        <v>236</v>
      </c>
      <c r="G897" s="45" t="s">
        <v>18</v>
      </c>
      <c r="H897" s="3" t="s">
        <v>992</v>
      </c>
      <c r="I897" s="6">
        <v>0</v>
      </c>
      <c r="J897" s="6">
        <v>0</v>
      </c>
      <c r="K897" s="6">
        <v>36</v>
      </c>
      <c r="L897" s="4">
        <v>0</v>
      </c>
      <c r="M897" s="14" t="s">
        <v>157</v>
      </c>
      <c r="N897" s="15" t="s">
        <v>202</v>
      </c>
    </row>
    <row r="898" spans="1:14">
      <c r="A898" s="12">
        <v>897</v>
      </c>
      <c r="B898" s="14"/>
      <c r="C898" s="45" t="s">
        <v>1567</v>
      </c>
      <c r="D898" s="45" t="s">
        <v>946</v>
      </c>
      <c r="E898" s="55">
        <v>45688</v>
      </c>
      <c r="F898" s="15">
        <v>176200</v>
      </c>
      <c r="G898" s="45" t="s">
        <v>18</v>
      </c>
      <c r="H898" s="14">
        <v>996511</v>
      </c>
      <c r="I898" s="14">
        <v>4405</v>
      </c>
      <c r="J898" s="14">
        <v>4405</v>
      </c>
      <c r="K898" s="14">
        <v>0</v>
      </c>
      <c r="L898" s="4">
        <v>0</v>
      </c>
      <c r="M898" s="14" t="s">
        <v>19</v>
      </c>
      <c r="N898" s="14">
        <f t="shared" ref="N898:N929" si="27">SUM(I898:L898)</f>
        <v>8810</v>
      </c>
    </row>
    <row r="899" spans="1:14">
      <c r="A899" s="12">
        <v>898</v>
      </c>
      <c r="B899" s="14"/>
      <c r="C899" s="44" t="s">
        <v>1567</v>
      </c>
      <c r="D899" s="45" t="s">
        <v>946</v>
      </c>
      <c r="E899" s="55">
        <v>45716</v>
      </c>
      <c r="F899" s="34">
        <v>66200</v>
      </c>
      <c r="G899" s="45" t="s">
        <v>18</v>
      </c>
      <c r="H899" s="14">
        <v>996511</v>
      </c>
      <c r="I899" s="14">
        <v>1655</v>
      </c>
      <c r="J899" s="14">
        <v>1655</v>
      </c>
      <c r="K899" s="14">
        <v>0</v>
      </c>
      <c r="L899" s="4">
        <v>0</v>
      </c>
      <c r="M899" s="14" t="s">
        <v>19</v>
      </c>
      <c r="N899" s="14">
        <f t="shared" si="27"/>
        <v>3310</v>
      </c>
    </row>
    <row r="900" spans="1:14">
      <c r="A900" s="12">
        <v>899</v>
      </c>
      <c r="B900" s="14"/>
      <c r="C900" s="45" t="s">
        <v>1568</v>
      </c>
      <c r="D900" s="45" t="s">
        <v>946</v>
      </c>
      <c r="E900" s="55">
        <v>45688</v>
      </c>
      <c r="F900" s="15">
        <v>140600</v>
      </c>
      <c r="G900" s="45" t="s">
        <v>18</v>
      </c>
      <c r="H900" s="14">
        <v>996511</v>
      </c>
      <c r="I900" s="14">
        <v>3515</v>
      </c>
      <c r="J900" s="14">
        <v>3515</v>
      </c>
      <c r="K900" s="14">
        <v>0</v>
      </c>
      <c r="L900" s="4">
        <v>0</v>
      </c>
      <c r="M900" s="14" t="s">
        <v>19</v>
      </c>
      <c r="N900" s="14">
        <f t="shared" si="27"/>
        <v>7030</v>
      </c>
    </row>
    <row r="901" spans="1:14">
      <c r="A901" s="12">
        <v>900</v>
      </c>
      <c r="B901" s="14"/>
      <c r="C901" s="45" t="s">
        <v>1568</v>
      </c>
      <c r="D901" s="45" t="s">
        <v>946</v>
      </c>
      <c r="E901" s="55">
        <v>45688</v>
      </c>
      <c r="F901" s="15">
        <v>68600</v>
      </c>
      <c r="G901" s="45" t="s">
        <v>18</v>
      </c>
      <c r="H901" s="14">
        <v>996511</v>
      </c>
      <c r="I901" s="14">
        <v>1715</v>
      </c>
      <c r="J901" s="14">
        <v>1715</v>
      </c>
      <c r="K901" s="14">
        <v>0</v>
      </c>
      <c r="L901" s="4">
        <v>0</v>
      </c>
      <c r="M901" s="14" t="s">
        <v>19</v>
      </c>
      <c r="N901" s="14">
        <f t="shared" si="27"/>
        <v>3430</v>
      </c>
    </row>
    <row r="902" spans="1:14">
      <c r="A902" s="12">
        <v>901</v>
      </c>
      <c r="B902" s="14"/>
      <c r="C902" s="45" t="s">
        <v>1568</v>
      </c>
      <c r="D902" s="45" t="s">
        <v>946</v>
      </c>
      <c r="E902" s="55">
        <v>45688</v>
      </c>
      <c r="F902" s="15">
        <v>342235</v>
      </c>
      <c r="G902" s="45" t="s">
        <v>18</v>
      </c>
      <c r="H902" s="14">
        <v>996511</v>
      </c>
      <c r="I902" s="14">
        <v>8555.875</v>
      </c>
      <c r="J902" s="14">
        <v>8555.875</v>
      </c>
      <c r="K902" s="14">
        <v>0</v>
      </c>
      <c r="L902" s="4">
        <v>0</v>
      </c>
      <c r="M902" s="14" t="s">
        <v>19</v>
      </c>
      <c r="N902" s="14">
        <f t="shared" si="27"/>
        <v>17111.75</v>
      </c>
    </row>
    <row r="903" spans="1:14">
      <c r="A903" s="12">
        <v>902</v>
      </c>
      <c r="B903" s="14"/>
      <c r="C903" s="45" t="s">
        <v>1568</v>
      </c>
      <c r="D903" s="45" t="s">
        <v>946</v>
      </c>
      <c r="E903" s="55">
        <v>45688</v>
      </c>
      <c r="F903" s="15">
        <v>64350</v>
      </c>
      <c r="G903" s="45" t="s">
        <v>18</v>
      </c>
      <c r="H903" s="14">
        <v>996511</v>
      </c>
      <c r="I903" s="14">
        <v>1608.75</v>
      </c>
      <c r="J903" s="14">
        <v>1608.75</v>
      </c>
      <c r="K903" s="14">
        <v>0</v>
      </c>
      <c r="L903" s="4">
        <v>0</v>
      </c>
      <c r="M903" s="14" t="s">
        <v>19</v>
      </c>
      <c r="N903" s="14">
        <f t="shared" si="27"/>
        <v>3217.5</v>
      </c>
    </row>
    <row r="904" spans="1:14">
      <c r="A904" s="12">
        <v>903</v>
      </c>
      <c r="B904" s="14"/>
      <c r="C904" s="45" t="s">
        <v>1568</v>
      </c>
      <c r="D904" s="45" t="s">
        <v>946</v>
      </c>
      <c r="E904" s="55">
        <v>45688</v>
      </c>
      <c r="F904" s="15">
        <v>72000</v>
      </c>
      <c r="G904" s="45" t="s">
        <v>18</v>
      </c>
      <c r="H904" s="14">
        <v>996511</v>
      </c>
      <c r="I904" s="14">
        <v>1800</v>
      </c>
      <c r="J904" s="14">
        <v>1800</v>
      </c>
      <c r="K904" s="14">
        <v>0</v>
      </c>
      <c r="L904" s="4">
        <v>0</v>
      </c>
      <c r="M904" s="14" t="s">
        <v>19</v>
      </c>
      <c r="N904" s="14">
        <f t="shared" si="27"/>
        <v>3600</v>
      </c>
    </row>
    <row r="905" spans="1:14">
      <c r="A905" s="12">
        <v>904</v>
      </c>
      <c r="B905" s="14"/>
      <c r="C905" s="45" t="s">
        <v>1568</v>
      </c>
      <c r="D905" s="45" t="s">
        <v>946</v>
      </c>
      <c r="E905" s="55">
        <v>45688</v>
      </c>
      <c r="F905" s="15">
        <v>65200</v>
      </c>
      <c r="G905" s="45" t="s">
        <v>18</v>
      </c>
      <c r="H905" s="14">
        <v>996511</v>
      </c>
      <c r="I905" s="14">
        <v>1630</v>
      </c>
      <c r="J905" s="14">
        <v>1630</v>
      </c>
      <c r="K905" s="14">
        <v>0</v>
      </c>
      <c r="L905" s="4">
        <v>0</v>
      </c>
      <c r="M905" s="14" t="s">
        <v>19</v>
      </c>
      <c r="N905" s="14">
        <f t="shared" si="27"/>
        <v>3260</v>
      </c>
    </row>
    <row r="906" spans="1:14">
      <c r="A906" s="12">
        <v>905</v>
      </c>
      <c r="B906" s="14"/>
      <c r="C906" s="45" t="s">
        <v>1568</v>
      </c>
      <c r="D906" s="45" t="s">
        <v>946</v>
      </c>
      <c r="E906" s="55">
        <v>45688</v>
      </c>
      <c r="F906" s="15">
        <v>65200</v>
      </c>
      <c r="G906" s="45" t="s">
        <v>18</v>
      </c>
      <c r="H906" s="14">
        <v>996511</v>
      </c>
      <c r="I906" s="14">
        <v>1630</v>
      </c>
      <c r="J906" s="14">
        <v>1630</v>
      </c>
      <c r="K906" s="14">
        <v>0</v>
      </c>
      <c r="L906" s="4">
        <v>0</v>
      </c>
      <c r="M906" s="14" t="s">
        <v>19</v>
      </c>
      <c r="N906" s="14">
        <f t="shared" si="27"/>
        <v>3260</v>
      </c>
    </row>
    <row r="907" spans="1:14">
      <c r="A907" s="12">
        <v>906</v>
      </c>
      <c r="B907" s="14"/>
      <c r="C907" s="44" t="s">
        <v>1568</v>
      </c>
      <c r="D907" s="45" t="s">
        <v>946</v>
      </c>
      <c r="E907" s="55">
        <v>45716</v>
      </c>
      <c r="F907" s="34">
        <v>164300</v>
      </c>
      <c r="G907" s="45" t="s">
        <v>18</v>
      </c>
      <c r="H907" s="14">
        <v>996511</v>
      </c>
      <c r="I907" s="14">
        <v>4108</v>
      </c>
      <c r="J907" s="14">
        <v>4108</v>
      </c>
      <c r="K907" s="14">
        <v>0</v>
      </c>
      <c r="L907" s="4">
        <v>0</v>
      </c>
      <c r="M907" s="14" t="s">
        <v>19</v>
      </c>
      <c r="N907" s="14">
        <f t="shared" si="27"/>
        <v>8216</v>
      </c>
    </row>
    <row r="908" spans="1:14">
      <c r="A908" s="12">
        <v>907</v>
      </c>
      <c r="B908" s="3" t="s">
        <v>1569</v>
      </c>
      <c r="C908" s="43" t="s">
        <v>1570</v>
      </c>
      <c r="D908" s="43" t="s">
        <v>1571</v>
      </c>
      <c r="E908" s="43" t="s">
        <v>773</v>
      </c>
      <c r="F908" s="6">
        <v>34792</v>
      </c>
      <c r="G908" s="45" t="s">
        <v>18</v>
      </c>
      <c r="H908" s="14">
        <v>996713</v>
      </c>
      <c r="I908" s="6">
        <v>0</v>
      </c>
      <c r="J908" s="6">
        <v>0</v>
      </c>
      <c r="K908" s="6">
        <v>1048.5</v>
      </c>
      <c r="L908" s="4">
        <v>0</v>
      </c>
      <c r="M908" s="14" t="s">
        <v>19</v>
      </c>
      <c r="N908" s="15">
        <f t="shared" si="27"/>
        <v>1048.5</v>
      </c>
    </row>
    <row r="909" spans="1:14">
      <c r="A909" s="12">
        <v>908</v>
      </c>
      <c r="B909" s="3" t="s">
        <v>1569</v>
      </c>
      <c r="C909" s="43" t="s">
        <v>1570</v>
      </c>
      <c r="D909" s="43" t="s">
        <v>1572</v>
      </c>
      <c r="E909" s="43" t="s">
        <v>773</v>
      </c>
      <c r="F909" s="6">
        <v>154095</v>
      </c>
      <c r="G909" s="45" t="s">
        <v>18</v>
      </c>
      <c r="H909" s="14">
        <v>996713</v>
      </c>
      <c r="I909" s="6">
        <v>0</v>
      </c>
      <c r="J909" s="6">
        <v>0</v>
      </c>
      <c r="K909" s="6">
        <v>6869.75</v>
      </c>
      <c r="L909" s="4">
        <v>0</v>
      </c>
      <c r="M909" s="14" t="s">
        <v>19</v>
      </c>
      <c r="N909" s="15">
        <f t="shared" si="27"/>
        <v>6869.75</v>
      </c>
    </row>
    <row r="910" spans="1:14">
      <c r="A910" s="12">
        <v>909</v>
      </c>
      <c r="B910" s="3" t="s">
        <v>1569</v>
      </c>
      <c r="C910" s="43" t="s">
        <v>1570</v>
      </c>
      <c r="D910" s="43" t="s">
        <v>1573</v>
      </c>
      <c r="E910" s="43" t="s">
        <v>773</v>
      </c>
      <c r="F910" s="6">
        <v>154095</v>
      </c>
      <c r="G910" s="45" t="s">
        <v>18</v>
      </c>
      <c r="H910" s="14">
        <v>996713</v>
      </c>
      <c r="I910" s="6">
        <v>0</v>
      </c>
      <c r="J910" s="6">
        <v>0</v>
      </c>
      <c r="K910" s="6">
        <v>6869.75</v>
      </c>
      <c r="L910" s="4">
        <v>0</v>
      </c>
      <c r="M910" s="14" t="s">
        <v>19</v>
      </c>
      <c r="N910" s="15">
        <f t="shared" si="27"/>
        <v>6869.75</v>
      </c>
    </row>
    <row r="911" spans="1:14">
      <c r="A911" s="12">
        <v>910</v>
      </c>
      <c r="B911" s="3" t="s">
        <v>1569</v>
      </c>
      <c r="C911" s="43" t="s">
        <v>1570</v>
      </c>
      <c r="D911" s="43" t="s">
        <v>1574</v>
      </c>
      <c r="E911" s="43" t="s">
        <v>51</v>
      </c>
      <c r="F911" s="6">
        <v>246091</v>
      </c>
      <c r="G911" s="45" t="s">
        <v>18</v>
      </c>
      <c r="H911" s="14">
        <v>996713</v>
      </c>
      <c r="I911" s="6">
        <v>0</v>
      </c>
      <c r="J911" s="6">
        <v>0</v>
      </c>
      <c r="K911" s="6">
        <v>37530</v>
      </c>
      <c r="L911" s="4">
        <v>0</v>
      </c>
      <c r="M911" s="14" t="s">
        <v>19</v>
      </c>
      <c r="N911" s="15">
        <f t="shared" si="27"/>
        <v>37530</v>
      </c>
    </row>
    <row r="912" spans="1:14">
      <c r="A912" s="12">
        <v>911</v>
      </c>
      <c r="B912" s="3" t="s">
        <v>1569</v>
      </c>
      <c r="C912" s="43" t="s">
        <v>1570</v>
      </c>
      <c r="D912" s="43" t="s">
        <v>1575</v>
      </c>
      <c r="E912" s="43" t="s">
        <v>51</v>
      </c>
      <c r="F912" s="6">
        <v>369166</v>
      </c>
      <c r="G912" s="45" t="s">
        <v>18</v>
      </c>
      <c r="H912" s="14">
        <v>996713</v>
      </c>
      <c r="I912" s="6">
        <v>0</v>
      </c>
      <c r="J912" s="6">
        <v>0</v>
      </c>
      <c r="K912" s="6">
        <v>56295</v>
      </c>
      <c r="L912" s="4">
        <v>0</v>
      </c>
      <c r="M912" s="14" t="s">
        <v>19</v>
      </c>
      <c r="N912" s="15">
        <f t="shared" si="27"/>
        <v>56295</v>
      </c>
    </row>
    <row r="913" spans="1:14">
      <c r="A913" s="12">
        <v>912</v>
      </c>
      <c r="B913" s="3" t="s">
        <v>1569</v>
      </c>
      <c r="C913" s="43" t="s">
        <v>1570</v>
      </c>
      <c r="D913" s="43" t="s">
        <v>1576</v>
      </c>
      <c r="E913" s="43" t="s">
        <v>51</v>
      </c>
      <c r="F913" s="6">
        <v>246030</v>
      </c>
      <c r="G913" s="45" t="s">
        <v>18</v>
      </c>
      <c r="H913" s="14">
        <v>996713</v>
      </c>
      <c r="I913" s="6">
        <v>0</v>
      </c>
      <c r="J913" s="6">
        <v>0</v>
      </c>
      <c r="K913" s="6">
        <v>37530</v>
      </c>
      <c r="L913" s="4">
        <v>0</v>
      </c>
      <c r="M913" s="14" t="s">
        <v>19</v>
      </c>
      <c r="N913" s="15">
        <f t="shared" si="27"/>
        <v>37530</v>
      </c>
    </row>
    <row r="914" spans="1:14">
      <c r="A914" s="12">
        <v>913</v>
      </c>
      <c r="B914" s="3" t="s">
        <v>1569</v>
      </c>
      <c r="C914" s="43" t="s">
        <v>1570</v>
      </c>
      <c r="D914" s="43" t="s">
        <v>1577</v>
      </c>
      <c r="E914" s="43" t="s">
        <v>51</v>
      </c>
      <c r="F914" s="6">
        <v>123136</v>
      </c>
      <c r="G914" s="45" t="s">
        <v>18</v>
      </c>
      <c r="H914" s="14">
        <v>996713</v>
      </c>
      <c r="I914" s="6">
        <v>0</v>
      </c>
      <c r="J914" s="6">
        <v>0</v>
      </c>
      <c r="K914" s="6">
        <v>18765</v>
      </c>
      <c r="L914" s="4">
        <v>0</v>
      </c>
      <c r="M914" s="14" t="s">
        <v>19</v>
      </c>
      <c r="N914" s="15">
        <f t="shared" si="27"/>
        <v>18765</v>
      </c>
    </row>
    <row r="915" spans="1:14">
      <c r="A915" s="12">
        <v>914</v>
      </c>
      <c r="B915" s="3" t="s">
        <v>1569</v>
      </c>
      <c r="C915" s="43" t="s">
        <v>1570</v>
      </c>
      <c r="D915" s="43" t="s">
        <v>1578</v>
      </c>
      <c r="E915" s="43" t="s">
        <v>51</v>
      </c>
      <c r="F915" s="6">
        <v>123015</v>
      </c>
      <c r="G915" s="45" t="s">
        <v>18</v>
      </c>
      <c r="H915" s="14">
        <v>996713</v>
      </c>
      <c r="I915" s="6">
        <v>0</v>
      </c>
      <c r="J915" s="6">
        <v>0</v>
      </c>
      <c r="K915" s="6">
        <v>18765</v>
      </c>
      <c r="L915" s="4">
        <v>0</v>
      </c>
      <c r="M915" s="14" t="s">
        <v>19</v>
      </c>
      <c r="N915" s="15">
        <f t="shared" si="27"/>
        <v>18765</v>
      </c>
    </row>
    <row r="916" spans="1:14">
      <c r="A916" s="12">
        <v>915</v>
      </c>
      <c r="B916" s="3" t="s">
        <v>1569</v>
      </c>
      <c r="C916" s="43" t="s">
        <v>1570</v>
      </c>
      <c r="D916" s="43" t="s">
        <v>1579</v>
      </c>
      <c r="E916" s="43" t="s">
        <v>51</v>
      </c>
      <c r="F916" s="6">
        <v>123015</v>
      </c>
      <c r="G916" s="45" t="s">
        <v>18</v>
      </c>
      <c r="H916" s="14">
        <v>996713</v>
      </c>
      <c r="I916" s="6">
        <v>0</v>
      </c>
      <c r="J916" s="6">
        <v>0</v>
      </c>
      <c r="K916" s="6">
        <v>18765</v>
      </c>
      <c r="L916" s="4">
        <v>0</v>
      </c>
      <c r="M916" s="14" t="s">
        <v>19</v>
      </c>
      <c r="N916" s="15">
        <f t="shared" si="27"/>
        <v>18765</v>
      </c>
    </row>
    <row r="917" spans="1:14">
      <c r="A917" s="12">
        <v>916</v>
      </c>
      <c r="B917" s="3" t="s">
        <v>1569</v>
      </c>
      <c r="C917" s="43" t="s">
        <v>1570</v>
      </c>
      <c r="D917" s="43" t="s">
        <v>1580</v>
      </c>
      <c r="E917" s="43" t="s">
        <v>51</v>
      </c>
      <c r="F917" s="6">
        <v>123015</v>
      </c>
      <c r="G917" s="45" t="s">
        <v>18</v>
      </c>
      <c r="H917" s="14">
        <v>996713</v>
      </c>
      <c r="I917" s="6">
        <v>0</v>
      </c>
      <c r="J917" s="6">
        <v>0</v>
      </c>
      <c r="K917" s="6">
        <v>18765</v>
      </c>
      <c r="L917" s="4">
        <v>0</v>
      </c>
      <c r="M917" s="14" t="s">
        <v>19</v>
      </c>
      <c r="N917" s="15">
        <f t="shared" si="27"/>
        <v>18765</v>
      </c>
    </row>
    <row r="918" spans="1:14">
      <c r="A918" s="12">
        <v>917</v>
      </c>
      <c r="B918" s="3" t="s">
        <v>1569</v>
      </c>
      <c r="C918" s="43" t="s">
        <v>1570</v>
      </c>
      <c r="D918" s="43" t="s">
        <v>1581</v>
      </c>
      <c r="E918" s="43" t="s">
        <v>488</v>
      </c>
      <c r="F918" s="6">
        <v>129474</v>
      </c>
      <c r="G918" s="45" t="s">
        <v>18</v>
      </c>
      <c r="H918" s="14">
        <v>996713</v>
      </c>
      <c r="I918" s="6">
        <v>0</v>
      </c>
      <c r="J918" s="6">
        <v>0</v>
      </c>
      <c r="K918" s="6">
        <v>18546.099999999999</v>
      </c>
      <c r="L918" s="4">
        <v>0</v>
      </c>
      <c r="M918" s="14" t="s">
        <v>19</v>
      </c>
      <c r="N918" s="15">
        <f t="shared" si="27"/>
        <v>18546.099999999999</v>
      </c>
    </row>
    <row r="919" spans="1:14">
      <c r="A919" s="12">
        <v>918</v>
      </c>
      <c r="B919" s="3" t="s">
        <v>1569</v>
      </c>
      <c r="C919" s="43" t="s">
        <v>1570</v>
      </c>
      <c r="D919" s="43" t="s">
        <v>1582</v>
      </c>
      <c r="E919" s="43" t="s">
        <v>488</v>
      </c>
      <c r="F919" s="6">
        <v>129474</v>
      </c>
      <c r="G919" s="45" t="s">
        <v>18</v>
      </c>
      <c r="H919" s="14">
        <v>996713</v>
      </c>
      <c r="I919" s="6">
        <v>0</v>
      </c>
      <c r="J919" s="6">
        <v>0</v>
      </c>
      <c r="K919" s="6">
        <v>18546.099999999999</v>
      </c>
      <c r="L919" s="4">
        <v>0</v>
      </c>
      <c r="M919" s="14" t="s">
        <v>19</v>
      </c>
      <c r="N919" s="15">
        <f t="shared" si="27"/>
        <v>18546.099999999999</v>
      </c>
    </row>
    <row r="920" spans="1:14">
      <c r="A920" s="12">
        <v>919</v>
      </c>
      <c r="B920" s="3" t="s">
        <v>1569</v>
      </c>
      <c r="C920" s="43" t="s">
        <v>1570</v>
      </c>
      <c r="D920" s="43" t="s">
        <v>1583</v>
      </c>
      <c r="E920" s="43" t="s">
        <v>59</v>
      </c>
      <c r="F920" s="6">
        <v>8992</v>
      </c>
      <c r="G920" s="45" t="s">
        <v>18</v>
      </c>
      <c r="H920" s="14">
        <v>996713</v>
      </c>
      <c r="I920" s="6">
        <v>0</v>
      </c>
      <c r="J920" s="6">
        <v>0</v>
      </c>
      <c r="K920" s="6">
        <v>1371.6</v>
      </c>
      <c r="L920" s="4">
        <v>0</v>
      </c>
      <c r="M920" s="14" t="s">
        <v>19</v>
      </c>
      <c r="N920" s="15">
        <f t="shared" si="27"/>
        <v>1371.6</v>
      </c>
    </row>
    <row r="921" spans="1:14">
      <c r="A921" s="12">
        <v>920</v>
      </c>
      <c r="B921" s="3" t="s">
        <v>1569</v>
      </c>
      <c r="C921" s="43" t="s">
        <v>1570</v>
      </c>
      <c r="D921" s="43" t="s">
        <v>1584</v>
      </c>
      <c r="E921" s="43" t="s">
        <v>59</v>
      </c>
      <c r="F921" s="15">
        <v>-129800</v>
      </c>
      <c r="G921" s="45" t="s">
        <v>18</v>
      </c>
      <c r="H921" s="14">
        <v>996713</v>
      </c>
      <c r="I921" s="14">
        <v>0</v>
      </c>
      <c r="J921" s="14">
        <v>0</v>
      </c>
      <c r="K921" s="14">
        <v>-19800</v>
      </c>
      <c r="L921" s="4">
        <v>0</v>
      </c>
      <c r="M921" s="14" t="s">
        <v>19</v>
      </c>
      <c r="N921" s="15">
        <f t="shared" si="27"/>
        <v>-19800</v>
      </c>
    </row>
    <row r="922" spans="1:14">
      <c r="A922" s="12">
        <v>921</v>
      </c>
      <c r="B922" s="3" t="s">
        <v>1569</v>
      </c>
      <c r="C922" s="43" t="s">
        <v>1570</v>
      </c>
      <c r="D922" s="43" t="s">
        <v>1585</v>
      </c>
      <c r="E922" s="43" t="s">
        <v>59</v>
      </c>
      <c r="F922" s="15">
        <v>-194700</v>
      </c>
      <c r="G922" s="45" t="s">
        <v>18</v>
      </c>
      <c r="H922" s="14">
        <v>996713</v>
      </c>
      <c r="I922" s="14">
        <v>0</v>
      </c>
      <c r="J922" s="14">
        <v>0</v>
      </c>
      <c r="K922" s="14">
        <v>-29700</v>
      </c>
      <c r="L922" s="4">
        <v>0</v>
      </c>
      <c r="M922" s="14" t="s">
        <v>19</v>
      </c>
      <c r="N922" s="15">
        <f t="shared" si="27"/>
        <v>-29700</v>
      </c>
    </row>
    <row r="923" spans="1:14">
      <c r="A923" s="12">
        <v>922</v>
      </c>
      <c r="B923" s="3" t="s">
        <v>1569</v>
      </c>
      <c r="C923" s="43" t="s">
        <v>1570</v>
      </c>
      <c r="D923" s="43" t="s">
        <v>1586</v>
      </c>
      <c r="E923" s="43" t="s">
        <v>59</v>
      </c>
      <c r="F923" s="15">
        <v>-129800</v>
      </c>
      <c r="G923" s="45" t="s">
        <v>18</v>
      </c>
      <c r="H923" s="14">
        <v>996713</v>
      </c>
      <c r="I923" s="14">
        <v>0</v>
      </c>
      <c r="J923" s="14">
        <v>0</v>
      </c>
      <c r="K923" s="14">
        <v>-19800</v>
      </c>
      <c r="L923" s="4">
        <v>0</v>
      </c>
      <c r="M923" s="14" t="s">
        <v>19</v>
      </c>
      <c r="N923" s="15">
        <f t="shared" si="27"/>
        <v>-19800</v>
      </c>
    </row>
    <row r="924" spans="1:14">
      <c r="A924" s="12">
        <v>923</v>
      </c>
      <c r="B924" s="3" t="s">
        <v>1569</v>
      </c>
      <c r="C924" s="43" t="s">
        <v>1570</v>
      </c>
      <c r="D924" s="43" t="s">
        <v>1587</v>
      </c>
      <c r="E924" s="43" t="s">
        <v>59</v>
      </c>
      <c r="F924" s="15">
        <v>-64900</v>
      </c>
      <c r="G924" s="45" t="s">
        <v>18</v>
      </c>
      <c r="H924" s="14">
        <v>996713</v>
      </c>
      <c r="I924" s="14">
        <v>0</v>
      </c>
      <c r="J924" s="14">
        <v>0</v>
      </c>
      <c r="K924" s="14">
        <v>-9900</v>
      </c>
      <c r="L924" s="4">
        <v>0</v>
      </c>
      <c r="M924" s="14" t="s">
        <v>19</v>
      </c>
      <c r="N924" s="15">
        <f t="shared" si="27"/>
        <v>-9900</v>
      </c>
    </row>
    <row r="925" spans="1:14">
      <c r="A925" s="12">
        <v>924</v>
      </c>
      <c r="B925" s="3" t="s">
        <v>1569</v>
      </c>
      <c r="C925" s="43" t="s">
        <v>1570</v>
      </c>
      <c r="D925" s="43" t="s">
        <v>1588</v>
      </c>
      <c r="E925" s="43" t="s">
        <v>59</v>
      </c>
      <c r="F925" s="15">
        <v>-64900</v>
      </c>
      <c r="G925" s="45" t="s">
        <v>18</v>
      </c>
      <c r="H925" s="14">
        <v>996713</v>
      </c>
      <c r="I925" s="14">
        <v>0</v>
      </c>
      <c r="J925" s="14">
        <v>0</v>
      </c>
      <c r="K925" s="14">
        <v>-9900</v>
      </c>
      <c r="L925" s="4">
        <v>0</v>
      </c>
      <c r="M925" s="14" t="s">
        <v>19</v>
      </c>
      <c r="N925" s="15">
        <f t="shared" si="27"/>
        <v>-9900</v>
      </c>
    </row>
    <row r="926" spans="1:14">
      <c r="A926" s="12">
        <v>925</v>
      </c>
      <c r="B926" s="3" t="s">
        <v>1569</v>
      </c>
      <c r="C926" s="43" t="s">
        <v>1570</v>
      </c>
      <c r="D926" s="43" t="s">
        <v>1589</v>
      </c>
      <c r="E926" s="43" t="s">
        <v>59</v>
      </c>
      <c r="F926" s="15">
        <v>-64900</v>
      </c>
      <c r="G926" s="45" t="s">
        <v>18</v>
      </c>
      <c r="H926" s="14">
        <v>996713</v>
      </c>
      <c r="I926" s="14">
        <v>0</v>
      </c>
      <c r="J926" s="14">
        <v>0</v>
      </c>
      <c r="K926" s="14">
        <v>-9900</v>
      </c>
      <c r="L926" s="4">
        <v>0</v>
      </c>
      <c r="M926" s="14" t="s">
        <v>19</v>
      </c>
      <c r="N926" s="15">
        <f t="shared" si="27"/>
        <v>-9900</v>
      </c>
    </row>
    <row r="927" spans="1:14">
      <c r="A927" s="12">
        <v>926</v>
      </c>
      <c r="B927" s="3" t="s">
        <v>1569</v>
      </c>
      <c r="C927" s="43" t="s">
        <v>1570</v>
      </c>
      <c r="D927" s="43" t="s">
        <v>1590</v>
      </c>
      <c r="E927" s="43" t="s">
        <v>59</v>
      </c>
      <c r="F927" s="15">
        <v>-64900</v>
      </c>
      <c r="G927" s="45" t="s">
        <v>18</v>
      </c>
      <c r="H927" s="14">
        <v>996713</v>
      </c>
      <c r="I927" s="14">
        <v>0</v>
      </c>
      <c r="J927" s="14">
        <v>0</v>
      </c>
      <c r="K927" s="14">
        <v>-9900</v>
      </c>
      <c r="L927" s="4">
        <v>0</v>
      </c>
      <c r="M927" s="14" t="s">
        <v>19</v>
      </c>
      <c r="N927" s="15">
        <f t="shared" si="27"/>
        <v>-9900</v>
      </c>
    </row>
    <row r="928" spans="1:14">
      <c r="A928" s="12">
        <v>927</v>
      </c>
      <c r="B928" s="3" t="s">
        <v>1569</v>
      </c>
      <c r="C928" s="43" t="s">
        <v>1570</v>
      </c>
      <c r="D928" s="43" t="s">
        <v>1591</v>
      </c>
      <c r="E928" s="43" t="s">
        <v>59</v>
      </c>
      <c r="F928" s="15">
        <v>-64900</v>
      </c>
      <c r="G928" s="45" t="s">
        <v>18</v>
      </c>
      <c r="H928" s="14">
        <v>996713</v>
      </c>
      <c r="I928" s="14">
        <v>0</v>
      </c>
      <c r="J928" s="14">
        <v>0</v>
      </c>
      <c r="K928" s="14">
        <v>-9900</v>
      </c>
      <c r="L928" s="4">
        <v>0</v>
      </c>
      <c r="M928" s="14" t="s">
        <v>19</v>
      </c>
      <c r="N928" s="15">
        <f t="shared" si="27"/>
        <v>-9900</v>
      </c>
    </row>
    <row r="929" spans="1:14">
      <c r="A929" s="12">
        <v>928</v>
      </c>
      <c r="B929" s="3" t="s">
        <v>1569</v>
      </c>
      <c r="C929" s="43" t="s">
        <v>1570</v>
      </c>
      <c r="D929" s="43" t="s">
        <v>1592</v>
      </c>
      <c r="E929" s="43" t="s">
        <v>59</v>
      </c>
      <c r="F929" s="15">
        <v>-64900</v>
      </c>
      <c r="G929" s="45" t="s">
        <v>18</v>
      </c>
      <c r="H929" s="14">
        <v>996713</v>
      </c>
      <c r="I929" s="14">
        <v>0</v>
      </c>
      <c r="J929" s="14">
        <v>0</v>
      </c>
      <c r="K929" s="14">
        <v>-9900</v>
      </c>
      <c r="L929" s="4">
        <v>0</v>
      </c>
      <c r="M929" s="14" t="s">
        <v>19</v>
      </c>
      <c r="N929" s="15">
        <f t="shared" si="27"/>
        <v>-9900</v>
      </c>
    </row>
    <row r="930" spans="1:14">
      <c r="A930" s="12">
        <v>929</v>
      </c>
      <c r="B930" s="3" t="s">
        <v>1569</v>
      </c>
      <c r="C930" s="43" t="s">
        <v>1570</v>
      </c>
      <c r="D930" s="43" t="s">
        <v>1593</v>
      </c>
      <c r="E930" s="43" t="s">
        <v>825</v>
      </c>
      <c r="F930" s="6">
        <v>310938</v>
      </c>
      <c r="G930" s="45" t="s">
        <v>18</v>
      </c>
      <c r="H930" s="14">
        <v>996713</v>
      </c>
      <c r="I930" s="6">
        <v>0</v>
      </c>
      <c r="J930" s="6">
        <v>0</v>
      </c>
      <c r="K930" s="6">
        <v>17280</v>
      </c>
      <c r="L930" s="4">
        <v>0</v>
      </c>
      <c r="M930" s="14" t="s">
        <v>19</v>
      </c>
      <c r="N930" s="15">
        <f t="shared" ref="N930:N961" si="28">SUM(I930:L930)</f>
        <v>17280</v>
      </c>
    </row>
    <row r="931" spans="1:14">
      <c r="A931" s="12">
        <v>930</v>
      </c>
      <c r="B931" s="3" t="s">
        <v>1569</v>
      </c>
      <c r="C931" s="43" t="s">
        <v>1570</v>
      </c>
      <c r="D931" s="43" t="s">
        <v>1594</v>
      </c>
      <c r="E931" s="43" t="s">
        <v>825</v>
      </c>
      <c r="F931" s="6">
        <v>593364</v>
      </c>
      <c r="G931" s="45" t="s">
        <v>18</v>
      </c>
      <c r="H931" s="14">
        <v>996713</v>
      </c>
      <c r="I931" s="6">
        <v>0</v>
      </c>
      <c r="J931" s="6">
        <v>0</v>
      </c>
      <c r="K931" s="6">
        <v>34736.400000000001</v>
      </c>
      <c r="L931" s="4">
        <v>0</v>
      </c>
      <c r="M931" s="14" t="s">
        <v>19</v>
      </c>
      <c r="N931" s="15">
        <f t="shared" si="28"/>
        <v>34736.400000000001</v>
      </c>
    </row>
    <row r="932" spans="1:14">
      <c r="A932" s="12">
        <v>931</v>
      </c>
      <c r="B932" s="3" t="s">
        <v>1569</v>
      </c>
      <c r="C932" s="43" t="s">
        <v>1570</v>
      </c>
      <c r="D932" s="43" t="s">
        <v>1595</v>
      </c>
      <c r="E932" s="43" t="s">
        <v>825</v>
      </c>
      <c r="F932" s="6">
        <v>530153</v>
      </c>
      <c r="G932" s="45" t="s">
        <v>18</v>
      </c>
      <c r="H932" s="14">
        <v>996713</v>
      </c>
      <c r="I932" s="6">
        <v>0</v>
      </c>
      <c r="J932" s="6">
        <v>0</v>
      </c>
      <c r="K932" s="6">
        <v>31248</v>
      </c>
      <c r="L932" s="4">
        <v>0</v>
      </c>
      <c r="M932" s="14" t="s">
        <v>19</v>
      </c>
      <c r="N932" s="15">
        <f t="shared" si="28"/>
        <v>31248</v>
      </c>
    </row>
    <row r="933" spans="1:14">
      <c r="A933" s="12">
        <v>932</v>
      </c>
      <c r="B933" s="3" t="s">
        <v>1569</v>
      </c>
      <c r="C933" s="43" t="s">
        <v>1570</v>
      </c>
      <c r="D933" s="43" t="s">
        <v>1596</v>
      </c>
      <c r="E933" s="43" t="s">
        <v>825</v>
      </c>
      <c r="F933" s="6">
        <v>155527</v>
      </c>
      <c r="G933" s="45" t="s">
        <v>18</v>
      </c>
      <c r="H933" s="14">
        <v>996713</v>
      </c>
      <c r="I933" s="6">
        <v>0</v>
      </c>
      <c r="J933" s="6">
        <v>0</v>
      </c>
      <c r="K933" s="6">
        <v>8648.82</v>
      </c>
      <c r="L933" s="4">
        <v>0</v>
      </c>
      <c r="M933" s="14" t="s">
        <v>19</v>
      </c>
      <c r="N933" s="15">
        <f t="shared" si="28"/>
        <v>8648.82</v>
      </c>
    </row>
    <row r="934" spans="1:14">
      <c r="A934" s="12">
        <v>933</v>
      </c>
      <c r="B934" s="3" t="s">
        <v>1569</v>
      </c>
      <c r="C934" s="43" t="s">
        <v>1570</v>
      </c>
      <c r="D934" s="43" t="s">
        <v>1597</v>
      </c>
      <c r="E934" s="43" t="s">
        <v>820</v>
      </c>
      <c r="F934" s="6">
        <v>136968</v>
      </c>
      <c r="G934" s="45" t="s">
        <v>18</v>
      </c>
      <c r="H934" s="14">
        <v>996713</v>
      </c>
      <c r="I934" s="6">
        <v>0</v>
      </c>
      <c r="J934" s="6">
        <v>0</v>
      </c>
      <c r="K934" s="6">
        <v>5362.56</v>
      </c>
      <c r="L934" s="4">
        <v>0</v>
      </c>
      <c r="M934" s="14" t="s">
        <v>19</v>
      </c>
      <c r="N934" s="15">
        <f t="shared" si="28"/>
        <v>5362.56</v>
      </c>
    </row>
    <row r="935" spans="1:14">
      <c r="A935" s="12">
        <v>934</v>
      </c>
      <c r="B935" s="3" t="s">
        <v>1569</v>
      </c>
      <c r="C935" s="43" t="s">
        <v>1570</v>
      </c>
      <c r="D935" s="43" t="s">
        <v>1598</v>
      </c>
      <c r="E935" s="43" t="s">
        <v>1599</v>
      </c>
      <c r="F935" s="6">
        <v>155642</v>
      </c>
      <c r="G935" s="45" t="s">
        <v>18</v>
      </c>
      <c r="H935" s="14">
        <v>996713</v>
      </c>
      <c r="I935" s="6">
        <v>0</v>
      </c>
      <c r="J935" s="6">
        <v>0</v>
      </c>
      <c r="K935" s="6">
        <v>8666.4599999999991</v>
      </c>
      <c r="L935" s="4">
        <v>0</v>
      </c>
      <c r="M935" s="14" t="s">
        <v>19</v>
      </c>
      <c r="N935" s="15">
        <f t="shared" si="28"/>
        <v>8666.4599999999991</v>
      </c>
    </row>
    <row r="936" spans="1:14">
      <c r="A936" s="12">
        <v>935</v>
      </c>
      <c r="B936" s="3" t="s">
        <v>1569</v>
      </c>
      <c r="C936" s="43" t="s">
        <v>1570</v>
      </c>
      <c r="D936" s="43" t="s">
        <v>1600</v>
      </c>
      <c r="E936" s="43" t="s">
        <v>843</v>
      </c>
      <c r="F936" s="6">
        <v>455957</v>
      </c>
      <c r="G936" s="45" t="s">
        <v>18</v>
      </c>
      <c r="H936" s="14">
        <v>996713</v>
      </c>
      <c r="I936" s="6">
        <v>0</v>
      </c>
      <c r="J936" s="6">
        <v>0</v>
      </c>
      <c r="K936" s="6">
        <v>25920</v>
      </c>
      <c r="L936" s="4">
        <v>0</v>
      </c>
      <c r="M936" s="14" t="s">
        <v>19</v>
      </c>
      <c r="N936" s="15">
        <f t="shared" si="28"/>
        <v>25920</v>
      </c>
    </row>
    <row r="937" spans="1:14">
      <c r="A937" s="12">
        <v>936</v>
      </c>
      <c r="B937" s="3" t="s">
        <v>1569</v>
      </c>
      <c r="C937" s="43" t="s">
        <v>1570</v>
      </c>
      <c r="D937" s="43" t="s">
        <v>1601</v>
      </c>
      <c r="E937" s="43" t="s">
        <v>147</v>
      </c>
      <c r="F937" s="6">
        <v>91204</v>
      </c>
      <c r="G937" s="45" t="s">
        <v>18</v>
      </c>
      <c r="H937" s="14">
        <v>996713</v>
      </c>
      <c r="I937" s="6">
        <v>0</v>
      </c>
      <c r="J937" s="6">
        <v>0</v>
      </c>
      <c r="K937" s="6">
        <v>2556</v>
      </c>
      <c r="L937" s="4">
        <v>0</v>
      </c>
      <c r="M937" s="14" t="s">
        <v>19</v>
      </c>
      <c r="N937" s="15">
        <f t="shared" si="28"/>
        <v>2556</v>
      </c>
    </row>
    <row r="938" spans="1:14">
      <c r="A938" s="12">
        <v>937</v>
      </c>
      <c r="B938" s="3" t="s">
        <v>1569</v>
      </c>
      <c r="C938" s="43" t="s">
        <v>1570</v>
      </c>
      <c r="D938" s="43" t="s">
        <v>1602</v>
      </c>
      <c r="E938" s="43" t="s">
        <v>147</v>
      </c>
      <c r="F938" s="6">
        <v>5001</v>
      </c>
      <c r="G938" s="45" t="s">
        <v>18</v>
      </c>
      <c r="H938" s="14">
        <v>996713</v>
      </c>
      <c r="I938" s="6">
        <v>0</v>
      </c>
      <c r="J938" s="6">
        <v>0</v>
      </c>
      <c r="K938" s="6">
        <v>338.4</v>
      </c>
      <c r="L938" s="4">
        <v>0</v>
      </c>
      <c r="M938" s="14" t="s">
        <v>19</v>
      </c>
      <c r="N938" s="15">
        <f t="shared" si="28"/>
        <v>338.4</v>
      </c>
    </row>
    <row r="939" spans="1:14">
      <c r="A939" s="12">
        <v>938</v>
      </c>
      <c r="B939" s="3" t="s">
        <v>1569</v>
      </c>
      <c r="C939" s="43" t="s">
        <v>1570</v>
      </c>
      <c r="D939" s="43" t="s">
        <v>1603</v>
      </c>
      <c r="E939" s="43" t="s">
        <v>147</v>
      </c>
      <c r="F939" s="6">
        <v>67540</v>
      </c>
      <c r="G939" s="45" t="s">
        <v>18</v>
      </c>
      <c r="H939" s="14">
        <v>996713</v>
      </c>
      <c r="I939" s="6">
        <v>0</v>
      </c>
      <c r="J939" s="6">
        <v>0</v>
      </c>
      <c r="K939" s="6">
        <v>540</v>
      </c>
      <c r="L939" s="4">
        <v>0</v>
      </c>
      <c r="M939" s="14" t="s">
        <v>19</v>
      </c>
      <c r="N939" s="15">
        <f t="shared" si="28"/>
        <v>540</v>
      </c>
    </row>
    <row r="940" spans="1:14">
      <c r="A940" s="12">
        <v>939</v>
      </c>
      <c r="B940" s="3" t="s">
        <v>1569</v>
      </c>
      <c r="C940" s="43" t="s">
        <v>1570</v>
      </c>
      <c r="D940" s="43" t="s">
        <v>1604</v>
      </c>
      <c r="E940" s="43" t="s">
        <v>135</v>
      </c>
      <c r="F940" s="6">
        <v>99162</v>
      </c>
      <c r="G940" s="45" t="s">
        <v>18</v>
      </c>
      <c r="H940" s="14">
        <v>996713</v>
      </c>
      <c r="I940" s="6">
        <v>0</v>
      </c>
      <c r="J940" s="6">
        <v>0</v>
      </c>
      <c r="K940" s="6">
        <v>8262</v>
      </c>
      <c r="L940" s="4">
        <v>0</v>
      </c>
      <c r="M940" s="14" t="s">
        <v>19</v>
      </c>
      <c r="N940" s="15">
        <f t="shared" si="28"/>
        <v>8262</v>
      </c>
    </row>
    <row r="941" spans="1:14">
      <c r="A941" s="12">
        <v>940</v>
      </c>
      <c r="B941" s="3" t="s">
        <v>1569</v>
      </c>
      <c r="C941" s="43" t="s">
        <v>1570</v>
      </c>
      <c r="D941" s="43" t="s">
        <v>1605</v>
      </c>
      <c r="E941" s="43" t="s">
        <v>135</v>
      </c>
      <c r="F941" s="6">
        <v>66108</v>
      </c>
      <c r="G941" s="45" t="s">
        <v>18</v>
      </c>
      <c r="H941" s="14">
        <v>996713</v>
      </c>
      <c r="I941" s="6">
        <v>0</v>
      </c>
      <c r="J941" s="6">
        <v>0</v>
      </c>
      <c r="K941" s="6">
        <v>5508</v>
      </c>
      <c r="L941" s="4">
        <v>0</v>
      </c>
      <c r="M941" s="14" t="s">
        <v>19</v>
      </c>
      <c r="N941" s="15">
        <f t="shared" si="28"/>
        <v>5508</v>
      </c>
    </row>
    <row r="942" spans="1:14">
      <c r="A942" s="12">
        <v>941</v>
      </c>
      <c r="B942" s="3" t="s">
        <v>1569</v>
      </c>
      <c r="C942" s="43" t="s">
        <v>1570</v>
      </c>
      <c r="D942" s="43" t="s">
        <v>1606</v>
      </c>
      <c r="E942" s="43" t="s">
        <v>75</v>
      </c>
      <c r="F942" s="15">
        <v>-9440</v>
      </c>
      <c r="G942" s="45" t="s">
        <v>18</v>
      </c>
      <c r="H942" s="14">
        <v>996713</v>
      </c>
      <c r="I942" s="14">
        <v>0</v>
      </c>
      <c r="J942" s="14">
        <v>0</v>
      </c>
      <c r="K942" s="14">
        <v>-1440</v>
      </c>
      <c r="L942" s="4">
        <v>0</v>
      </c>
      <c r="M942" s="14" t="s">
        <v>19</v>
      </c>
      <c r="N942" s="15">
        <f t="shared" si="28"/>
        <v>-1440</v>
      </c>
    </row>
    <row r="943" spans="1:14">
      <c r="A943" s="12">
        <v>942</v>
      </c>
      <c r="B943" s="3" t="s">
        <v>1569</v>
      </c>
      <c r="C943" s="43" t="s">
        <v>1570</v>
      </c>
      <c r="D943" s="43" t="s">
        <v>1607</v>
      </c>
      <c r="E943" s="43" t="s">
        <v>75</v>
      </c>
      <c r="F943" s="15">
        <v>-14160</v>
      </c>
      <c r="G943" s="45" t="s">
        <v>18</v>
      </c>
      <c r="H943" s="14">
        <v>996713</v>
      </c>
      <c r="I943" s="14">
        <v>0</v>
      </c>
      <c r="J943" s="14">
        <v>0</v>
      </c>
      <c r="K943" s="14">
        <v>-2160</v>
      </c>
      <c r="L943" s="4">
        <v>0</v>
      </c>
      <c r="M943" s="14" t="s">
        <v>19</v>
      </c>
      <c r="N943" s="15">
        <f t="shared" si="28"/>
        <v>-2160</v>
      </c>
    </row>
    <row r="944" spans="1:14">
      <c r="A944" s="12">
        <v>943</v>
      </c>
      <c r="B944" s="3" t="s">
        <v>1569</v>
      </c>
      <c r="C944" s="43" t="s">
        <v>1570</v>
      </c>
      <c r="D944" s="43" t="s">
        <v>1608</v>
      </c>
      <c r="E944" s="43" t="s">
        <v>75</v>
      </c>
      <c r="F944" s="15">
        <v>-9440</v>
      </c>
      <c r="G944" s="45" t="s">
        <v>18</v>
      </c>
      <c r="H944" s="14">
        <v>996713</v>
      </c>
      <c r="I944" s="14">
        <v>0</v>
      </c>
      <c r="J944" s="14">
        <v>0</v>
      </c>
      <c r="K944" s="14">
        <v>-1440</v>
      </c>
      <c r="L944" s="4">
        <v>0</v>
      </c>
      <c r="M944" s="14" t="s">
        <v>19</v>
      </c>
      <c r="N944" s="15">
        <f t="shared" si="28"/>
        <v>-1440</v>
      </c>
    </row>
    <row r="945" spans="1:14">
      <c r="A945" s="12">
        <v>944</v>
      </c>
      <c r="B945" s="3" t="s">
        <v>1569</v>
      </c>
      <c r="C945" s="43" t="s">
        <v>1570</v>
      </c>
      <c r="D945" s="43" t="s">
        <v>1609</v>
      </c>
      <c r="E945" s="43" t="s">
        <v>75</v>
      </c>
      <c r="F945" s="15">
        <v>-4720</v>
      </c>
      <c r="G945" s="45" t="s">
        <v>18</v>
      </c>
      <c r="H945" s="14">
        <v>996713</v>
      </c>
      <c r="I945" s="14">
        <v>0</v>
      </c>
      <c r="J945" s="14">
        <v>0</v>
      </c>
      <c r="K945" s="14">
        <v>-720</v>
      </c>
      <c r="L945" s="4">
        <v>0</v>
      </c>
      <c r="M945" s="14" t="s">
        <v>19</v>
      </c>
      <c r="N945" s="15">
        <f t="shared" si="28"/>
        <v>-720</v>
      </c>
    </row>
    <row r="946" spans="1:14">
      <c r="A946" s="12">
        <v>945</v>
      </c>
      <c r="B946" s="3" t="s">
        <v>1569</v>
      </c>
      <c r="C946" s="43" t="s">
        <v>1570</v>
      </c>
      <c r="D946" s="43" t="s">
        <v>1610</v>
      </c>
      <c r="E946" s="43" t="s">
        <v>75</v>
      </c>
      <c r="F946" s="15">
        <v>-4720</v>
      </c>
      <c r="G946" s="45" t="s">
        <v>18</v>
      </c>
      <c r="H946" s="14">
        <v>996713</v>
      </c>
      <c r="I946" s="14">
        <v>0</v>
      </c>
      <c r="J946" s="14">
        <v>0</v>
      </c>
      <c r="K946" s="14">
        <v>-720</v>
      </c>
      <c r="L946" s="4">
        <v>0</v>
      </c>
      <c r="M946" s="14" t="s">
        <v>19</v>
      </c>
      <c r="N946" s="15">
        <f t="shared" si="28"/>
        <v>-720</v>
      </c>
    </row>
    <row r="947" spans="1:14">
      <c r="A947" s="12">
        <v>946</v>
      </c>
      <c r="B947" s="3" t="s">
        <v>1569</v>
      </c>
      <c r="C947" s="43" t="s">
        <v>1570</v>
      </c>
      <c r="D947" s="43" t="s">
        <v>1611</v>
      </c>
      <c r="E947" s="43" t="s">
        <v>75</v>
      </c>
      <c r="F947" s="15">
        <v>-4720</v>
      </c>
      <c r="G947" s="45" t="s">
        <v>18</v>
      </c>
      <c r="H947" s="14">
        <v>996713</v>
      </c>
      <c r="I947" s="14">
        <v>0</v>
      </c>
      <c r="J947" s="14">
        <v>0</v>
      </c>
      <c r="K947" s="14">
        <v>-720</v>
      </c>
      <c r="L947" s="4">
        <v>0</v>
      </c>
      <c r="M947" s="14" t="s">
        <v>19</v>
      </c>
      <c r="N947" s="15">
        <f t="shared" si="28"/>
        <v>-720</v>
      </c>
    </row>
    <row r="948" spans="1:14">
      <c r="A948" s="12">
        <v>947</v>
      </c>
      <c r="B948" s="3" t="s">
        <v>1569</v>
      </c>
      <c r="C948" s="43" t="s">
        <v>1570</v>
      </c>
      <c r="D948" s="43" t="s">
        <v>1612</v>
      </c>
      <c r="E948" s="43" t="s">
        <v>75</v>
      </c>
      <c r="F948" s="15">
        <v>-4720</v>
      </c>
      <c r="G948" s="45" t="s">
        <v>18</v>
      </c>
      <c r="H948" s="14">
        <v>996713</v>
      </c>
      <c r="I948" s="14">
        <v>0</v>
      </c>
      <c r="J948" s="14">
        <v>0</v>
      </c>
      <c r="K948" s="14">
        <v>-720</v>
      </c>
      <c r="L948" s="4">
        <v>0</v>
      </c>
      <c r="M948" s="14" t="s">
        <v>19</v>
      </c>
      <c r="N948" s="15">
        <f t="shared" si="28"/>
        <v>-720</v>
      </c>
    </row>
    <row r="949" spans="1:14">
      <c r="A949" s="12">
        <v>948</v>
      </c>
      <c r="B949" s="14"/>
      <c r="C949" s="44" t="s">
        <v>1613</v>
      </c>
      <c r="D949" s="45" t="s">
        <v>946</v>
      </c>
      <c r="E949" s="55">
        <v>45747</v>
      </c>
      <c r="F949" s="34">
        <v>110000</v>
      </c>
      <c r="G949" s="45" t="s">
        <v>18</v>
      </c>
      <c r="H949" s="14">
        <v>996511</v>
      </c>
      <c r="I949" s="14">
        <v>0</v>
      </c>
      <c r="J949" s="14">
        <v>0</v>
      </c>
      <c r="K949" s="14">
        <v>5500</v>
      </c>
      <c r="L949" s="4">
        <v>0</v>
      </c>
      <c r="M949" s="14" t="s">
        <v>19</v>
      </c>
      <c r="N949" s="14">
        <f t="shared" si="28"/>
        <v>5500</v>
      </c>
    </row>
    <row r="950" spans="1:14">
      <c r="A950" s="12">
        <v>949</v>
      </c>
      <c r="B950" s="14"/>
      <c r="C950" s="44" t="s">
        <v>1613</v>
      </c>
      <c r="D950" s="45" t="s">
        <v>946</v>
      </c>
      <c r="E950" s="55">
        <v>45747</v>
      </c>
      <c r="F950" s="34">
        <v>165000</v>
      </c>
      <c r="G950" s="45" t="s">
        <v>18</v>
      </c>
      <c r="H950" s="14">
        <v>996511</v>
      </c>
      <c r="I950" s="14">
        <v>0</v>
      </c>
      <c r="J950" s="14">
        <v>0</v>
      </c>
      <c r="K950" s="14">
        <v>8250</v>
      </c>
      <c r="L950" s="4">
        <v>0</v>
      </c>
      <c r="M950" s="14" t="s">
        <v>19</v>
      </c>
      <c r="N950" s="14">
        <f t="shared" si="28"/>
        <v>8250</v>
      </c>
    </row>
    <row r="951" spans="1:14">
      <c r="A951" s="12">
        <v>950</v>
      </c>
      <c r="B951" s="14"/>
      <c r="C951" s="44" t="s">
        <v>1613</v>
      </c>
      <c r="D951" s="45" t="s">
        <v>946</v>
      </c>
      <c r="E951" s="55">
        <v>45747</v>
      </c>
      <c r="F951" s="34">
        <v>110000</v>
      </c>
      <c r="G951" s="45" t="s">
        <v>18</v>
      </c>
      <c r="H951" s="14">
        <v>996511</v>
      </c>
      <c r="I951" s="14">
        <v>0</v>
      </c>
      <c r="J951" s="14">
        <v>0</v>
      </c>
      <c r="K951" s="14">
        <v>5500</v>
      </c>
      <c r="L951" s="4">
        <v>0</v>
      </c>
      <c r="M951" s="14" t="s">
        <v>19</v>
      </c>
      <c r="N951" s="14">
        <f t="shared" si="28"/>
        <v>5500</v>
      </c>
    </row>
    <row r="952" spans="1:14">
      <c r="A952" s="12">
        <v>951</v>
      </c>
      <c r="B952" s="14"/>
      <c r="C952" s="44" t="s">
        <v>1613</v>
      </c>
      <c r="D952" s="45" t="s">
        <v>946</v>
      </c>
      <c r="E952" s="55">
        <v>45747</v>
      </c>
      <c r="F952" s="34">
        <v>55000</v>
      </c>
      <c r="G952" s="45" t="s">
        <v>18</v>
      </c>
      <c r="H952" s="14">
        <v>996511</v>
      </c>
      <c r="I952" s="14">
        <v>0</v>
      </c>
      <c r="J952" s="14">
        <v>0</v>
      </c>
      <c r="K952" s="14">
        <v>2750</v>
      </c>
      <c r="L952" s="4">
        <v>0</v>
      </c>
      <c r="M952" s="14" t="s">
        <v>19</v>
      </c>
      <c r="N952" s="14">
        <f t="shared" si="28"/>
        <v>2750</v>
      </c>
    </row>
    <row r="953" spans="1:14">
      <c r="A953" s="12">
        <v>952</v>
      </c>
      <c r="B953" s="14"/>
      <c r="C953" s="44" t="s">
        <v>1613</v>
      </c>
      <c r="D953" s="45" t="s">
        <v>946</v>
      </c>
      <c r="E953" s="55">
        <v>45747</v>
      </c>
      <c r="F953" s="34">
        <v>55000</v>
      </c>
      <c r="G953" s="45" t="s">
        <v>18</v>
      </c>
      <c r="H953" s="14">
        <v>996511</v>
      </c>
      <c r="I953" s="14">
        <v>0</v>
      </c>
      <c r="J953" s="14">
        <v>0</v>
      </c>
      <c r="K953" s="14">
        <v>2750</v>
      </c>
      <c r="L953" s="4">
        <v>0</v>
      </c>
      <c r="M953" s="14" t="s">
        <v>19</v>
      </c>
      <c r="N953" s="14">
        <f t="shared" si="28"/>
        <v>2750</v>
      </c>
    </row>
    <row r="954" spans="1:14">
      <c r="A954" s="12">
        <v>953</v>
      </c>
      <c r="B954" s="14"/>
      <c r="C954" s="44" t="s">
        <v>1613</v>
      </c>
      <c r="D954" s="45" t="s">
        <v>946</v>
      </c>
      <c r="E954" s="55">
        <v>45747</v>
      </c>
      <c r="F954" s="34">
        <v>55000</v>
      </c>
      <c r="G954" s="45" t="s">
        <v>18</v>
      </c>
      <c r="H954" s="14">
        <v>996511</v>
      </c>
      <c r="I954" s="14">
        <v>0</v>
      </c>
      <c r="J954" s="14">
        <v>0</v>
      </c>
      <c r="K954" s="14">
        <v>2750</v>
      </c>
      <c r="L954" s="4">
        <v>0</v>
      </c>
      <c r="M954" s="14" t="s">
        <v>19</v>
      </c>
      <c r="N954" s="14">
        <f t="shared" si="28"/>
        <v>2750</v>
      </c>
    </row>
    <row r="955" spans="1:14">
      <c r="A955" s="12">
        <v>954</v>
      </c>
      <c r="B955" s="14"/>
      <c r="C955" s="44" t="s">
        <v>1613</v>
      </c>
      <c r="D955" s="45" t="s">
        <v>946</v>
      </c>
      <c r="E955" s="55">
        <v>45747</v>
      </c>
      <c r="F955" s="34">
        <v>55000</v>
      </c>
      <c r="G955" s="45" t="s">
        <v>18</v>
      </c>
      <c r="H955" s="14">
        <v>996511</v>
      </c>
      <c r="I955" s="14">
        <v>0</v>
      </c>
      <c r="J955" s="14">
        <v>0</v>
      </c>
      <c r="K955" s="14">
        <v>2750</v>
      </c>
      <c r="L955" s="4">
        <v>0</v>
      </c>
      <c r="M955" s="14" t="s">
        <v>19</v>
      </c>
      <c r="N955" s="14">
        <f t="shared" si="28"/>
        <v>2750</v>
      </c>
    </row>
    <row r="956" spans="1:14">
      <c r="A956" s="12">
        <v>955</v>
      </c>
      <c r="B956" s="14"/>
      <c r="C956" s="44" t="s">
        <v>1613</v>
      </c>
      <c r="D956" s="45" t="s">
        <v>946</v>
      </c>
      <c r="E956" s="55">
        <v>45747</v>
      </c>
      <c r="F956" s="34">
        <v>55000</v>
      </c>
      <c r="G956" s="45" t="s">
        <v>18</v>
      </c>
      <c r="H956" s="14">
        <v>996511</v>
      </c>
      <c r="I956" s="14">
        <v>0</v>
      </c>
      <c r="J956" s="14">
        <v>0</v>
      </c>
      <c r="K956" s="14">
        <v>2750</v>
      </c>
      <c r="L956" s="4">
        <v>0</v>
      </c>
      <c r="M956" s="14" t="s">
        <v>19</v>
      </c>
      <c r="N956" s="14">
        <f t="shared" si="28"/>
        <v>2750</v>
      </c>
    </row>
    <row r="957" spans="1:14">
      <c r="A957" s="12">
        <v>956</v>
      </c>
      <c r="B957" s="14"/>
      <c r="C957" s="44" t="s">
        <v>1613</v>
      </c>
      <c r="D957" s="45" t="s">
        <v>946</v>
      </c>
      <c r="E957" s="55">
        <v>45747</v>
      </c>
      <c r="F957" s="34">
        <v>55000</v>
      </c>
      <c r="G957" s="45" t="s">
        <v>18</v>
      </c>
      <c r="H957" s="14">
        <v>996511</v>
      </c>
      <c r="I957" s="14">
        <v>0</v>
      </c>
      <c r="J957" s="14">
        <v>0</v>
      </c>
      <c r="K957" s="14">
        <v>2750</v>
      </c>
      <c r="L957" s="4">
        <v>0</v>
      </c>
      <c r="M957" s="14" t="s">
        <v>19</v>
      </c>
      <c r="N957" s="14">
        <f t="shared" si="28"/>
        <v>2750</v>
      </c>
    </row>
    <row r="958" spans="1:14">
      <c r="A958" s="12">
        <v>957</v>
      </c>
      <c r="B958" s="14"/>
      <c r="C958" s="44" t="s">
        <v>1613</v>
      </c>
      <c r="D958" s="45" t="s">
        <v>946</v>
      </c>
      <c r="E958" s="55">
        <v>45747</v>
      </c>
      <c r="F958" s="34">
        <v>58822.400000000001</v>
      </c>
      <c r="G958" s="45" t="s">
        <v>18</v>
      </c>
      <c r="H958" s="14">
        <v>996511</v>
      </c>
      <c r="I958" s="14">
        <v>0</v>
      </c>
      <c r="J958" s="14">
        <v>0</v>
      </c>
      <c r="K958" s="14">
        <v>2941.1200000000003</v>
      </c>
      <c r="L958" s="4">
        <v>0</v>
      </c>
      <c r="M958" s="14" t="s">
        <v>19</v>
      </c>
      <c r="N958" s="14">
        <f t="shared" si="28"/>
        <v>2941.1200000000003</v>
      </c>
    </row>
    <row r="959" spans="1:14">
      <c r="A959" s="12">
        <v>958</v>
      </c>
      <c r="B959" s="14"/>
      <c r="C959" s="44" t="s">
        <v>1613</v>
      </c>
      <c r="D959" s="45" t="s">
        <v>946</v>
      </c>
      <c r="E959" s="55">
        <v>45777</v>
      </c>
      <c r="F959" s="15">
        <v>110000</v>
      </c>
      <c r="G959" s="45" t="s">
        <v>18</v>
      </c>
      <c r="H959" s="14">
        <v>996511</v>
      </c>
      <c r="I959" s="14">
        <v>0</v>
      </c>
      <c r="J959" s="14"/>
      <c r="K959" s="14">
        <v>5500</v>
      </c>
      <c r="L959" s="4">
        <v>0</v>
      </c>
      <c r="M959" s="14" t="s">
        <v>19</v>
      </c>
      <c r="N959" s="14">
        <f t="shared" si="28"/>
        <v>5500</v>
      </c>
    </row>
    <row r="960" spans="1:14">
      <c r="A960" s="12">
        <v>959</v>
      </c>
      <c r="B960" s="14"/>
      <c r="C960" s="44" t="s">
        <v>1613</v>
      </c>
      <c r="D960" s="45" t="s">
        <v>946</v>
      </c>
      <c r="E960" s="55">
        <v>45777</v>
      </c>
      <c r="F960" s="15">
        <v>220000</v>
      </c>
      <c r="G960" s="45" t="s">
        <v>18</v>
      </c>
      <c r="H960" s="14">
        <v>996511</v>
      </c>
      <c r="I960" s="14">
        <v>0</v>
      </c>
      <c r="J960" s="14"/>
      <c r="K960" s="14">
        <v>11000</v>
      </c>
      <c r="L960" s="4">
        <v>0</v>
      </c>
      <c r="M960" s="14" t="s">
        <v>19</v>
      </c>
      <c r="N960" s="14">
        <f t="shared" si="28"/>
        <v>11000</v>
      </c>
    </row>
    <row r="961" spans="1:14">
      <c r="A961" s="12">
        <v>960</v>
      </c>
      <c r="B961" s="14"/>
      <c r="C961" s="44" t="s">
        <v>1613</v>
      </c>
      <c r="D961" s="45" t="s">
        <v>946</v>
      </c>
      <c r="E961" s="55">
        <v>45777</v>
      </c>
      <c r="F961" s="15">
        <v>196000</v>
      </c>
      <c r="G961" s="45" t="s">
        <v>18</v>
      </c>
      <c r="H961" s="14">
        <v>996511</v>
      </c>
      <c r="I961" s="14">
        <v>0</v>
      </c>
      <c r="J961" s="14"/>
      <c r="K961" s="14">
        <v>9800</v>
      </c>
      <c r="L961" s="4">
        <v>0</v>
      </c>
      <c r="M961" s="14" t="s">
        <v>19</v>
      </c>
      <c r="N961" s="14">
        <f t="shared" si="28"/>
        <v>9800</v>
      </c>
    </row>
    <row r="962" spans="1:14">
      <c r="A962" s="12">
        <v>961</v>
      </c>
      <c r="B962" s="14"/>
      <c r="C962" s="44" t="s">
        <v>1613</v>
      </c>
      <c r="D962" s="45" t="s">
        <v>946</v>
      </c>
      <c r="E962" s="55">
        <v>45777</v>
      </c>
      <c r="F962" s="15">
        <v>55000</v>
      </c>
      <c r="G962" s="45" t="s">
        <v>18</v>
      </c>
      <c r="H962" s="14">
        <v>996511</v>
      </c>
      <c r="I962" s="14">
        <v>0</v>
      </c>
      <c r="J962" s="14"/>
      <c r="K962" s="14">
        <v>2750</v>
      </c>
      <c r="L962" s="4">
        <v>0</v>
      </c>
      <c r="M962" s="14" t="s">
        <v>19</v>
      </c>
      <c r="N962" s="14">
        <f t="shared" ref="N962:N973" si="29">SUM(I962:L962)</f>
        <v>2750</v>
      </c>
    </row>
    <row r="963" spans="1:14">
      <c r="A963" s="12">
        <v>962</v>
      </c>
      <c r="B963" s="14"/>
      <c r="C963" s="44" t="s">
        <v>1613</v>
      </c>
      <c r="D963" s="45" t="s">
        <v>946</v>
      </c>
      <c r="E963" s="55">
        <v>45777</v>
      </c>
      <c r="F963" s="15">
        <v>12800</v>
      </c>
      <c r="G963" s="45" t="s">
        <v>18</v>
      </c>
      <c r="H963" s="14">
        <v>996511</v>
      </c>
      <c r="I963" s="14">
        <v>0</v>
      </c>
      <c r="J963" s="14"/>
      <c r="K963" s="14">
        <v>640</v>
      </c>
      <c r="L963" s="4">
        <v>0</v>
      </c>
      <c r="M963" s="14" t="s">
        <v>19</v>
      </c>
      <c r="N963" s="14">
        <f t="shared" si="29"/>
        <v>640</v>
      </c>
    </row>
    <row r="964" spans="1:14">
      <c r="A964" s="12">
        <v>963</v>
      </c>
      <c r="B964" s="14"/>
      <c r="C964" s="44" t="s">
        <v>1613</v>
      </c>
      <c r="D964" s="45" t="s">
        <v>946</v>
      </c>
      <c r="E964" s="55">
        <v>45777</v>
      </c>
      <c r="F964" s="15">
        <v>55000</v>
      </c>
      <c r="G964" s="45" t="s">
        <v>18</v>
      </c>
      <c r="H964" s="14">
        <v>996511</v>
      </c>
      <c r="I964" s="14">
        <v>0</v>
      </c>
      <c r="J964" s="14"/>
      <c r="K964" s="14">
        <v>2750</v>
      </c>
      <c r="L964" s="4">
        <v>0</v>
      </c>
      <c r="M964" s="14" t="s">
        <v>19</v>
      </c>
      <c r="N964" s="14">
        <f t="shared" si="29"/>
        <v>2750</v>
      </c>
    </row>
    <row r="965" spans="1:14">
      <c r="A965" s="12">
        <v>964</v>
      </c>
      <c r="B965" s="14"/>
      <c r="C965" s="44" t="s">
        <v>1613</v>
      </c>
      <c r="D965" s="45" t="s">
        <v>946</v>
      </c>
      <c r="E965" s="55">
        <v>45777</v>
      </c>
      <c r="F965" s="15">
        <v>165000</v>
      </c>
      <c r="G965" s="45" t="s">
        <v>18</v>
      </c>
      <c r="H965" s="14">
        <v>996511</v>
      </c>
      <c r="I965" s="14">
        <v>0</v>
      </c>
      <c r="J965" s="14"/>
      <c r="K965" s="14">
        <v>8250</v>
      </c>
      <c r="L965" s="4">
        <v>0</v>
      </c>
      <c r="M965" s="14" t="s">
        <v>19</v>
      </c>
      <c r="N965" s="14">
        <f t="shared" si="29"/>
        <v>8250</v>
      </c>
    </row>
    <row r="966" spans="1:14">
      <c r="A966" s="12">
        <v>965</v>
      </c>
      <c r="B966" s="14"/>
      <c r="C966" s="44" t="s">
        <v>1613</v>
      </c>
      <c r="D966" s="45" t="s">
        <v>946</v>
      </c>
      <c r="E966" s="55">
        <v>45808</v>
      </c>
      <c r="F966" s="15">
        <v>64000</v>
      </c>
      <c r="G966" s="45" t="s">
        <v>18</v>
      </c>
      <c r="H966" s="14">
        <v>996511</v>
      </c>
      <c r="I966" s="14">
        <v>0</v>
      </c>
      <c r="J966" s="14"/>
      <c r="K966" s="14">
        <v>3200</v>
      </c>
      <c r="L966" s="4">
        <v>0</v>
      </c>
      <c r="M966" s="14" t="s">
        <v>19</v>
      </c>
      <c r="N966" s="14">
        <f t="shared" si="29"/>
        <v>3200</v>
      </c>
    </row>
    <row r="967" spans="1:14">
      <c r="A967" s="12">
        <v>966</v>
      </c>
      <c r="B967" s="14"/>
      <c r="C967" s="44" t="s">
        <v>1613</v>
      </c>
      <c r="D967" s="45" t="s">
        <v>946</v>
      </c>
      <c r="E967" s="55">
        <v>45808</v>
      </c>
      <c r="F967" s="15">
        <v>30000</v>
      </c>
      <c r="G967" s="45" t="s">
        <v>18</v>
      </c>
      <c r="H967" s="14">
        <v>996511</v>
      </c>
      <c r="I967" s="14">
        <v>0</v>
      </c>
      <c r="J967" s="14"/>
      <c r="K967" s="14">
        <v>1500</v>
      </c>
      <c r="L967" s="4">
        <v>0</v>
      </c>
      <c r="M967" s="14" t="s">
        <v>19</v>
      </c>
      <c r="N967" s="14">
        <f t="shared" si="29"/>
        <v>1500</v>
      </c>
    </row>
    <row r="968" spans="1:14">
      <c r="A968" s="12">
        <v>967</v>
      </c>
      <c r="B968" s="14"/>
      <c r="C968" s="44" t="s">
        <v>1613</v>
      </c>
      <c r="D968" s="45" t="s">
        <v>946</v>
      </c>
      <c r="E968" s="55">
        <v>45808</v>
      </c>
      <c r="F968" s="15">
        <v>45000</v>
      </c>
      <c r="G968" s="45" t="s">
        <v>18</v>
      </c>
      <c r="H968" s="14">
        <v>996511</v>
      </c>
      <c r="I968" s="14">
        <v>0</v>
      </c>
      <c r="J968" s="14"/>
      <c r="K968" s="14">
        <v>2250</v>
      </c>
      <c r="L968" s="4">
        <v>0</v>
      </c>
      <c r="M968" s="14" t="s">
        <v>19</v>
      </c>
      <c r="N968" s="14">
        <f t="shared" si="29"/>
        <v>2250</v>
      </c>
    </row>
    <row r="969" spans="1:14">
      <c r="A969" s="12">
        <v>968</v>
      </c>
      <c r="B969" s="14"/>
      <c r="C969" s="45" t="s">
        <v>1614</v>
      </c>
      <c r="D969" s="45" t="s">
        <v>946</v>
      </c>
      <c r="E969" s="55">
        <v>45688</v>
      </c>
      <c r="F969" s="15">
        <v>16000</v>
      </c>
      <c r="G969" s="45" t="s">
        <v>18</v>
      </c>
      <c r="H969" s="14">
        <v>996511</v>
      </c>
      <c r="I969" s="14">
        <v>400</v>
      </c>
      <c r="J969" s="14">
        <v>400</v>
      </c>
      <c r="K969" s="14">
        <v>0</v>
      </c>
      <c r="L969" s="4">
        <v>0</v>
      </c>
      <c r="M969" s="14" t="s">
        <v>19</v>
      </c>
      <c r="N969" s="14">
        <f t="shared" si="29"/>
        <v>800</v>
      </c>
    </row>
    <row r="970" spans="1:14">
      <c r="A970" s="12">
        <v>969</v>
      </c>
      <c r="B970" s="14"/>
      <c r="C970" s="45" t="s">
        <v>1615</v>
      </c>
      <c r="D970" s="45" t="s">
        <v>946</v>
      </c>
      <c r="E970" s="55">
        <v>45688</v>
      </c>
      <c r="F970" s="15">
        <v>64600</v>
      </c>
      <c r="G970" s="45" t="s">
        <v>18</v>
      </c>
      <c r="H970" s="14">
        <v>996511</v>
      </c>
      <c r="I970" s="14">
        <v>1615</v>
      </c>
      <c r="J970" s="14">
        <v>1615</v>
      </c>
      <c r="K970" s="14">
        <v>0</v>
      </c>
      <c r="L970" s="4">
        <v>0</v>
      </c>
      <c r="M970" s="14" t="s">
        <v>19</v>
      </c>
      <c r="N970" s="14">
        <f t="shared" si="29"/>
        <v>3230</v>
      </c>
    </row>
    <row r="971" spans="1:14">
      <c r="A971" s="12">
        <v>970</v>
      </c>
      <c r="B971" s="14"/>
      <c r="C971" s="44" t="s">
        <v>1616</v>
      </c>
      <c r="D971" s="45" t="s">
        <v>946</v>
      </c>
      <c r="E971" s="55">
        <v>45747</v>
      </c>
      <c r="F971" s="34">
        <v>42500</v>
      </c>
      <c r="G971" s="45" t="s">
        <v>18</v>
      </c>
      <c r="H971" s="14">
        <v>996511</v>
      </c>
      <c r="I971" s="14">
        <v>1062.5</v>
      </c>
      <c r="J971" s="14">
        <v>1062.5</v>
      </c>
      <c r="K971" s="14">
        <v>0</v>
      </c>
      <c r="L971" s="4">
        <v>0</v>
      </c>
      <c r="M971" s="14" t="s">
        <v>19</v>
      </c>
      <c r="N971" s="14">
        <f t="shared" si="29"/>
        <v>2125</v>
      </c>
    </row>
    <row r="972" spans="1:14">
      <c r="A972" s="12">
        <v>971</v>
      </c>
      <c r="B972" s="14"/>
      <c r="C972" s="44" t="s">
        <v>1617</v>
      </c>
      <c r="D972" s="45" t="s">
        <v>946</v>
      </c>
      <c r="E972" s="55">
        <v>45808</v>
      </c>
      <c r="F972" s="15">
        <v>386375</v>
      </c>
      <c r="G972" s="45" t="s">
        <v>18</v>
      </c>
      <c r="H972" s="14">
        <v>996511</v>
      </c>
      <c r="I972" s="14">
        <v>0</v>
      </c>
      <c r="J972" s="14"/>
      <c r="K972" s="14">
        <v>19318.75</v>
      </c>
      <c r="L972" s="4">
        <v>0</v>
      </c>
      <c r="M972" s="14" t="s">
        <v>19</v>
      </c>
      <c r="N972" s="14">
        <f t="shared" si="29"/>
        <v>19318.75</v>
      </c>
    </row>
    <row r="973" spans="1:14">
      <c r="A973" s="12">
        <v>972</v>
      </c>
      <c r="B973" s="14"/>
      <c r="C973" s="44" t="s">
        <v>1617</v>
      </c>
      <c r="D973" s="45" t="s">
        <v>946</v>
      </c>
      <c r="E973" s="55">
        <v>45808</v>
      </c>
      <c r="F973" s="15">
        <v>200847</v>
      </c>
      <c r="G973" s="45" t="s">
        <v>18</v>
      </c>
      <c r="H973" s="14">
        <v>996511</v>
      </c>
      <c r="I973" s="14">
        <v>0</v>
      </c>
      <c r="J973" s="14"/>
      <c r="K973" s="14">
        <v>10042.35</v>
      </c>
      <c r="L973" s="4">
        <v>0</v>
      </c>
      <c r="M973" s="14" t="s">
        <v>19</v>
      </c>
      <c r="N973" s="14">
        <f t="shared" si="29"/>
        <v>10042.35</v>
      </c>
    </row>
    <row r="974" spans="1:14">
      <c r="A974" s="12">
        <v>973</v>
      </c>
      <c r="B974" s="1" t="s">
        <v>528</v>
      </c>
      <c r="C974" s="42" t="s">
        <v>529</v>
      </c>
      <c r="D974" s="42" t="s">
        <v>1618</v>
      </c>
      <c r="E974" s="42" t="s">
        <v>1619</v>
      </c>
      <c r="F974" s="4">
        <v>826</v>
      </c>
      <c r="G974" s="47" t="s">
        <v>570</v>
      </c>
      <c r="H974" s="12">
        <v>998212</v>
      </c>
      <c r="I974" s="4">
        <v>63</v>
      </c>
      <c r="J974" s="4">
        <v>63</v>
      </c>
      <c r="K974" s="4">
        <v>0</v>
      </c>
      <c r="L974" s="4">
        <v>0</v>
      </c>
      <c r="M974" s="12" t="s">
        <v>571</v>
      </c>
      <c r="N974" s="13">
        <f>SUM(I974:K974)</f>
        <v>126</v>
      </c>
    </row>
    <row r="975" spans="1:14">
      <c r="A975" s="12">
        <v>974</v>
      </c>
      <c r="B975" s="1" t="s">
        <v>1620</v>
      </c>
      <c r="C975" s="42" t="s">
        <v>1621</v>
      </c>
      <c r="D975" s="42" t="s">
        <v>1622</v>
      </c>
      <c r="E975" s="43" t="s">
        <v>1623</v>
      </c>
      <c r="F975" s="4">
        <v>413</v>
      </c>
      <c r="G975" s="47" t="s">
        <v>570</v>
      </c>
      <c r="H975" s="12">
        <v>997159</v>
      </c>
      <c r="I975" s="4">
        <v>0</v>
      </c>
      <c r="J975" s="4">
        <v>0</v>
      </c>
      <c r="K975" s="4">
        <v>63</v>
      </c>
      <c r="L975" s="4">
        <v>0</v>
      </c>
      <c r="M975" s="12" t="s">
        <v>571</v>
      </c>
      <c r="N975" s="13">
        <v>63</v>
      </c>
    </row>
    <row r="976" spans="1:14">
      <c r="A976" s="12">
        <v>975</v>
      </c>
      <c r="B976" s="1" t="s">
        <v>1620</v>
      </c>
      <c r="C976" s="42" t="s">
        <v>1621</v>
      </c>
      <c r="D976" s="42" t="s">
        <v>1624</v>
      </c>
      <c r="E976" s="42" t="s">
        <v>1625</v>
      </c>
      <c r="F976" s="4">
        <v>2789.34</v>
      </c>
      <c r="G976" s="47" t="s">
        <v>570</v>
      </c>
      <c r="H976" s="12">
        <v>997159</v>
      </c>
      <c r="I976" s="4">
        <v>0</v>
      </c>
      <c r="J976" s="4">
        <v>0</v>
      </c>
      <c r="K976" s="4">
        <v>425.49</v>
      </c>
      <c r="L976" s="4">
        <v>0</v>
      </c>
      <c r="M976" s="12" t="s">
        <v>571</v>
      </c>
      <c r="N976" s="13">
        <f>SUM(I976:K976)</f>
        <v>425.49</v>
      </c>
    </row>
    <row r="977" spans="1:14">
      <c r="A977" s="12">
        <v>976</v>
      </c>
      <c r="B977" s="1" t="s">
        <v>1626</v>
      </c>
      <c r="C977" s="42" t="s">
        <v>1627</v>
      </c>
      <c r="D977" s="42" t="s">
        <v>1628</v>
      </c>
      <c r="E977" s="43" t="s">
        <v>1629</v>
      </c>
      <c r="F977" s="4">
        <v>6903</v>
      </c>
      <c r="G977" s="47" t="s">
        <v>60</v>
      </c>
      <c r="H977" s="12">
        <v>3923</v>
      </c>
      <c r="I977" s="4">
        <v>0</v>
      </c>
      <c r="J977" s="4">
        <v>0</v>
      </c>
      <c r="K977" s="4">
        <v>1053</v>
      </c>
      <c r="L977" s="4">
        <v>0</v>
      </c>
      <c r="M977" s="12" t="s">
        <v>571</v>
      </c>
      <c r="N977" s="13">
        <v>1053</v>
      </c>
    </row>
    <row r="978" spans="1:14">
      <c r="A978" s="12">
        <v>977</v>
      </c>
      <c r="B978" s="1" t="s">
        <v>1630</v>
      </c>
      <c r="C978" s="42" t="s">
        <v>1631</v>
      </c>
      <c r="D978" s="42" t="s">
        <v>1632</v>
      </c>
      <c r="E978" s="43" t="s">
        <v>1633</v>
      </c>
      <c r="F978" s="4">
        <v>7654.5</v>
      </c>
      <c r="G978" s="47" t="s">
        <v>60</v>
      </c>
      <c r="H978" s="29" t="s">
        <v>1634</v>
      </c>
      <c r="I978" s="4">
        <v>182.25</v>
      </c>
      <c r="J978" s="4">
        <v>182.25</v>
      </c>
      <c r="K978" s="4">
        <v>0</v>
      </c>
      <c r="L978" s="4">
        <v>0</v>
      </c>
      <c r="M978" s="12" t="s">
        <v>571</v>
      </c>
      <c r="N978" s="13">
        <f>SUM(I978:K978)</f>
        <v>364.5</v>
      </c>
    </row>
    <row r="979" spans="1:14">
      <c r="A979" s="12">
        <v>978</v>
      </c>
      <c r="B979" s="1" t="s">
        <v>1630</v>
      </c>
      <c r="C979" s="42" t="s">
        <v>1631</v>
      </c>
      <c r="D979" s="42" t="s">
        <v>1635</v>
      </c>
      <c r="E979" s="43" t="s">
        <v>1623</v>
      </c>
      <c r="F979" s="4">
        <v>4851</v>
      </c>
      <c r="G979" s="47" t="s">
        <v>60</v>
      </c>
      <c r="H979" s="29" t="s">
        <v>1634</v>
      </c>
      <c r="I979" s="4">
        <v>115.5</v>
      </c>
      <c r="J979" s="4">
        <v>115.5</v>
      </c>
      <c r="K979" s="4">
        <v>0</v>
      </c>
      <c r="L979" s="4">
        <v>0</v>
      </c>
      <c r="M979" s="12" t="s">
        <v>571</v>
      </c>
      <c r="N979" s="13">
        <f>SUM(I979:K979)</f>
        <v>231</v>
      </c>
    </row>
    <row r="980" spans="1:14">
      <c r="A980" s="12">
        <v>979</v>
      </c>
      <c r="B980" s="1" t="s">
        <v>1630</v>
      </c>
      <c r="C980" s="42" t="s">
        <v>1631</v>
      </c>
      <c r="D980" s="42" t="s">
        <v>1636</v>
      </c>
      <c r="E980" s="42" t="s">
        <v>1619</v>
      </c>
      <c r="F980" s="4">
        <v>6300</v>
      </c>
      <c r="G980" s="47" t="s">
        <v>60</v>
      </c>
      <c r="H980" s="29" t="s">
        <v>1634</v>
      </c>
      <c r="I980" s="4">
        <v>150</v>
      </c>
      <c r="J980" s="4">
        <v>150</v>
      </c>
      <c r="K980" s="4">
        <v>0</v>
      </c>
      <c r="L980" s="4">
        <v>0</v>
      </c>
      <c r="M980" s="12" t="s">
        <v>571</v>
      </c>
      <c r="N980" s="13">
        <f t="shared" ref="N980:N1043" si="30">SUM(I980:K980)</f>
        <v>300</v>
      </c>
    </row>
    <row r="981" spans="1:14">
      <c r="A981" s="12">
        <v>980</v>
      </c>
      <c r="B981" s="1" t="s">
        <v>1637</v>
      </c>
      <c r="C981" s="42" t="s">
        <v>1638</v>
      </c>
      <c r="D981" s="42" t="s">
        <v>1639</v>
      </c>
      <c r="E981" s="43" t="s">
        <v>1640</v>
      </c>
      <c r="F981" s="4">
        <v>38054.1</v>
      </c>
      <c r="G981" s="47" t="s">
        <v>60</v>
      </c>
      <c r="H981" s="29" t="s">
        <v>1641</v>
      </c>
      <c r="I981" s="4">
        <v>0</v>
      </c>
      <c r="J981" s="4">
        <v>0</v>
      </c>
      <c r="K981" s="4">
        <v>1812.1</v>
      </c>
      <c r="L981" s="4">
        <v>0</v>
      </c>
      <c r="M981" s="12" t="s">
        <v>571</v>
      </c>
      <c r="N981" s="13">
        <f t="shared" si="30"/>
        <v>1812.1</v>
      </c>
    </row>
    <row r="982" spans="1:14">
      <c r="A982" s="12">
        <v>981</v>
      </c>
      <c r="B982" s="1" t="s">
        <v>1637</v>
      </c>
      <c r="C982" s="42" t="s">
        <v>1638</v>
      </c>
      <c r="D982" s="42" t="s">
        <v>1642</v>
      </c>
      <c r="E982" s="43" t="s">
        <v>1629</v>
      </c>
      <c r="F982" s="4">
        <v>45465</v>
      </c>
      <c r="G982" s="47" t="s">
        <v>60</v>
      </c>
      <c r="H982" s="29" t="s">
        <v>1641</v>
      </c>
      <c r="I982" s="4">
        <v>0</v>
      </c>
      <c r="J982" s="4">
        <v>0</v>
      </c>
      <c r="K982" s="4">
        <v>2165</v>
      </c>
      <c r="L982" s="4">
        <v>0</v>
      </c>
      <c r="M982" s="12" t="s">
        <v>571</v>
      </c>
      <c r="N982" s="13">
        <f t="shared" si="30"/>
        <v>2165</v>
      </c>
    </row>
    <row r="983" spans="1:14">
      <c r="A983" s="12">
        <v>982</v>
      </c>
      <c r="B983" s="1" t="s">
        <v>1637</v>
      </c>
      <c r="C983" s="42" t="s">
        <v>1638</v>
      </c>
      <c r="D983" s="42" t="s">
        <v>1643</v>
      </c>
      <c r="E983" s="43" t="s">
        <v>1644</v>
      </c>
      <c r="F983" s="4">
        <v>11273.34</v>
      </c>
      <c r="G983" s="47" t="s">
        <v>60</v>
      </c>
      <c r="H983" s="29" t="s">
        <v>1641</v>
      </c>
      <c r="I983" s="4">
        <v>0</v>
      </c>
      <c r="J983" s="4">
        <v>0</v>
      </c>
      <c r="K983" s="4">
        <v>536.83000000000004</v>
      </c>
      <c r="L983" s="4">
        <v>0</v>
      </c>
      <c r="M983" s="12" t="s">
        <v>571</v>
      </c>
      <c r="N983" s="13">
        <f t="shared" si="30"/>
        <v>536.83000000000004</v>
      </c>
    </row>
    <row r="984" spans="1:14">
      <c r="A984" s="12">
        <v>983</v>
      </c>
      <c r="B984" s="1" t="s">
        <v>1637</v>
      </c>
      <c r="C984" s="42" t="s">
        <v>1638</v>
      </c>
      <c r="D984" s="42" t="s">
        <v>1645</v>
      </c>
      <c r="E984" s="43" t="s">
        <v>1644</v>
      </c>
      <c r="F984" s="4">
        <v>4401.3999999999996</v>
      </c>
      <c r="G984" s="47" t="s">
        <v>60</v>
      </c>
      <c r="H984" s="12">
        <v>4819</v>
      </c>
      <c r="I984" s="4">
        <v>0</v>
      </c>
      <c r="J984" s="4">
        <v>0</v>
      </c>
      <c r="K984" s="4">
        <v>671.4</v>
      </c>
      <c r="L984" s="4">
        <v>0</v>
      </c>
      <c r="M984" s="12" t="s">
        <v>571</v>
      </c>
      <c r="N984" s="13">
        <f t="shared" si="30"/>
        <v>671.4</v>
      </c>
    </row>
    <row r="985" spans="1:14">
      <c r="A985" s="12">
        <v>984</v>
      </c>
      <c r="B985" s="1" t="s">
        <v>1637</v>
      </c>
      <c r="C985" s="42" t="s">
        <v>1638</v>
      </c>
      <c r="D985" s="42" t="s">
        <v>1646</v>
      </c>
      <c r="E985" s="43" t="s">
        <v>1644</v>
      </c>
      <c r="F985" s="4">
        <v>33750.15</v>
      </c>
      <c r="G985" s="47" t="s">
        <v>60</v>
      </c>
      <c r="H985" s="29" t="s">
        <v>1641</v>
      </c>
      <c r="I985" s="4">
        <v>0</v>
      </c>
      <c r="J985" s="4">
        <v>0</v>
      </c>
      <c r="K985" s="4">
        <v>1607.15</v>
      </c>
      <c r="L985" s="4">
        <v>0</v>
      </c>
      <c r="M985" s="12" t="s">
        <v>571</v>
      </c>
      <c r="N985" s="13">
        <f t="shared" si="30"/>
        <v>1607.15</v>
      </c>
    </row>
    <row r="986" spans="1:14">
      <c r="A986" s="12">
        <v>985</v>
      </c>
      <c r="B986" s="1" t="s">
        <v>1637</v>
      </c>
      <c r="C986" s="42" t="s">
        <v>1638</v>
      </c>
      <c r="D986" s="42" t="s">
        <v>1647</v>
      </c>
      <c r="E986" s="43" t="s">
        <v>1648</v>
      </c>
      <c r="F986" s="4">
        <v>7167.32</v>
      </c>
      <c r="G986" s="47" t="s">
        <v>60</v>
      </c>
      <c r="H986" s="12">
        <v>4819</v>
      </c>
      <c r="I986" s="4">
        <v>0</v>
      </c>
      <c r="J986" s="4">
        <v>0</v>
      </c>
      <c r="K986" s="4">
        <v>1093.32</v>
      </c>
      <c r="L986" s="4">
        <v>0</v>
      </c>
      <c r="M986" s="12" t="s">
        <v>571</v>
      </c>
      <c r="N986" s="13">
        <f t="shared" si="30"/>
        <v>1093.32</v>
      </c>
    </row>
    <row r="987" spans="1:14">
      <c r="A987" s="12">
        <v>986</v>
      </c>
      <c r="B987" s="1" t="s">
        <v>1637</v>
      </c>
      <c r="C987" s="42" t="s">
        <v>1638</v>
      </c>
      <c r="D987" s="42" t="s">
        <v>1649</v>
      </c>
      <c r="E987" s="43" t="s">
        <v>1648</v>
      </c>
      <c r="F987" s="4">
        <v>1627.5</v>
      </c>
      <c r="G987" s="47" t="s">
        <v>60</v>
      </c>
      <c r="H987" s="29" t="s">
        <v>1641</v>
      </c>
      <c r="I987" s="4">
        <v>0</v>
      </c>
      <c r="J987" s="4">
        <v>0</v>
      </c>
      <c r="K987" s="4">
        <v>77.5</v>
      </c>
      <c r="L987" s="4">
        <v>0</v>
      </c>
      <c r="M987" s="12" t="s">
        <v>571</v>
      </c>
      <c r="N987" s="13">
        <f t="shared" si="30"/>
        <v>77.5</v>
      </c>
    </row>
    <row r="988" spans="1:14">
      <c r="A988" s="12">
        <v>987</v>
      </c>
      <c r="B988" s="1" t="s">
        <v>1637</v>
      </c>
      <c r="C988" s="42" t="s">
        <v>1638</v>
      </c>
      <c r="D988" s="42" t="s">
        <v>1650</v>
      </c>
      <c r="E988" s="43" t="s">
        <v>1648</v>
      </c>
      <c r="F988" s="4">
        <v>21495.599999999999</v>
      </c>
      <c r="G988" s="47" t="s">
        <v>60</v>
      </c>
      <c r="H988" s="29" t="s">
        <v>1641</v>
      </c>
      <c r="I988" s="4">
        <v>0</v>
      </c>
      <c r="J988" s="4">
        <v>0</v>
      </c>
      <c r="K988" s="4">
        <v>1023.6</v>
      </c>
      <c r="L988" s="4">
        <v>0</v>
      </c>
      <c r="M988" s="12" t="s">
        <v>571</v>
      </c>
      <c r="N988" s="13">
        <f t="shared" si="30"/>
        <v>1023.6</v>
      </c>
    </row>
    <row r="989" spans="1:14">
      <c r="A989" s="12">
        <v>988</v>
      </c>
      <c r="B989" s="1" t="s">
        <v>1637</v>
      </c>
      <c r="C989" s="42" t="s">
        <v>1638</v>
      </c>
      <c r="D989" s="42" t="s">
        <v>1651</v>
      </c>
      <c r="E989" s="43" t="s">
        <v>1652</v>
      </c>
      <c r="F989" s="4">
        <v>680.86</v>
      </c>
      <c r="G989" s="47" t="s">
        <v>60</v>
      </c>
      <c r="H989" s="12">
        <v>3923</v>
      </c>
      <c r="I989" s="4">
        <v>0</v>
      </c>
      <c r="J989" s="4">
        <v>0</v>
      </c>
      <c r="K989" s="4">
        <v>103.86</v>
      </c>
      <c r="L989" s="4">
        <v>0</v>
      </c>
      <c r="M989" s="12" t="s">
        <v>571</v>
      </c>
      <c r="N989" s="13">
        <f t="shared" si="30"/>
        <v>103.86</v>
      </c>
    </row>
    <row r="990" spans="1:14">
      <c r="A990" s="12">
        <v>989</v>
      </c>
      <c r="B990" s="1" t="s">
        <v>1637</v>
      </c>
      <c r="C990" s="42" t="s">
        <v>1638</v>
      </c>
      <c r="D990" s="42" t="s">
        <v>1653</v>
      </c>
      <c r="E990" s="43" t="s">
        <v>1652</v>
      </c>
      <c r="F990" s="4">
        <v>8788.5</v>
      </c>
      <c r="G990" s="47" t="s">
        <v>60</v>
      </c>
      <c r="H990" s="29" t="s">
        <v>1641</v>
      </c>
      <c r="I990" s="4">
        <v>0</v>
      </c>
      <c r="J990" s="4">
        <v>0</v>
      </c>
      <c r="K990" s="4">
        <v>418.5</v>
      </c>
      <c r="L990" s="4">
        <v>0</v>
      </c>
      <c r="M990" s="12" t="s">
        <v>571</v>
      </c>
      <c r="N990" s="13">
        <f t="shared" si="30"/>
        <v>418.5</v>
      </c>
    </row>
    <row r="991" spans="1:14">
      <c r="A991" s="12">
        <v>990</v>
      </c>
      <c r="B991" s="1" t="s">
        <v>1637</v>
      </c>
      <c r="C991" s="42" t="s">
        <v>1638</v>
      </c>
      <c r="D991" s="42" t="s">
        <v>1654</v>
      </c>
      <c r="E991" s="43" t="s">
        <v>1655</v>
      </c>
      <c r="F991" s="4">
        <v>43707.3</v>
      </c>
      <c r="G991" s="47" t="s">
        <v>60</v>
      </c>
      <c r="H991" s="29" t="s">
        <v>1641</v>
      </c>
      <c r="I991" s="4">
        <v>0</v>
      </c>
      <c r="J991" s="4">
        <v>0</v>
      </c>
      <c r="K991" s="4">
        <v>2081.3000000000002</v>
      </c>
      <c r="L991" s="4">
        <v>0</v>
      </c>
      <c r="M991" s="12" t="s">
        <v>571</v>
      </c>
      <c r="N991" s="13">
        <f t="shared" si="30"/>
        <v>2081.3000000000002</v>
      </c>
    </row>
    <row r="992" spans="1:14">
      <c r="A992" s="12">
        <v>991</v>
      </c>
      <c r="B992" s="1" t="s">
        <v>1637</v>
      </c>
      <c r="C992" s="42" t="s">
        <v>1638</v>
      </c>
      <c r="D992" s="42" t="s">
        <v>1656</v>
      </c>
      <c r="E992" s="43" t="s">
        <v>1655</v>
      </c>
      <c r="F992" s="4">
        <v>1083.24</v>
      </c>
      <c r="G992" s="47" t="s">
        <v>60</v>
      </c>
      <c r="H992" s="12">
        <v>3923</v>
      </c>
      <c r="I992" s="4">
        <v>0</v>
      </c>
      <c r="J992" s="4">
        <v>0</v>
      </c>
      <c r="K992" s="4">
        <v>165.24</v>
      </c>
      <c r="L992" s="4">
        <v>0</v>
      </c>
      <c r="M992" s="12" t="s">
        <v>571</v>
      </c>
      <c r="N992" s="13">
        <f t="shared" si="30"/>
        <v>165.24</v>
      </c>
    </row>
    <row r="993" spans="1:14">
      <c r="A993" s="12">
        <v>992</v>
      </c>
      <c r="B993" s="1" t="s">
        <v>1637</v>
      </c>
      <c r="C993" s="42" t="s">
        <v>1638</v>
      </c>
      <c r="D993" s="42" t="s">
        <v>1657</v>
      </c>
      <c r="E993" s="43" t="s">
        <v>1623</v>
      </c>
      <c r="F993" s="4">
        <v>49039.73</v>
      </c>
      <c r="G993" s="47" t="s">
        <v>60</v>
      </c>
      <c r="H993" s="29" t="s">
        <v>1641</v>
      </c>
      <c r="I993" s="4">
        <v>0</v>
      </c>
      <c r="J993" s="4">
        <v>0</v>
      </c>
      <c r="K993" s="4">
        <v>2335.23</v>
      </c>
      <c r="L993" s="4">
        <v>0</v>
      </c>
      <c r="M993" s="12" t="s">
        <v>571</v>
      </c>
      <c r="N993" s="13">
        <f t="shared" si="30"/>
        <v>2335.23</v>
      </c>
    </row>
    <row r="994" spans="1:14">
      <c r="A994" s="12">
        <v>993</v>
      </c>
      <c r="B994" s="1" t="s">
        <v>1637</v>
      </c>
      <c r="C994" s="42" t="s">
        <v>1638</v>
      </c>
      <c r="D994" s="42" t="s">
        <v>1658</v>
      </c>
      <c r="E994" s="43" t="s">
        <v>1659</v>
      </c>
      <c r="F994" s="4">
        <v>2961.8</v>
      </c>
      <c r="G994" s="47" t="s">
        <v>60</v>
      </c>
      <c r="H994" s="12">
        <v>4819</v>
      </c>
      <c r="I994" s="4">
        <v>0</v>
      </c>
      <c r="J994" s="4">
        <v>0</v>
      </c>
      <c r="K994" s="4">
        <v>451.8</v>
      </c>
      <c r="L994" s="4">
        <v>0</v>
      </c>
      <c r="M994" s="12" t="s">
        <v>571</v>
      </c>
      <c r="N994" s="13">
        <f t="shared" si="30"/>
        <v>451.8</v>
      </c>
    </row>
    <row r="995" spans="1:14">
      <c r="A995" s="12">
        <v>994</v>
      </c>
      <c r="B995" s="1" t="s">
        <v>1637</v>
      </c>
      <c r="C995" s="42" t="s">
        <v>1638</v>
      </c>
      <c r="D995" s="42" t="s">
        <v>1660</v>
      </c>
      <c r="E995" s="43" t="s">
        <v>1659</v>
      </c>
      <c r="F995" s="4">
        <v>44789.35</v>
      </c>
      <c r="G995" s="47" t="s">
        <v>60</v>
      </c>
      <c r="H995" s="29" t="s">
        <v>1641</v>
      </c>
      <c r="I995" s="4">
        <v>0</v>
      </c>
      <c r="J995" s="4">
        <v>0</v>
      </c>
      <c r="K995" s="4">
        <v>2132.83</v>
      </c>
      <c r="L995" s="4">
        <v>0</v>
      </c>
      <c r="M995" s="12" t="s">
        <v>571</v>
      </c>
      <c r="N995" s="13">
        <f t="shared" si="30"/>
        <v>2132.83</v>
      </c>
    </row>
    <row r="996" spans="1:14">
      <c r="A996" s="12">
        <v>995</v>
      </c>
      <c r="B996" s="1" t="s">
        <v>1637</v>
      </c>
      <c r="C996" s="42" t="s">
        <v>1638</v>
      </c>
      <c r="D996" s="42" t="s">
        <v>1661</v>
      </c>
      <c r="E996" s="43" t="s">
        <v>1662</v>
      </c>
      <c r="F996" s="4">
        <v>32069.73</v>
      </c>
      <c r="G996" s="47" t="s">
        <v>60</v>
      </c>
      <c r="H996" s="29" t="s">
        <v>1641</v>
      </c>
      <c r="I996" s="4">
        <v>0</v>
      </c>
      <c r="J996" s="4">
        <v>0</v>
      </c>
      <c r="K996" s="4">
        <v>1527.13</v>
      </c>
      <c r="L996" s="4">
        <v>0</v>
      </c>
      <c r="M996" s="12" t="s">
        <v>571</v>
      </c>
      <c r="N996" s="13">
        <f t="shared" si="30"/>
        <v>1527.13</v>
      </c>
    </row>
    <row r="997" spans="1:14">
      <c r="A997" s="12">
        <v>996</v>
      </c>
      <c r="B997" s="1" t="s">
        <v>1637</v>
      </c>
      <c r="C997" s="42" t="s">
        <v>1638</v>
      </c>
      <c r="D997" s="42" t="s">
        <v>1663</v>
      </c>
      <c r="E997" s="43" t="s">
        <v>1662</v>
      </c>
      <c r="F997" s="4">
        <v>3073.9</v>
      </c>
      <c r="G997" s="47" t="s">
        <v>60</v>
      </c>
      <c r="H997" s="12">
        <v>3923</v>
      </c>
      <c r="I997" s="4">
        <v>0</v>
      </c>
      <c r="J997" s="4">
        <v>0</v>
      </c>
      <c r="K997" s="4">
        <v>468.9</v>
      </c>
      <c r="L997" s="4">
        <v>0</v>
      </c>
      <c r="M997" s="12" t="s">
        <v>571</v>
      </c>
      <c r="N997" s="13">
        <f t="shared" si="30"/>
        <v>468.9</v>
      </c>
    </row>
    <row r="998" spans="1:14">
      <c r="A998" s="12">
        <v>997</v>
      </c>
      <c r="B998" s="1" t="s">
        <v>1637</v>
      </c>
      <c r="C998" s="42" t="s">
        <v>1638</v>
      </c>
      <c r="D998" s="42" t="s">
        <v>1664</v>
      </c>
      <c r="E998" s="42" t="s">
        <v>1665</v>
      </c>
      <c r="F998" s="4">
        <v>30096.45</v>
      </c>
      <c r="G998" s="47" t="s">
        <v>60</v>
      </c>
      <c r="H998" s="29" t="s">
        <v>1641</v>
      </c>
      <c r="I998" s="4">
        <v>0</v>
      </c>
      <c r="J998" s="4">
        <v>0</v>
      </c>
      <c r="K998" s="4">
        <v>1433.16</v>
      </c>
      <c r="L998" s="4">
        <v>0</v>
      </c>
      <c r="M998" s="12" t="s">
        <v>571</v>
      </c>
      <c r="N998" s="13">
        <f t="shared" si="30"/>
        <v>1433.16</v>
      </c>
    </row>
    <row r="999" spans="1:14">
      <c r="A999" s="12">
        <v>998</v>
      </c>
      <c r="B999" s="1" t="s">
        <v>1637</v>
      </c>
      <c r="C999" s="42" t="s">
        <v>1638</v>
      </c>
      <c r="D999" s="42" t="s">
        <v>1666</v>
      </c>
      <c r="E999" s="42" t="s">
        <v>1667</v>
      </c>
      <c r="F999" s="4">
        <v>49148.4</v>
      </c>
      <c r="G999" s="47" t="s">
        <v>60</v>
      </c>
      <c r="H999" s="29" t="s">
        <v>1641</v>
      </c>
      <c r="I999" s="4">
        <v>0</v>
      </c>
      <c r="J999" s="4">
        <v>0</v>
      </c>
      <c r="K999" s="4">
        <v>2340.4</v>
      </c>
      <c r="L999" s="4">
        <v>0</v>
      </c>
      <c r="M999" s="12" t="s">
        <v>571</v>
      </c>
      <c r="N999" s="13">
        <f t="shared" si="30"/>
        <v>2340.4</v>
      </c>
    </row>
    <row r="1000" spans="1:14">
      <c r="A1000" s="12">
        <v>999</v>
      </c>
      <c r="B1000" s="1" t="s">
        <v>1637</v>
      </c>
      <c r="C1000" s="42" t="s">
        <v>1638</v>
      </c>
      <c r="D1000" s="42" t="s">
        <v>1668</v>
      </c>
      <c r="E1000" s="42" t="s">
        <v>1619</v>
      </c>
      <c r="F1000" s="4">
        <v>17172.75</v>
      </c>
      <c r="G1000" s="47" t="s">
        <v>60</v>
      </c>
      <c r="H1000" s="29" t="s">
        <v>1641</v>
      </c>
      <c r="I1000" s="4">
        <v>0</v>
      </c>
      <c r="J1000" s="4">
        <v>0</v>
      </c>
      <c r="K1000" s="4">
        <v>817.75</v>
      </c>
      <c r="L1000" s="4">
        <v>0</v>
      </c>
      <c r="M1000" s="12" t="s">
        <v>571</v>
      </c>
      <c r="N1000" s="13">
        <f t="shared" si="30"/>
        <v>817.75</v>
      </c>
    </row>
    <row r="1001" spans="1:14">
      <c r="A1001" s="12">
        <v>1000</v>
      </c>
      <c r="B1001" s="1" t="s">
        <v>1637</v>
      </c>
      <c r="C1001" s="42" t="s">
        <v>1638</v>
      </c>
      <c r="D1001" s="42" t="s">
        <v>1669</v>
      </c>
      <c r="E1001" s="42" t="s">
        <v>1670</v>
      </c>
      <c r="F1001" s="4">
        <v>34080.11</v>
      </c>
      <c r="G1001" s="47" t="s">
        <v>60</v>
      </c>
      <c r="H1001" s="29" t="s">
        <v>1641</v>
      </c>
      <c r="I1001" s="4">
        <v>0</v>
      </c>
      <c r="J1001" s="4">
        <v>0</v>
      </c>
      <c r="K1001" s="4">
        <v>1622.86</v>
      </c>
      <c r="L1001" s="4">
        <v>0</v>
      </c>
      <c r="M1001" s="12" t="s">
        <v>571</v>
      </c>
      <c r="N1001" s="13">
        <f t="shared" si="30"/>
        <v>1622.86</v>
      </c>
    </row>
    <row r="1002" spans="1:14">
      <c r="A1002" s="12">
        <v>1001</v>
      </c>
      <c r="B1002" s="1" t="s">
        <v>1637</v>
      </c>
      <c r="C1002" s="42" t="s">
        <v>1638</v>
      </c>
      <c r="D1002" s="42" t="s">
        <v>1671</v>
      </c>
      <c r="E1002" s="42" t="s">
        <v>1672</v>
      </c>
      <c r="F1002" s="4">
        <v>1864.4</v>
      </c>
      <c r="G1002" s="47" t="s">
        <v>60</v>
      </c>
      <c r="H1002" s="12">
        <v>4819</v>
      </c>
      <c r="I1002" s="4">
        <v>0</v>
      </c>
      <c r="J1002" s="4">
        <v>0</v>
      </c>
      <c r="K1002" s="4">
        <v>284.39999999999998</v>
      </c>
      <c r="L1002" s="4">
        <v>0</v>
      </c>
      <c r="M1002" s="12" t="s">
        <v>571</v>
      </c>
      <c r="N1002" s="13">
        <f t="shared" si="30"/>
        <v>284.39999999999998</v>
      </c>
    </row>
    <row r="1003" spans="1:14">
      <c r="A1003" s="12">
        <v>1002</v>
      </c>
      <c r="B1003" s="1" t="s">
        <v>1637</v>
      </c>
      <c r="C1003" s="42" t="s">
        <v>1638</v>
      </c>
      <c r="D1003" s="42" t="s">
        <v>1673</v>
      </c>
      <c r="E1003" s="42" t="s">
        <v>1674</v>
      </c>
      <c r="F1003" s="4">
        <v>13072.5</v>
      </c>
      <c r="G1003" s="47" t="s">
        <v>60</v>
      </c>
      <c r="H1003" s="29" t="s">
        <v>1641</v>
      </c>
      <c r="I1003" s="4">
        <v>0</v>
      </c>
      <c r="J1003" s="4">
        <v>0</v>
      </c>
      <c r="K1003" s="4">
        <v>622.5</v>
      </c>
      <c r="L1003" s="4">
        <v>0</v>
      </c>
      <c r="M1003" s="12" t="s">
        <v>571</v>
      </c>
      <c r="N1003" s="13">
        <f t="shared" si="30"/>
        <v>622.5</v>
      </c>
    </row>
    <row r="1004" spans="1:14">
      <c r="A1004" s="12">
        <v>1003</v>
      </c>
      <c r="B1004" s="1" t="s">
        <v>1637</v>
      </c>
      <c r="C1004" s="42" t="s">
        <v>1638</v>
      </c>
      <c r="D1004" s="42" t="s">
        <v>1675</v>
      </c>
      <c r="E1004" s="42" t="s">
        <v>1674</v>
      </c>
      <c r="F1004" s="4">
        <v>1209.5</v>
      </c>
      <c r="G1004" s="47" t="s">
        <v>60</v>
      </c>
      <c r="H1004" s="12">
        <v>4819</v>
      </c>
      <c r="I1004" s="4">
        <v>0</v>
      </c>
      <c r="J1004" s="4">
        <v>0</v>
      </c>
      <c r="K1004" s="4">
        <v>184.5</v>
      </c>
      <c r="L1004" s="4">
        <v>0</v>
      </c>
      <c r="M1004" s="12" t="s">
        <v>571</v>
      </c>
      <c r="N1004" s="13">
        <f t="shared" si="30"/>
        <v>184.5</v>
      </c>
    </row>
    <row r="1005" spans="1:14">
      <c r="A1005" s="12">
        <v>1004</v>
      </c>
      <c r="B1005" s="1" t="s">
        <v>1637</v>
      </c>
      <c r="C1005" s="42" t="s">
        <v>1638</v>
      </c>
      <c r="D1005" s="42" t="s">
        <v>1676</v>
      </c>
      <c r="E1005" s="42" t="s">
        <v>1677</v>
      </c>
      <c r="F1005" s="4">
        <v>13999.13</v>
      </c>
      <c r="G1005" s="47" t="s">
        <v>60</v>
      </c>
      <c r="H1005" s="29" t="s">
        <v>1641</v>
      </c>
      <c r="I1005" s="4">
        <v>0</v>
      </c>
      <c r="J1005" s="4">
        <v>0</v>
      </c>
      <c r="K1005" s="4">
        <v>666.63</v>
      </c>
      <c r="L1005" s="4">
        <v>0</v>
      </c>
      <c r="M1005" s="12" t="s">
        <v>571</v>
      </c>
      <c r="N1005" s="13">
        <f t="shared" si="30"/>
        <v>666.63</v>
      </c>
    </row>
    <row r="1006" spans="1:14">
      <c r="A1006" s="12">
        <v>1005</v>
      </c>
      <c r="B1006" s="1" t="s">
        <v>1637</v>
      </c>
      <c r="C1006" s="42" t="s">
        <v>1638</v>
      </c>
      <c r="D1006" s="42" t="s">
        <v>1678</v>
      </c>
      <c r="E1006" s="42" t="s">
        <v>1677</v>
      </c>
      <c r="F1006" s="4">
        <v>3923.5</v>
      </c>
      <c r="G1006" s="47" t="s">
        <v>60</v>
      </c>
      <c r="H1006" s="12">
        <v>3923</v>
      </c>
      <c r="I1006" s="4">
        <v>0</v>
      </c>
      <c r="J1006" s="4">
        <v>0</v>
      </c>
      <c r="K1006" s="4">
        <v>598.5</v>
      </c>
      <c r="L1006" s="4">
        <v>0</v>
      </c>
      <c r="M1006" s="12" t="s">
        <v>571</v>
      </c>
      <c r="N1006" s="13">
        <f t="shared" si="30"/>
        <v>598.5</v>
      </c>
    </row>
    <row r="1007" spans="1:14">
      <c r="A1007" s="12">
        <v>1006</v>
      </c>
      <c r="B1007" s="1" t="s">
        <v>1637</v>
      </c>
      <c r="C1007" s="42" t="s">
        <v>1638</v>
      </c>
      <c r="D1007" s="42" t="s">
        <v>1679</v>
      </c>
      <c r="E1007" s="42" t="s">
        <v>1680</v>
      </c>
      <c r="F1007" s="4">
        <v>2966.25</v>
      </c>
      <c r="G1007" s="47" t="s">
        <v>60</v>
      </c>
      <c r="H1007" s="29" t="s">
        <v>1641</v>
      </c>
      <c r="I1007" s="4">
        <v>0</v>
      </c>
      <c r="J1007" s="4">
        <v>0</v>
      </c>
      <c r="K1007" s="4">
        <v>141.25</v>
      </c>
      <c r="L1007" s="4">
        <v>0</v>
      </c>
      <c r="M1007" s="12" t="s">
        <v>571</v>
      </c>
      <c r="N1007" s="13">
        <f t="shared" si="30"/>
        <v>141.25</v>
      </c>
    </row>
    <row r="1008" spans="1:14">
      <c r="A1008" s="12">
        <v>1007</v>
      </c>
      <c r="B1008" s="1" t="s">
        <v>1637</v>
      </c>
      <c r="C1008" s="42" t="s">
        <v>1638</v>
      </c>
      <c r="D1008" s="42" t="s">
        <v>1681</v>
      </c>
      <c r="E1008" s="42" t="s">
        <v>1680</v>
      </c>
      <c r="F1008" s="4">
        <v>2360</v>
      </c>
      <c r="G1008" s="47" t="s">
        <v>60</v>
      </c>
      <c r="H1008" s="12">
        <v>4819</v>
      </c>
      <c r="I1008" s="4">
        <v>0</v>
      </c>
      <c r="J1008" s="4">
        <v>0</v>
      </c>
      <c r="K1008" s="4">
        <v>360</v>
      </c>
      <c r="L1008" s="4">
        <v>0</v>
      </c>
      <c r="M1008" s="12" t="s">
        <v>571</v>
      </c>
      <c r="N1008" s="13">
        <f t="shared" si="30"/>
        <v>360</v>
      </c>
    </row>
    <row r="1009" spans="1:14">
      <c r="A1009" s="12">
        <v>1008</v>
      </c>
      <c r="B1009" s="1" t="s">
        <v>1637</v>
      </c>
      <c r="C1009" s="42" t="s">
        <v>1638</v>
      </c>
      <c r="D1009" s="42" t="s">
        <v>1682</v>
      </c>
      <c r="E1009" s="42" t="s">
        <v>1680</v>
      </c>
      <c r="F1009" s="4">
        <v>15468.6</v>
      </c>
      <c r="G1009" s="47" t="s">
        <v>60</v>
      </c>
      <c r="H1009" s="29" t="s">
        <v>1641</v>
      </c>
      <c r="I1009" s="4">
        <v>0</v>
      </c>
      <c r="J1009" s="4">
        <v>0</v>
      </c>
      <c r="K1009" s="4">
        <v>736.6</v>
      </c>
      <c r="L1009" s="4">
        <v>0</v>
      </c>
      <c r="M1009" s="12" t="s">
        <v>571</v>
      </c>
      <c r="N1009" s="13">
        <f t="shared" si="30"/>
        <v>736.6</v>
      </c>
    </row>
    <row r="1010" spans="1:14">
      <c r="A1010" s="12">
        <v>1009</v>
      </c>
      <c r="B1010" s="1" t="s">
        <v>1637</v>
      </c>
      <c r="C1010" s="42" t="s">
        <v>1638</v>
      </c>
      <c r="D1010" s="42" t="s">
        <v>1683</v>
      </c>
      <c r="E1010" s="42" t="s">
        <v>1684</v>
      </c>
      <c r="F1010" s="4">
        <v>1020.7</v>
      </c>
      <c r="G1010" s="47" t="s">
        <v>60</v>
      </c>
      <c r="H1010" s="12">
        <v>3923</v>
      </c>
      <c r="I1010" s="4">
        <v>0</v>
      </c>
      <c r="J1010" s="4">
        <v>0</v>
      </c>
      <c r="K1010" s="4">
        <v>155.69999999999999</v>
      </c>
      <c r="L1010" s="4">
        <v>0</v>
      </c>
      <c r="M1010" s="12" t="s">
        <v>571</v>
      </c>
      <c r="N1010" s="13">
        <f t="shared" si="30"/>
        <v>155.69999999999999</v>
      </c>
    </row>
    <row r="1011" spans="1:14">
      <c r="A1011" s="12">
        <v>1010</v>
      </c>
      <c r="B1011" s="1" t="s">
        <v>1637</v>
      </c>
      <c r="C1011" s="42" t="s">
        <v>1638</v>
      </c>
      <c r="D1011" s="42" t="s">
        <v>1685</v>
      </c>
      <c r="E1011" s="42" t="s">
        <v>1625</v>
      </c>
      <c r="F1011" s="4">
        <v>46410</v>
      </c>
      <c r="G1011" s="47" t="s">
        <v>60</v>
      </c>
      <c r="H1011" s="29" t="s">
        <v>1641</v>
      </c>
      <c r="I1011" s="4">
        <v>0</v>
      </c>
      <c r="J1011" s="4">
        <v>0</v>
      </c>
      <c r="K1011" s="4">
        <v>2210</v>
      </c>
      <c r="L1011" s="4">
        <v>0</v>
      </c>
      <c r="M1011" s="12" t="s">
        <v>571</v>
      </c>
      <c r="N1011" s="13">
        <f t="shared" si="30"/>
        <v>2210</v>
      </c>
    </row>
    <row r="1012" spans="1:14">
      <c r="A1012" s="12">
        <v>1011</v>
      </c>
      <c r="B1012" s="1" t="s">
        <v>1637</v>
      </c>
      <c r="C1012" s="42" t="s">
        <v>1638</v>
      </c>
      <c r="D1012" s="42" t="s">
        <v>1686</v>
      </c>
      <c r="E1012" s="42" t="s">
        <v>1625</v>
      </c>
      <c r="F1012" s="4">
        <v>2041.4</v>
      </c>
      <c r="G1012" s="47" t="s">
        <v>60</v>
      </c>
      <c r="H1012" s="12">
        <v>3923</v>
      </c>
      <c r="I1012" s="4">
        <v>0</v>
      </c>
      <c r="J1012" s="4">
        <v>0</v>
      </c>
      <c r="K1012" s="4">
        <v>311.39999999999998</v>
      </c>
      <c r="L1012" s="4">
        <v>0</v>
      </c>
      <c r="M1012" s="12" t="s">
        <v>571</v>
      </c>
      <c r="N1012" s="13">
        <f t="shared" si="30"/>
        <v>311.39999999999998</v>
      </c>
    </row>
    <row r="1013" spans="1:14">
      <c r="A1013" s="12">
        <v>1012</v>
      </c>
      <c r="B1013" s="1" t="s">
        <v>1687</v>
      </c>
      <c r="C1013" s="42" t="s">
        <v>1688</v>
      </c>
      <c r="D1013" s="42" t="s">
        <v>1689</v>
      </c>
      <c r="E1013" s="42" t="s">
        <v>1674</v>
      </c>
      <c r="F1013" s="4">
        <v>30385</v>
      </c>
      <c r="G1013" s="47" t="s">
        <v>60</v>
      </c>
      <c r="H1013" s="29" t="s">
        <v>1641</v>
      </c>
      <c r="I1013" s="4">
        <v>723.45</v>
      </c>
      <c r="J1013" s="4">
        <v>723.45</v>
      </c>
      <c r="K1013" s="4">
        <v>0</v>
      </c>
      <c r="L1013" s="4">
        <v>0</v>
      </c>
      <c r="M1013" s="12" t="s">
        <v>571</v>
      </c>
      <c r="N1013" s="13">
        <f t="shared" si="30"/>
        <v>1446.9</v>
      </c>
    </row>
    <row r="1014" spans="1:14">
      <c r="A1014" s="12">
        <v>1013</v>
      </c>
      <c r="B1014" s="1" t="s">
        <v>1687</v>
      </c>
      <c r="C1014" s="42" t="s">
        <v>1688</v>
      </c>
      <c r="D1014" s="42" t="s">
        <v>1690</v>
      </c>
      <c r="E1014" s="42" t="s">
        <v>1680</v>
      </c>
      <c r="F1014" s="4">
        <v>15260</v>
      </c>
      <c r="G1014" s="47" t="s">
        <v>60</v>
      </c>
      <c r="H1014" s="29" t="s">
        <v>1641</v>
      </c>
      <c r="I1014" s="4">
        <v>363.34</v>
      </c>
      <c r="J1014" s="4">
        <v>363.34</v>
      </c>
      <c r="K1014" s="4">
        <v>0</v>
      </c>
      <c r="L1014" s="4">
        <v>0</v>
      </c>
      <c r="M1014" s="12" t="s">
        <v>571</v>
      </c>
      <c r="N1014" s="13">
        <f t="shared" si="30"/>
        <v>726.68</v>
      </c>
    </row>
    <row r="1015" spans="1:14">
      <c r="A1015" s="12">
        <v>1014</v>
      </c>
      <c r="B1015" s="1" t="s">
        <v>1691</v>
      </c>
      <c r="C1015" s="42" t="s">
        <v>1692</v>
      </c>
      <c r="D1015" s="42" t="s">
        <v>1693</v>
      </c>
      <c r="E1015" s="42" t="s">
        <v>1625</v>
      </c>
      <c r="F1015" s="4">
        <v>885</v>
      </c>
      <c r="G1015" s="47" t="s">
        <v>570</v>
      </c>
      <c r="H1015" s="12">
        <v>997159</v>
      </c>
      <c r="I1015" s="4">
        <v>0</v>
      </c>
      <c r="J1015" s="4">
        <v>0</v>
      </c>
      <c r="K1015" s="4">
        <v>135</v>
      </c>
      <c r="L1015" s="4">
        <v>0</v>
      </c>
      <c r="M1015" s="12" t="s">
        <v>571</v>
      </c>
      <c r="N1015" s="13">
        <f t="shared" si="30"/>
        <v>135</v>
      </c>
    </row>
    <row r="1016" spans="1:14">
      <c r="A1016" s="12">
        <v>1015</v>
      </c>
      <c r="B1016" s="1" t="s">
        <v>1694</v>
      </c>
      <c r="C1016" s="42" t="s">
        <v>1695</v>
      </c>
      <c r="D1016" s="42" t="s">
        <v>1696</v>
      </c>
      <c r="E1016" s="42" t="s">
        <v>1670</v>
      </c>
      <c r="F1016" s="4">
        <v>594</v>
      </c>
      <c r="G1016" s="47" t="s">
        <v>60</v>
      </c>
      <c r="H1016" s="12">
        <v>7418</v>
      </c>
      <c r="I1016" s="4">
        <v>31.82</v>
      </c>
      <c r="J1016" s="4">
        <v>31.82</v>
      </c>
      <c r="K1016" s="4">
        <v>0</v>
      </c>
      <c r="L1016" s="4">
        <v>0</v>
      </c>
      <c r="M1016" s="12" t="s">
        <v>571</v>
      </c>
      <c r="N1016" s="13">
        <f t="shared" si="30"/>
        <v>63.64</v>
      </c>
    </row>
    <row r="1017" spans="1:14">
      <c r="A1017" s="12">
        <v>1016</v>
      </c>
      <c r="B1017" s="1" t="s">
        <v>1697</v>
      </c>
      <c r="C1017" s="42" t="s">
        <v>1698</v>
      </c>
      <c r="D1017" s="42" t="s">
        <v>1699</v>
      </c>
      <c r="E1017" s="42" t="s">
        <v>1677</v>
      </c>
      <c r="F1017" s="4">
        <v>544320</v>
      </c>
      <c r="G1017" s="47" t="s">
        <v>60</v>
      </c>
      <c r="H1017" s="29" t="s">
        <v>1700</v>
      </c>
      <c r="I1017" s="4">
        <v>0</v>
      </c>
      <c r="J1017" s="4">
        <v>0</v>
      </c>
      <c r="K1017" s="4">
        <v>25920</v>
      </c>
      <c r="L1017" s="4">
        <v>0</v>
      </c>
      <c r="M1017" s="12" t="s">
        <v>571</v>
      </c>
      <c r="N1017" s="13">
        <f t="shared" si="30"/>
        <v>25920</v>
      </c>
    </row>
    <row r="1018" spans="1:14">
      <c r="A1018" s="12">
        <v>1017</v>
      </c>
      <c r="B1018" s="1" t="s">
        <v>557</v>
      </c>
      <c r="C1018" s="42" t="s">
        <v>558</v>
      </c>
      <c r="D1018" s="42" t="s">
        <v>1701</v>
      </c>
      <c r="E1018" s="43" t="s">
        <v>1644</v>
      </c>
      <c r="F1018" s="4">
        <v>213.4</v>
      </c>
      <c r="G1018" s="47" t="s">
        <v>570</v>
      </c>
      <c r="H1018" s="12">
        <v>998361</v>
      </c>
      <c r="I1018" s="4">
        <v>0</v>
      </c>
      <c r="J1018" s="4">
        <v>0</v>
      </c>
      <c r="K1018" s="4">
        <v>32.549999999999997</v>
      </c>
      <c r="L1018" s="4">
        <v>0</v>
      </c>
      <c r="M1018" s="12" t="s">
        <v>571</v>
      </c>
      <c r="N1018" s="13">
        <f t="shared" si="30"/>
        <v>32.549999999999997</v>
      </c>
    </row>
    <row r="1019" spans="1:14">
      <c r="A1019" s="12">
        <v>1018</v>
      </c>
      <c r="B1019" s="1" t="s">
        <v>557</v>
      </c>
      <c r="C1019" s="42" t="s">
        <v>558</v>
      </c>
      <c r="D1019" s="42" t="s">
        <v>1702</v>
      </c>
      <c r="E1019" s="43" t="s">
        <v>1648</v>
      </c>
      <c r="F1019" s="4">
        <v>638.59</v>
      </c>
      <c r="G1019" s="47" t="s">
        <v>570</v>
      </c>
      <c r="H1019" s="12">
        <v>998361</v>
      </c>
      <c r="I1019" s="4">
        <v>0</v>
      </c>
      <c r="J1019" s="4">
        <v>0</v>
      </c>
      <c r="K1019" s="4">
        <v>97.41</v>
      </c>
      <c r="L1019" s="4">
        <v>0</v>
      </c>
      <c r="M1019" s="12" t="s">
        <v>571</v>
      </c>
      <c r="N1019" s="13">
        <f t="shared" si="30"/>
        <v>97.41</v>
      </c>
    </row>
    <row r="1020" spans="1:14">
      <c r="A1020" s="12">
        <v>1019</v>
      </c>
      <c r="B1020" s="1" t="s">
        <v>557</v>
      </c>
      <c r="C1020" s="42" t="s">
        <v>558</v>
      </c>
      <c r="D1020" s="42" t="s">
        <v>1703</v>
      </c>
      <c r="E1020" s="43" t="s">
        <v>1704</v>
      </c>
      <c r="F1020" s="4">
        <v>259.61</v>
      </c>
      <c r="G1020" s="47" t="s">
        <v>570</v>
      </c>
      <c r="H1020" s="12">
        <v>998361</v>
      </c>
      <c r="I1020" s="4">
        <v>0</v>
      </c>
      <c r="J1020" s="4">
        <v>0</v>
      </c>
      <c r="K1020" s="4">
        <v>39.6</v>
      </c>
      <c r="L1020" s="4">
        <v>0</v>
      </c>
      <c r="M1020" s="12" t="s">
        <v>571</v>
      </c>
      <c r="N1020" s="13">
        <f t="shared" si="30"/>
        <v>39.6</v>
      </c>
    </row>
    <row r="1021" spans="1:14">
      <c r="A1021" s="12">
        <v>1020</v>
      </c>
      <c r="B1021" s="1" t="s">
        <v>557</v>
      </c>
      <c r="C1021" s="42" t="s">
        <v>558</v>
      </c>
      <c r="D1021" s="42" t="s">
        <v>1705</v>
      </c>
      <c r="E1021" s="42" t="s">
        <v>1665</v>
      </c>
      <c r="F1021" s="4">
        <v>575.51</v>
      </c>
      <c r="G1021" s="47" t="s">
        <v>570</v>
      </c>
      <c r="H1021" s="12">
        <v>998361</v>
      </c>
      <c r="I1021" s="4">
        <v>0</v>
      </c>
      <c r="J1021" s="4">
        <v>0</v>
      </c>
      <c r="K1021" s="4">
        <v>87.79</v>
      </c>
      <c r="L1021" s="4">
        <v>0</v>
      </c>
      <c r="M1021" s="12" t="s">
        <v>571</v>
      </c>
      <c r="N1021" s="13">
        <f t="shared" si="30"/>
        <v>87.79</v>
      </c>
    </row>
    <row r="1022" spans="1:14">
      <c r="A1022" s="12">
        <v>1021</v>
      </c>
      <c r="B1022" s="1" t="s">
        <v>557</v>
      </c>
      <c r="C1022" s="42" t="s">
        <v>558</v>
      </c>
      <c r="D1022" s="42" t="s">
        <v>1706</v>
      </c>
      <c r="E1022" s="42" t="s">
        <v>1667</v>
      </c>
      <c r="F1022" s="4">
        <v>615.88</v>
      </c>
      <c r="G1022" s="47" t="s">
        <v>570</v>
      </c>
      <c r="H1022" s="12">
        <v>998361</v>
      </c>
      <c r="I1022" s="4">
        <v>0</v>
      </c>
      <c r="J1022" s="4">
        <v>0</v>
      </c>
      <c r="K1022" s="4">
        <v>93.95</v>
      </c>
      <c r="L1022" s="4">
        <v>0</v>
      </c>
      <c r="M1022" s="12" t="s">
        <v>571</v>
      </c>
      <c r="N1022" s="13">
        <f t="shared" si="30"/>
        <v>93.95</v>
      </c>
    </row>
    <row r="1023" spans="1:14">
      <c r="A1023" s="12">
        <v>1022</v>
      </c>
      <c r="B1023" s="1" t="s">
        <v>557</v>
      </c>
      <c r="C1023" s="42" t="s">
        <v>558</v>
      </c>
      <c r="D1023" s="42" t="s">
        <v>1707</v>
      </c>
      <c r="E1023" s="42" t="s">
        <v>1708</v>
      </c>
      <c r="F1023" s="4">
        <v>596.04</v>
      </c>
      <c r="G1023" s="47" t="s">
        <v>570</v>
      </c>
      <c r="H1023" s="12">
        <v>998361</v>
      </c>
      <c r="I1023" s="4">
        <v>0</v>
      </c>
      <c r="J1023" s="4">
        <v>0</v>
      </c>
      <c r="K1023" s="4">
        <v>90.92</v>
      </c>
      <c r="L1023" s="4">
        <v>0</v>
      </c>
      <c r="M1023" s="12" t="s">
        <v>571</v>
      </c>
      <c r="N1023" s="13">
        <f t="shared" si="30"/>
        <v>90.92</v>
      </c>
    </row>
    <row r="1024" spans="1:14">
      <c r="A1024" s="12">
        <v>1023</v>
      </c>
      <c r="B1024" s="1" t="s">
        <v>557</v>
      </c>
      <c r="C1024" s="42" t="s">
        <v>558</v>
      </c>
      <c r="D1024" s="42" t="s">
        <v>1709</v>
      </c>
      <c r="E1024" s="42" t="s">
        <v>1710</v>
      </c>
      <c r="F1024" s="4">
        <v>588.77</v>
      </c>
      <c r="G1024" s="47" t="s">
        <v>570</v>
      </c>
      <c r="H1024" s="12">
        <v>998361</v>
      </c>
      <c r="I1024" s="4">
        <v>0</v>
      </c>
      <c r="J1024" s="4">
        <v>0</v>
      </c>
      <c r="K1024" s="4">
        <v>89.81</v>
      </c>
      <c r="L1024" s="4">
        <v>0</v>
      </c>
      <c r="M1024" s="12" t="s">
        <v>571</v>
      </c>
      <c r="N1024" s="13">
        <f t="shared" si="30"/>
        <v>89.81</v>
      </c>
    </row>
    <row r="1025" spans="1:14">
      <c r="A1025" s="12">
        <v>1024</v>
      </c>
      <c r="B1025" s="1" t="s">
        <v>557</v>
      </c>
      <c r="C1025" s="42" t="s">
        <v>558</v>
      </c>
      <c r="D1025" s="42" t="s">
        <v>1711</v>
      </c>
      <c r="E1025" s="42" t="s">
        <v>1619</v>
      </c>
      <c r="F1025" s="4">
        <v>0.59</v>
      </c>
      <c r="G1025" s="47" t="s">
        <v>570</v>
      </c>
      <c r="H1025" s="12">
        <v>998361</v>
      </c>
      <c r="I1025" s="4">
        <v>0</v>
      </c>
      <c r="J1025" s="4">
        <v>0</v>
      </c>
      <c r="K1025" s="4">
        <v>0.09</v>
      </c>
      <c r="L1025" s="4">
        <v>0</v>
      </c>
      <c r="M1025" s="12" t="s">
        <v>571</v>
      </c>
      <c r="N1025" s="13">
        <f t="shared" si="30"/>
        <v>0.09</v>
      </c>
    </row>
    <row r="1026" spans="1:14">
      <c r="A1026" s="12">
        <v>1025</v>
      </c>
      <c r="B1026" s="1" t="s">
        <v>557</v>
      </c>
      <c r="C1026" s="42" t="s">
        <v>558</v>
      </c>
      <c r="D1026" s="42" t="s">
        <v>1712</v>
      </c>
      <c r="E1026" s="42" t="s">
        <v>1680</v>
      </c>
      <c r="F1026" s="4">
        <v>71.930000000000007</v>
      </c>
      <c r="G1026" s="47" t="s">
        <v>570</v>
      </c>
      <c r="H1026" s="12">
        <v>998361</v>
      </c>
      <c r="I1026" s="4">
        <v>0</v>
      </c>
      <c r="J1026" s="4">
        <v>0</v>
      </c>
      <c r="K1026" s="4">
        <v>10.97</v>
      </c>
      <c r="L1026" s="4">
        <v>0</v>
      </c>
      <c r="M1026" s="12" t="s">
        <v>571</v>
      </c>
      <c r="N1026" s="13">
        <f t="shared" si="30"/>
        <v>10.97</v>
      </c>
    </row>
    <row r="1027" spans="1:14">
      <c r="A1027" s="12">
        <v>1026</v>
      </c>
      <c r="B1027" s="1" t="s">
        <v>557</v>
      </c>
      <c r="C1027" s="42" t="s">
        <v>558</v>
      </c>
      <c r="D1027" s="42" t="s">
        <v>1713</v>
      </c>
      <c r="E1027" s="42" t="s">
        <v>1684</v>
      </c>
      <c r="F1027" s="4">
        <v>286.33999999999997</v>
      </c>
      <c r="G1027" s="47" t="s">
        <v>570</v>
      </c>
      <c r="H1027" s="12">
        <v>998361</v>
      </c>
      <c r="I1027" s="4">
        <v>0</v>
      </c>
      <c r="J1027" s="4">
        <v>0</v>
      </c>
      <c r="K1027" s="4">
        <v>43.68</v>
      </c>
      <c r="L1027" s="4">
        <v>0</v>
      </c>
      <c r="M1027" s="12" t="s">
        <v>571</v>
      </c>
      <c r="N1027" s="13">
        <f t="shared" si="30"/>
        <v>43.68</v>
      </c>
    </row>
    <row r="1028" spans="1:14">
      <c r="A1028" s="12">
        <v>1027</v>
      </c>
      <c r="B1028" s="1" t="s">
        <v>557</v>
      </c>
      <c r="C1028" s="42" t="s">
        <v>558</v>
      </c>
      <c r="D1028" s="42" t="s">
        <v>1714</v>
      </c>
      <c r="E1028" s="42" t="s">
        <v>1715</v>
      </c>
      <c r="F1028" s="4">
        <v>292.17</v>
      </c>
      <c r="G1028" s="47" t="s">
        <v>570</v>
      </c>
      <c r="H1028" s="12">
        <v>998361</v>
      </c>
      <c r="I1028" s="4">
        <v>0</v>
      </c>
      <c r="J1028" s="4">
        <v>0</v>
      </c>
      <c r="K1028" s="4">
        <v>44.57</v>
      </c>
      <c r="L1028" s="4">
        <v>0</v>
      </c>
      <c r="M1028" s="12" t="s">
        <v>571</v>
      </c>
      <c r="N1028" s="13">
        <f t="shared" si="30"/>
        <v>44.57</v>
      </c>
    </row>
    <row r="1029" spans="1:14">
      <c r="A1029" s="12">
        <v>1028</v>
      </c>
      <c r="B1029" s="1" t="s">
        <v>557</v>
      </c>
      <c r="C1029" s="42" t="s">
        <v>558</v>
      </c>
      <c r="D1029" s="42" t="s">
        <v>1716</v>
      </c>
      <c r="E1029" s="42" t="s">
        <v>1625</v>
      </c>
      <c r="F1029" s="4">
        <v>292.66000000000003</v>
      </c>
      <c r="G1029" s="47" t="s">
        <v>570</v>
      </c>
      <c r="H1029" s="12">
        <v>998361</v>
      </c>
      <c r="I1029" s="4">
        <v>0</v>
      </c>
      <c r="J1029" s="4">
        <v>0</v>
      </c>
      <c r="K1029" s="4">
        <v>44.64</v>
      </c>
      <c r="L1029" s="4">
        <v>0</v>
      </c>
      <c r="M1029" s="12" t="s">
        <v>571</v>
      </c>
      <c r="N1029" s="13">
        <f t="shared" si="30"/>
        <v>44.64</v>
      </c>
    </row>
    <row r="1030" spans="1:14">
      <c r="A1030" s="12">
        <v>1029</v>
      </c>
      <c r="B1030" s="1" t="s">
        <v>557</v>
      </c>
      <c r="C1030" s="42" t="s">
        <v>558</v>
      </c>
      <c r="D1030" s="42" t="s">
        <v>1717</v>
      </c>
      <c r="E1030" s="42" t="s">
        <v>1674</v>
      </c>
      <c r="F1030" s="4">
        <v>256.36</v>
      </c>
      <c r="G1030" s="47" t="s">
        <v>570</v>
      </c>
      <c r="H1030" s="12">
        <v>998361</v>
      </c>
      <c r="I1030" s="4">
        <v>0</v>
      </c>
      <c r="J1030" s="4">
        <v>0</v>
      </c>
      <c r="K1030" s="4">
        <v>39.11</v>
      </c>
      <c r="L1030" s="4">
        <v>0</v>
      </c>
      <c r="M1030" s="12" t="s">
        <v>571</v>
      </c>
      <c r="N1030" s="13">
        <f t="shared" si="30"/>
        <v>39.11</v>
      </c>
    </row>
    <row r="1031" spans="1:14">
      <c r="A1031" s="12">
        <v>1030</v>
      </c>
      <c r="B1031" s="1" t="s">
        <v>557</v>
      </c>
      <c r="C1031" s="42" t="s">
        <v>558</v>
      </c>
      <c r="D1031" s="42" t="s">
        <v>1718</v>
      </c>
      <c r="E1031" s="42" t="s">
        <v>1719</v>
      </c>
      <c r="F1031" s="4">
        <v>253.02</v>
      </c>
      <c r="G1031" s="47" t="s">
        <v>570</v>
      </c>
      <c r="H1031" s="12">
        <v>998361</v>
      </c>
      <c r="I1031" s="4">
        <v>0</v>
      </c>
      <c r="J1031" s="4">
        <v>0</v>
      </c>
      <c r="K1031" s="4">
        <v>38.6</v>
      </c>
      <c r="L1031" s="4">
        <v>0</v>
      </c>
      <c r="M1031" s="12" t="s">
        <v>571</v>
      </c>
      <c r="N1031" s="13">
        <f t="shared" si="30"/>
        <v>38.6</v>
      </c>
    </row>
    <row r="1032" spans="1:14">
      <c r="A1032" s="12">
        <v>1031</v>
      </c>
      <c r="B1032" s="1" t="s">
        <v>557</v>
      </c>
      <c r="C1032" s="42" t="s">
        <v>558</v>
      </c>
      <c r="D1032" s="42" t="s">
        <v>1720</v>
      </c>
      <c r="E1032" s="42" t="s">
        <v>1721</v>
      </c>
      <c r="F1032" s="4">
        <v>242.68</v>
      </c>
      <c r="G1032" s="47" t="s">
        <v>570</v>
      </c>
      <c r="H1032" s="12">
        <v>998361</v>
      </c>
      <c r="I1032" s="4">
        <v>0</v>
      </c>
      <c r="J1032" s="4">
        <v>0</v>
      </c>
      <c r="K1032" s="4">
        <v>37.020000000000003</v>
      </c>
      <c r="L1032" s="4">
        <v>0</v>
      </c>
      <c r="M1032" s="12" t="s">
        <v>571</v>
      </c>
      <c r="N1032" s="13">
        <f t="shared" si="30"/>
        <v>37.020000000000003</v>
      </c>
    </row>
    <row r="1033" spans="1:14">
      <c r="A1033" s="12">
        <v>1032</v>
      </c>
      <c r="B1033" s="1" t="s">
        <v>557</v>
      </c>
      <c r="C1033" s="42" t="s">
        <v>558</v>
      </c>
      <c r="D1033" s="42" t="s">
        <v>1722</v>
      </c>
      <c r="E1033" s="42" t="s">
        <v>1677</v>
      </c>
      <c r="F1033" s="4">
        <v>241.97</v>
      </c>
      <c r="G1033" s="47" t="s">
        <v>570</v>
      </c>
      <c r="H1033" s="12">
        <v>998361</v>
      </c>
      <c r="I1033" s="4">
        <v>0</v>
      </c>
      <c r="J1033" s="4">
        <v>0</v>
      </c>
      <c r="K1033" s="4">
        <v>36.909999999999997</v>
      </c>
      <c r="L1033" s="4">
        <v>0</v>
      </c>
      <c r="M1033" s="12" t="s">
        <v>571</v>
      </c>
      <c r="N1033" s="13">
        <f t="shared" si="30"/>
        <v>36.909999999999997</v>
      </c>
    </row>
    <row r="1034" spans="1:14">
      <c r="A1034" s="12">
        <v>1033</v>
      </c>
      <c r="B1034" s="1" t="s">
        <v>557</v>
      </c>
      <c r="C1034" s="42" t="s">
        <v>558</v>
      </c>
      <c r="D1034" s="42" t="s">
        <v>1723</v>
      </c>
      <c r="E1034" s="42" t="s">
        <v>1680</v>
      </c>
      <c r="F1034" s="4">
        <v>99.43</v>
      </c>
      <c r="G1034" s="47" t="s">
        <v>570</v>
      </c>
      <c r="H1034" s="12">
        <v>998361</v>
      </c>
      <c r="I1034" s="4">
        <v>0</v>
      </c>
      <c r="J1034" s="4">
        <v>0</v>
      </c>
      <c r="K1034" s="4">
        <v>15.17</v>
      </c>
      <c r="L1034" s="4">
        <v>0</v>
      </c>
      <c r="M1034" s="12" t="s">
        <v>571</v>
      </c>
      <c r="N1034" s="13">
        <f t="shared" si="30"/>
        <v>15.17</v>
      </c>
    </row>
    <row r="1035" spans="1:14">
      <c r="A1035" s="12">
        <v>1034</v>
      </c>
      <c r="B1035" s="1" t="s">
        <v>557</v>
      </c>
      <c r="C1035" s="42" t="s">
        <v>558</v>
      </c>
      <c r="D1035" s="42" t="s">
        <v>1724</v>
      </c>
      <c r="E1035" s="42" t="s">
        <v>1684</v>
      </c>
      <c r="F1035" s="4">
        <v>105.19</v>
      </c>
      <c r="G1035" s="47" t="s">
        <v>570</v>
      </c>
      <c r="H1035" s="12">
        <v>998361</v>
      </c>
      <c r="I1035" s="4">
        <v>0</v>
      </c>
      <c r="J1035" s="4">
        <v>0</v>
      </c>
      <c r="K1035" s="4">
        <v>16.05</v>
      </c>
      <c r="L1035" s="4">
        <v>0</v>
      </c>
      <c r="M1035" s="12" t="s">
        <v>571</v>
      </c>
      <c r="N1035" s="13">
        <f t="shared" si="30"/>
        <v>16.05</v>
      </c>
    </row>
    <row r="1036" spans="1:14">
      <c r="A1036" s="12">
        <v>1035</v>
      </c>
      <c r="B1036" s="1" t="s">
        <v>557</v>
      </c>
      <c r="C1036" s="42" t="s">
        <v>558</v>
      </c>
      <c r="D1036" s="42" t="s">
        <v>1725</v>
      </c>
      <c r="E1036" s="42" t="s">
        <v>1715</v>
      </c>
      <c r="F1036" s="4">
        <v>357.42</v>
      </c>
      <c r="G1036" s="47" t="s">
        <v>570</v>
      </c>
      <c r="H1036" s="12">
        <v>998361</v>
      </c>
      <c r="I1036" s="4">
        <v>0</v>
      </c>
      <c r="J1036" s="4">
        <v>0</v>
      </c>
      <c r="K1036" s="4">
        <v>54.52</v>
      </c>
      <c r="L1036" s="4">
        <v>0</v>
      </c>
      <c r="M1036" s="12" t="s">
        <v>571</v>
      </c>
      <c r="N1036" s="13">
        <f t="shared" si="30"/>
        <v>54.52</v>
      </c>
    </row>
    <row r="1037" spans="1:14">
      <c r="A1037" s="12">
        <v>1036</v>
      </c>
      <c r="B1037" s="1" t="s">
        <v>557</v>
      </c>
      <c r="C1037" s="42" t="s">
        <v>558</v>
      </c>
      <c r="D1037" s="42" t="s">
        <v>1726</v>
      </c>
      <c r="E1037" s="42" t="s">
        <v>1625</v>
      </c>
      <c r="F1037" s="4">
        <v>350.22</v>
      </c>
      <c r="G1037" s="47" t="s">
        <v>570</v>
      </c>
      <c r="H1037" s="12">
        <v>998361</v>
      </c>
      <c r="I1037" s="4">
        <v>0</v>
      </c>
      <c r="J1037" s="4">
        <v>0</v>
      </c>
      <c r="K1037" s="4">
        <v>53.42</v>
      </c>
      <c r="L1037" s="4">
        <v>0</v>
      </c>
      <c r="M1037" s="12" t="s">
        <v>571</v>
      </c>
      <c r="N1037" s="13">
        <f t="shared" si="30"/>
        <v>53.42</v>
      </c>
    </row>
    <row r="1038" spans="1:14">
      <c r="A1038" s="12">
        <v>1037</v>
      </c>
      <c r="B1038" s="1" t="s">
        <v>1727</v>
      </c>
      <c r="C1038" s="42" t="s">
        <v>1728</v>
      </c>
      <c r="D1038" s="42" t="s">
        <v>1729</v>
      </c>
      <c r="E1038" s="42" t="s">
        <v>1710</v>
      </c>
      <c r="F1038" s="4">
        <v>12000</v>
      </c>
      <c r="G1038" s="47" t="s">
        <v>60</v>
      </c>
      <c r="H1038" s="12">
        <v>7010</v>
      </c>
      <c r="I1038" s="4">
        <v>915.26</v>
      </c>
      <c r="J1038" s="4">
        <v>915.26</v>
      </c>
      <c r="K1038" s="4">
        <v>0</v>
      </c>
      <c r="L1038" s="4">
        <v>0</v>
      </c>
      <c r="M1038" s="12" t="s">
        <v>571</v>
      </c>
      <c r="N1038" s="13">
        <f t="shared" si="30"/>
        <v>1830.52</v>
      </c>
    </row>
    <row r="1039" spans="1:14">
      <c r="A1039" s="12">
        <v>1038</v>
      </c>
      <c r="B1039" s="1" t="s">
        <v>1730</v>
      </c>
      <c r="C1039" s="42" t="s">
        <v>1731</v>
      </c>
      <c r="D1039" s="42" t="s">
        <v>1732</v>
      </c>
      <c r="E1039" s="43" t="s">
        <v>1733</v>
      </c>
      <c r="F1039" s="4">
        <v>354</v>
      </c>
      <c r="G1039" s="47" t="s">
        <v>570</v>
      </c>
      <c r="H1039" s="12">
        <v>997159</v>
      </c>
      <c r="I1039" s="4">
        <v>27</v>
      </c>
      <c r="J1039" s="4">
        <v>27</v>
      </c>
      <c r="K1039" s="4">
        <v>0</v>
      </c>
      <c r="L1039" s="4">
        <v>0</v>
      </c>
      <c r="M1039" s="12" t="s">
        <v>571</v>
      </c>
      <c r="N1039" s="13">
        <f t="shared" si="30"/>
        <v>54</v>
      </c>
    </row>
    <row r="1040" spans="1:14">
      <c r="A1040" s="12">
        <v>1039</v>
      </c>
      <c r="B1040" s="1" t="s">
        <v>1730</v>
      </c>
      <c r="C1040" s="42" t="s">
        <v>1731</v>
      </c>
      <c r="D1040" s="42" t="s">
        <v>1734</v>
      </c>
      <c r="E1040" s="43" t="s">
        <v>1733</v>
      </c>
      <c r="F1040" s="4">
        <v>354</v>
      </c>
      <c r="G1040" s="47" t="s">
        <v>570</v>
      </c>
      <c r="H1040" s="12">
        <v>997159</v>
      </c>
      <c r="I1040" s="4">
        <v>27</v>
      </c>
      <c r="J1040" s="4">
        <v>27</v>
      </c>
      <c r="K1040" s="4">
        <v>0</v>
      </c>
      <c r="L1040" s="4">
        <v>0</v>
      </c>
      <c r="M1040" s="12" t="s">
        <v>571</v>
      </c>
      <c r="N1040" s="13">
        <f t="shared" si="30"/>
        <v>54</v>
      </c>
    </row>
    <row r="1041" spans="1:14">
      <c r="A1041" s="12">
        <v>1040</v>
      </c>
      <c r="B1041" s="1" t="s">
        <v>1730</v>
      </c>
      <c r="C1041" s="42" t="s">
        <v>1731</v>
      </c>
      <c r="D1041" s="42" t="s">
        <v>1735</v>
      </c>
      <c r="E1041" s="42" t="s">
        <v>1680</v>
      </c>
      <c r="F1041" s="4">
        <v>354</v>
      </c>
      <c r="G1041" s="47" t="s">
        <v>570</v>
      </c>
      <c r="H1041" s="12">
        <v>997159</v>
      </c>
      <c r="I1041" s="4">
        <v>27</v>
      </c>
      <c r="J1041" s="4">
        <v>27</v>
      </c>
      <c r="K1041" s="4">
        <v>0</v>
      </c>
      <c r="L1041" s="4">
        <v>0</v>
      </c>
      <c r="M1041" s="12" t="s">
        <v>571</v>
      </c>
      <c r="N1041" s="13">
        <f t="shared" si="30"/>
        <v>54</v>
      </c>
    </row>
    <row r="1042" spans="1:14">
      <c r="A1042" s="12">
        <v>1041</v>
      </c>
      <c r="B1042" s="1" t="s">
        <v>1730</v>
      </c>
      <c r="C1042" s="42" t="s">
        <v>1731</v>
      </c>
      <c r="D1042" s="42" t="s">
        <v>1736</v>
      </c>
      <c r="E1042" s="42" t="s">
        <v>1680</v>
      </c>
      <c r="F1042" s="4">
        <v>354</v>
      </c>
      <c r="G1042" s="47" t="s">
        <v>570</v>
      </c>
      <c r="H1042" s="12">
        <v>997159</v>
      </c>
      <c r="I1042" s="4">
        <v>27</v>
      </c>
      <c r="J1042" s="4">
        <v>27</v>
      </c>
      <c r="K1042" s="4">
        <v>0</v>
      </c>
      <c r="L1042" s="4">
        <v>0</v>
      </c>
      <c r="M1042" s="12" t="s">
        <v>571</v>
      </c>
      <c r="N1042" s="13">
        <f t="shared" si="30"/>
        <v>54</v>
      </c>
    </row>
    <row r="1043" spans="1:14">
      <c r="A1043" s="12">
        <v>1042</v>
      </c>
      <c r="B1043" s="1" t="s">
        <v>1737</v>
      </c>
      <c r="C1043" s="42" t="s">
        <v>1738</v>
      </c>
      <c r="D1043" s="42" t="s">
        <v>1739</v>
      </c>
      <c r="E1043" s="42" t="s">
        <v>1625</v>
      </c>
      <c r="F1043" s="4">
        <v>18762</v>
      </c>
      <c r="G1043" s="47" t="s">
        <v>60</v>
      </c>
      <c r="H1043" s="12">
        <v>4911</v>
      </c>
      <c r="I1043" s="4">
        <v>1431</v>
      </c>
      <c r="J1043" s="4">
        <v>1431</v>
      </c>
      <c r="K1043" s="4">
        <v>0</v>
      </c>
      <c r="L1043" s="4">
        <v>0</v>
      </c>
      <c r="M1043" s="12" t="s">
        <v>571</v>
      </c>
      <c r="N1043" s="13">
        <f t="shared" si="30"/>
        <v>2862</v>
      </c>
    </row>
    <row r="1044" spans="1:14">
      <c r="A1044" s="12">
        <v>1043</v>
      </c>
      <c r="B1044" s="1" t="s">
        <v>1740</v>
      </c>
      <c r="C1044" s="42" t="s">
        <v>1741</v>
      </c>
      <c r="D1044" s="42" t="s">
        <v>1742</v>
      </c>
      <c r="E1044" s="43" t="s">
        <v>1743</v>
      </c>
      <c r="F1044" s="4">
        <v>23799</v>
      </c>
      <c r="G1044" s="47" t="s">
        <v>60</v>
      </c>
      <c r="H1044" s="29" t="s">
        <v>1700</v>
      </c>
      <c r="I1044" s="4">
        <v>0</v>
      </c>
      <c r="J1044" s="4">
        <v>0</v>
      </c>
      <c r="K1044" s="4">
        <v>1062.5</v>
      </c>
      <c r="L1044" s="4">
        <v>0</v>
      </c>
      <c r="M1044" s="12" t="s">
        <v>571</v>
      </c>
      <c r="N1044" s="13">
        <f t="shared" ref="N1044:N1107" si="31">SUM(I1044:K1044)</f>
        <v>1062.5</v>
      </c>
    </row>
    <row r="1045" spans="1:14">
      <c r="A1045" s="12">
        <v>1044</v>
      </c>
      <c r="B1045" s="1" t="s">
        <v>1740</v>
      </c>
      <c r="C1045" s="42" t="s">
        <v>1741</v>
      </c>
      <c r="D1045" s="42" t="s">
        <v>1744</v>
      </c>
      <c r="E1045" s="42" t="s">
        <v>1625</v>
      </c>
      <c r="F1045" s="4">
        <v>39379</v>
      </c>
      <c r="G1045" s="47" t="s">
        <v>60</v>
      </c>
      <c r="H1045" s="29" t="s">
        <v>1700</v>
      </c>
      <c r="I1045" s="4">
        <v>0</v>
      </c>
      <c r="J1045" s="4">
        <v>0</v>
      </c>
      <c r="K1045" s="4">
        <v>1760</v>
      </c>
      <c r="L1045" s="4">
        <v>0</v>
      </c>
      <c r="M1045" s="12" t="s">
        <v>571</v>
      </c>
      <c r="N1045" s="13">
        <f t="shared" si="31"/>
        <v>1760</v>
      </c>
    </row>
    <row r="1046" spans="1:14">
      <c r="A1046" s="12">
        <v>1045</v>
      </c>
      <c r="B1046" s="1" t="s">
        <v>1740</v>
      </c>
      <c r="C1046" s="42" t="s">
        <v>1741</v>
      </c>
      <c r="D1046" s="42" t="s">
        <v>1745</v>
      </c>
      <c r="E1046" s="43" t="s">
        <v>1743</v>
      </c>
      <c r="F1046" s="4">
        <v>23799</v>
      </c>
      <c r="G1046" s="47" t="s">
        <v>60</v>
      </c>
      <c r="H1046" s="29" t="s">
        <v>1700</v>
      </c>
      <c r="I1046" s="4">
        <v>0</v>
      </c>
      <c r="J1046" s="4">
        <v>0</v>
      </c>
      <c r="K1046" s="4">
        <v>226.8</v>
      </c>
      <c r="L1046" s="4">
        <v>0</v>
      </c>
      <c r="M1046" s="12" t="s">
        <v>571</v>
      </c>
      <c r="N1046" s="13">
        <f t="shared" si="31"/>
        <v>226.8</v>
      </c>
    </row>
    <row r="1047" spans="1:14">
      <c r="A1047" s="12">
        <v>1046</v>
      </c>
      <c r="B1047" s="1" t="s">
        <v>1740</v>
      </c>
      <c r="C1047" s="42" t="s">
        <v>1741</v>
      </c>
      <c r="D1047" s="42" t="s">
        <v>1746</v>
      </c>
      <c r="E1047" s="42" t="s">
        <v>1625</v>
      </c>
      <c r="F1047" s="4">
        <v>39379</v>
      </c>
      <c r="G1047" s="47" t="s">
        <v>60</v>
      </c>
      <c r="H1047" s="29" t="s">
        <v>1700</v>
      </c>
      <c r="I1047" s="4">
        <v>0</v>
      </c>
      <c r="J1047" s="4">
        <v>0</v>
      </c>
      <c r="K1047" s="4">
        <v>369</v>
      </c>
      <c r="L1047" s="4">
        <v>0</v>
      </c>
      <c r="M1047" s="12" t="s">
        <v>571</v>
      </c>
      <c r="N1047" s="13">
        <f t="shared" si="31"/>
        <v>369</v>
      </c>
    </row>
    <row r="1048" spans="1:14">
      <c r="A1048" s="12">
        <v>1047</v>
      </c>
      <c r="B1048" s="1" t="s">
        <v>1747</v>
      </c>
      <c r="C1048" s="42" t="s">
        <v>1748</v>
      </c>
      <c r="D1048" s="42" t="s">
        <v>1749</v>
      </c>
      <c r="E1048" s="43" t="s">
        <v>1633</v>
      </c>
      <c r="F1048" s="4">
        <v>67568</v>
      </c>
      <c r="G1048" s="47" t="s">
        <v>60</v>
      </c>
      <c r="H1048" s="29" t="s">
        <v>1700</v>
      </c>
      <c r="I1048" s="4">
        <v>0</v>
      </c>
      <c r="J1048" s="4">
        <v>0</v>
      </c>
      <c r="K1048" s="4">
        <v>3217.5</v>
      </c>
      <c r="L1048" s="4">
        <v>0</v>
      </c>
      <c r="M1048" s="12" t="s">
        <v>571</v>
      </c>
      <c r="N1048" s="13">
        <v>3217.5</v>
      </c>
    </row>
    <row r="1049" spans="1:14">
      <c r="A1049" s="12">
        <v>1048</v>
      </c>
      <c r="B1049" s="1" t="s">
        <v>1747</v>
      </c>
      <c r="C1049" s="42" t="s">
        <v>1748</v>
      </c>
      <c r="D1049" s="42" t="s">
        <v>319</v>
      </c>
      <c r="E1049" s="42" t="s">
        <v>1710</v>
      </c>
      <c r="F1049" s="4">
        <v>116550</v>
      </c>
      <c r="G1049" s="47" t="s">
        <v>60</v>
      </c>
      <c r="H1049" s="29" t="s">
        <v>1700</v>
      </c>
      <c r="I1049" s="4">
        <v>0</v>
      </c>
      <c r="J1049" s="4">
        <v>0</v>
      </c>
      <c r="K1049" s="4">
        <v>5550.01</v>
      </c>
      <c r="L1049" s="4">
        <v>0</v>
      </c>
      <c r="M1049" s="12" t="s">
        <v>571</v>
      </c>
      <c r="N1049" s="13">
        <f t="shared" si="31"/>
        <v>5550.01</v>
      </c>
    </row>
    <row r="1050" spans="1:14">
      <c r="A1050" s="12">
        <v>1049</v>
      </c>
      <c r="B1050" s="1" t="s">
        <v>1750</v>
      </c>
      <c r="C1050" s="42" t="s">
        <v>1751</v>
      </c>
      <c r="D1050" s="42" t="s">
        <v>1752</v>
      </c>
      <c r="E1050" s="43" t="s">
        <v>1633</v>
      </c>
      <c r="F1050" s="4">
        <v>16175</v>
      </c>
      <c r="G1050" s="47" t="s">
        <v>60</v>
      </c>
      <c r="H1050" s="29" t="s">
        <v>1700</v>
      </c>
      <c r="I1050" s="4">
        <v>0</v>
      </c>
      <c r="J1050" s="4">
        <v>0</v>
      </c>
      <c r="K1050" s="4">
        <v>225</v>
      </c>
      <c r="L1050" s="4">
        <v>0</v>
      </c>
      <c r="M1050" s="12" t="s">
        <v>571</v>
      </c>
      <c r="N1050" s="13">
        <v>225</v>
      </c>
    </row>
    <row r="1051" spans="1:14">
      <c r="A1051" s="12">
        <v>1050</v>
      </c>
      <c r="B1051" s="1" t="s">
        <v>1750</v>
      </c>
      <c r="C1051" s="42" t="s">
        <v>1751</v>
      </c>
      <c r="D1051" s="42" t="s">
        <v>1752</v>
      </c>
      <c r="E1051" s="43" t="s">
        <v>1633</v>
      </c>
      <c r="F1051" s="4">
        <v>16175</v>
      </c>
      <c r="G1051" s="47" t="s">
        <v>60</v>
      </c>
      <c r="H1051" s="29" t="s">
        <v>1700</v>
      </c>
      <c r="I1051" s="4">
        <v>0</v>
      </c>
      <c r="J1051" s="4">
        <v>0</v>
      </c>
      <c r="K1051" s="4">
        <v>700</v>
      </c>
      <c r="L1051" s="4">
        <v>0</v>
      </c>
      <c r="M1051" s="12" t="s">
        <v>571</v>
      </c>
      <c r="N1051" s="13">
        <v>700</v>
      </c>
    </row>
    <row r="1052" spans="1:14">
      <c r="A1052" s="12">
        <v>1051</v>
      </c>
      <c r="B1052" s="1" t="s">
        <v>1753</v>
      </c>
      <c r="C1052" s="42" t="s">
        <v>1754</v>
      </c>
      <c r="D1052" s="42" t="s">
        <v>1755</v>
      </c>
      <c r="E1052" s="42" t="s">
        <v>1667</v>
      </c>
      <c r="F1052" s="4">
        <v>16579</v>
      </c>
      <c r="G1052" s="47" t="s">
        <v>60</v>
      </c>
      <c r="H1052" s="12">
        <v>4911</v>
      </c>
      <c r="I1052" s="4">
        <v>1264.5</v>
      </c>
      <c r="J1052" s="4">
        <v>1264.5</v>
      </c>
      <c r="K1052" s="4">
        <v>0</v>
      </c>
      <c r="L1052" s="4">
        <v>0</v>
      </c>
      <c r="M1052" s="12" t="s">
        <v>571</v>
      </c>
      <c r="N1052" s="13">
        <f t="shared" si="31"/>
        <v>2529</v>
      </c>
    </row>
    <row r="1053" spans="1:14">
      <c r="A1053" s="12">
        <v>1052</v>
      </c>
      <c r="B1053" s="1" t="s">
        <v>1753</v>
      </c>
      <c r="C1053" s="42" t="s">
        <v>1754</v>
      </c>
      <c r="D1053" s="42" t="s">
        <v>1756</v>
      </c>
      <c r="E1053" s="42" t="s">
        <v>1667</v>
      </c>
      <c r="F1053" s="4">
        <v>13344.62</v>
      </c>
      <c r="G1053" s="47" t="s">
        <v>60</v>
      </c>
      <c r="H1053" s="12">
        <v>4821</v>
      </c>
      <c r="I1053" s="4">
        <v>1017.81</v>
      </c>
      <c r="J1053" s="4">
        <v>1017.81</v>
      </c>
      <c r="K1053" s="4">
        <v>0</v>
      </c>
      <c r="L1053" s="4">
        <v>0</v>
      </c>
      <c r="M1053" s="12" t="s">
        <v>571</v>
      </c>
      <c r="N1053" s="13">
        <f t="shared" si="31"/>
        <v>2035.62</v>
      </c>
    </row>
    <row r="1054" spans="1:14">
      <c r="A1054" s="12">
        <v>1053</v>
      </c>
      <c r="B1054" s="1" t="s">
        <v>1753</v>
      </c>
      <c r="C1054" s="42" t="s">
        <v>1754</v>
      </c>
      <c r="D1054" s="42" t="s">
        <v>1757</v>
      </c>
      <c r="E1054" s="42" t="s">
        <v>1667</v>
      </c>
      <c r="F1054" s="4">
        <v>48557</v>
      </c>
      <c r="G1054" s="47" t="s">
        <v>60</v>
      </c>
      <c r="H1054" s="12">
        <v>4819</v>
      </c>
      <c r="I1054" s="4">
        <v>3703.5</v>
      </c>
      <c r="J1054" s="4">
        <v>3703.5</v>
      </c>
      <c r="K1054" s="4">
        <v>0</v>
      </c>
      <c r="L1054" s="4">
        <v>0</v>
      </c>
      <c r="M1054" s="12" t="s">
        <v>571</v>
      </c>
      <c r="N1054" s="13">
        <f t="shared" si="31"/>
        <v>7407</v>
      </c>
    </row>
    <row r="1055" spans="1:14">
      <c r="A1055" s="12">
        <v>1054</v>
      </c>
      <c r="B1055" s="1" t="s">
        <v>1753</v>
      </c>
      <c r="C1055" s="42" t="s">
        <v>1754</v>
      </c>
      <c r="D1055" s="42" t="s">
        <v>1758</v>
      </c>
      <c r="E1055" s="42" t="s">
        <v>1667</v>
      </c>
      <c r="F1055" s="4">
        <v>14960.04</v>
      </c>
      <c r="G1055" s="47" t="s">
        <v>60</v>
      </c>
      <c r="H1055" s="12">
        <v>4819</v>
      </c>
      <c r="I1055" s="4">
        <v>1141.02</v>
      </c>
      <c r="J1055" s="4">
        <v>1141.02</v>
      </c>
      <c r="K1055" s="4">
        <v>0</v>
      </c>
      <c r="L1055" s="4">
        <v>0</v>
      </c>
      <c r="M1055" s="12" t="s">
        <v>571</v>
      </c>
      <c r="N1055" s="13">
        <f t="shared" si="31"/>
        <v>2282.04</v>
      </c>
    </row>
    <row r="1056" spans="1:14">
      <c r="A1056" s="12">
        <v>1055</v>
      </c>
      <c r="B1056" s="1" t="s">
        <v>1759</v>
      </c>
      <c r="C1056" s="42" t="s">
        <v>1760</v>
      </c>
      <c r="D1056" s="42" t="s">
        <v>1761</v>
      </c>
      <c r="E1056" s="42" t="s">
        <v>1625</v>
      </c>
      <c r="F1056" s="4">
        <v>1354.64</v>
      </c>
      <c r="G1056" s="47" t="s">
        <v>570</v>
      </c>
      <c r="H1056" s="12">
        <v>998361</v>
      </c>
      <c r="I1056" s="4">
        <v>0</v>
      </c>
      <c r="J1056" s="4">
        <v>0</v>
      </c>
      <c r="K1056" s="4">
        <v>206.64</v>
      </c>
      <c r="L1056" s="4">
        <v>0</v>
      </c>
      <c r="M1056" s="12" t="s">
        <v>571</v>
      </c>
      <c r="N1056" s="13">
        <f t="shared" si="31"/>
        <v>206.64</v>
      </c>
    </row>
    <row r="1057" spans="1:14">
      <c r="A1057" s="12">
        <v>1056</v>
      </c>
      <c r="B1057" s="1" t="s">
        <v>1762</v>
      </c>
      <c r="C1057" s="42" t="s">
        <v>1763</v>
      </c>
      <c r="D1057" s="42" t="s">
        <v>1764</v>
      </c>
      <c r="E1057" s="43" t="s">
        <v>1640</v>
      </c>
      <c r="F1057" s="4">
        <v>7608</v>
      </c>
      <c r="G1057" s="47" t="s">
        <v>570</v>
      </c>
      <c r="H1057" s="12">
        <v>9987</v>
      </c>
      <c r="I1057" s="4">
        <v>580.32000000000005</v>
      </c>
      <c r="J1057" s="4">
        <v>580.32000000000005</v>
      </c>
      <c r="K1057" s="4">
        <v>0</v>
      </c>
      <c r="L1057" s="4">
        <v>0</v>
      </c>
      <c r="M1057" s="12" t="s">
        <v>571</v>
      </c>
      <c r="N1057" s="13">
        <f t="shared" si="31"/>
        <v>1160.6400000000001</v>
      </c>
    </row>
    <row r="1058" spans="1:14">
      <c r="A1058" s="12">
        <v>1057</v>
      </c>
      <c r="B1058" s="1" t="s">
        <v>1762</v>
      </c>
      <c r="C1058" s="42" t="s">
        <v>1763</v>
      </c>
      <c r="D1058" s="42" t="s">
        <v>1765</v>
      </c>
      <c r="E1058" s="43" t="s">
        <v>1640</v>
      </c>
      <c r="F1058" s="4">
        <v>3949</v>
      </c>
      <c r="G1058" s="47" t="s">
        <v>570</v>
      </c>
      <c r="H1058" s="12">
        <v>9987</v>
      </c>
      <c r="I1058" s="4">
        <v>301.23</v>
      </c>
      <c r="J1058" s="4">
        <v>301.23</v>
      </c>
      <c r="K1058" s="4">
        <v>0</v>
      </c>
      <c r="L1058" s="4">
        <v>0</v>
      </c>
      <c r="M1058" s="12" t="s">
        <v>571</v>
      </c>
      <c r="N1058" s="13">
        <f t="shared" si="31"/>
        <v>602.46</v>
      </c>
    </row>
    <row r="1059" spans="1:14">
      <c r="A1059" s="12">
        <v>1058</v>
      </c>
      <c r="B1059" s="1" t="s">
        <v>1766</v>
      </c>
      <c r="C1059" s="42" t="s">
        <v>1767</v>
      </c>
      <c r="D1059" s="42" t="s">
        <v>1768</v>
      </c>
      <c r="E1059" s="43" t="s">
        <v>1652</v>
      </c>
      <c r="F1059" s="4">
        <v>6308.28</v>
      </c>
      <c r="G1059" s="47" t="s">
        <v>570</v>
      </c>
      <c r="H1059" s="12">
        <v>996511</v>
      </c>
      <c r="I1059" s="4">
        <v>0</v>
      </c>
      <c r="J1059" s="4">
        <v>0</v>
      </c>
      <c r="K1059" s="4">
        <v>962.28</v>
      </c>
      <c r="L1059" s="4">
        <v>0</v>
      </c>
      <c r="M1059" s="12" t="s">
        <v>571</v>
      </c>
      <c r="N1059" s="13">
        <f t="shared" si="31"/>
        <v>962.28</v>
      </c>
    </row>
    <row r="1060" spans="1:14">
      <c r="A1060" s="12">
        <v>1059</v>
      </c>
      <c r="B1060" s="1" t="s">
        <v>1769</v>
      </c>
      <c r="C1060" s="42" t="s">
        <v>1770</v>
      </c>
      <c r="D1060" s="42" t="s">
        <v>1771</v>
      </c>
      <c r="E1060" s="42" t="s">
        <v>1674</v>
      </c>
      <c r="F1060" s="4">
        <v>244</v>
      </c>
      <c r="G1060" s="42" t="s">
        <v>1772</v>
      </c>
      <c r="H1060" s="30" t="s">
        <v>1641</v>
      </c>
      <c r="I1060" s="4">
        <v>0</v>
      </c>
      <c r="J1060" s="4">
        <v>0</v>
      </c>
      <c r="K1060" s="4">
        <v>37.22</v>
      </c>
      <c r="L1060" s="4">
        <v>0</v>
      </c>
      <c r="M1060" s="12" t="s">
        <v>571</v>
      </c>
      <c r="N1060" s="13">
        <f t="shared" si="31"/>
        <v>37.22</v>
      </c>
    </row>
    <row r="1061" spans="1:14">
      <c r="A1061" s="12">
        <v>1060</v>
      </c>
      <c r="B1061" s="1" t="s">
        <v>1773</v>
      </c>
      <c r="C1061" s="42" t="s">
        <v>1774</v>
      </c>
      <c r="D1061" s="42" t="s">
        <v>1775</v>
      </c>
      <c r="E1061" s="42" t="s">
        <v>1625</v>
      </c>
      <c r="F1061" s="4">
        <v>840.29</v>
      </c>
      <c r="G1061" s="47" t="s">
        <v>570</v>
      </c>
      <c r="H1061" s="12">
        <v>997159</v>
      </c>
      <c r="I1061" s="4">
        <v>64.09</v>
      </c>
      <c r="J1061" s="4">
        <v>64.09</v>
      </c>
      <c r="K1061" s="4">
        <v>0</v>
      </c>
      <c r="L1061" s="4">
        <v>0</v>
      </c>
      <c r="M1061" s="12" t="s">
        <v>571</v>
      </c>
      <c r="N1061" s="13">
        <f t="shared" si="31"/>
        <v>128.18</v>
      </c>
    </row>
    <row r="1062" spans="1:14">
      <c r="A1062" s="12">
        <v>1061</v>
      </c>
      <c r="B1062" s="1" t="s">
        <v>1776</v>
      </c>
      <c r="C1062" s="42" t="s">
        <v>1777</v>
      </c>
      <c r="D1062" s="42" t="s">
        <v>1778</v>
      </c>
      <c r="E1062" s="43" t="s">
        <v>1648</v>
      </c>
      <c r="F1062" s="4">
        <v>2153.5</v>
      </c>
      <c r="G1062" s="47" t="s">
        <v>570</v>
      </c>
      <c r="H1062" s="12">
        <v>3923</v>
      </c>
      <c r="I1062" s="4">
        <v>164.25</v>
      </c>
      <c r="J1062" s="4">
        <v>164.25</v>
      </c>
      <c r="K1062" s="4">
        <v>0</v>
      </c>
      <c r="L1062" s="4">
        <v>0</v>
      </c>
      <c r="M1062" s="12" t="s">
        <v>571</v>
      </c>
      <c r="N1062" s="13">
        <f t="shared" si="31"/>
        <v>328.5</v>
      </c>
    </row>
    <row r="1063" spans="1:14">
      <c r="A1063" s="12">
        <v>1062</v>
      </c>
      <c r="B1063" s="1" t="s">
        <v>1776</v>
      </c>
      <c r="C1063" s="42" t="s">
        <v>1777</v>
      </c>
      <c r="D1063" s="42" t="s">
        <v>1779</v>
      </c>
      <c r="E1063" s="43" t="s">
        <v>1648</v>
      </c>
      <c r="F1063" s="4">
        <v>4041.5</v>
      </c>
      <c r="G1063" s="47" t="s">
        <v>570</v>
      </c>
      <c r="H1063" s="12">
        <v>3923</v>
      </c>
      <c r="I1063" s="4">
        <v>308.25</v>
      </c>
      <c r="J1063" s="4">
        <v>308.25</v>
      </c>
      <c r="K1063" s="4">
        <v>0</v>
      </c>
      <c r="L1063" s="4">
        <v>0</v>
      </c>
      <c r="M1063" s="12" t="s">
        <v>571</v>
      </c>
      <c r="N1063" s="13">
        <f t="shared" si="31"/>
        <v>616.5</v>
      </c>
    </row>
    <row r="1064" spans="1:14">
      <c r="A1064" s="12">
        <v>1063</v>
      </c>
      <c r="B1064" s="1" t="s">
        <v>1776</v>
      </c>
      <c r="C1064" s="42" t="s">
        <v>1777</v>
      </c>
      <c r="D1064" s="42" t="s">
        <v>1780</v>
      </c>
      <c r="E1064" s="43" t="s">
        <v>1648</v>
      </c>
      <c r="F1064" s="4">
        <v>236</v>
      </c>
      <c r="G1064" s="47" t="s">
        <v>570</v>
      </c>
      <c r="H1064" s="12">
        <v>3923</v>
      </c>
      <c r="I1064" s="4">
        <v>18</v>
      </c>
      <c r="J1064" s="4">
        <v>18</v>
      </c>
      <c r="K1064" s="4">
        <v>0</v>
      </c>
      <c r="L1064" s="4">
        <v>0</v>
      </c>
      <c r="M1064" s="12" t="s">
        <v>571</v>
      </c>
      <c r="N1064" s="13">
        <f t="shared" si="31"/>
        <v>36</v>
      </c>
    </row>
    <row r="1065" spans="1:14">
      <c r="A1065" s="12">
        <v>1064</v>
      </c>
      <c r="B1065" s="1" t="s">
        <v>1776</v>
      </c>
      <c r="C1065" s="42" t="s">
        <v>1777</v>
      </c>
      <c r="D1065" s="42" t="s">
        <v>1781</v>
      </c>
      <c r="E1065" s="42" t="s">
        <v>1619</v>
      </c>
      <c r="F1065" s="4">
        <v>1870.3</v>
      </c>
      <c r="G1065" s="47" t="s">
        <v>570</v>
      </c>
      <c r="H1065" s="12">
        <v>3923</v>
      </c>
      <c r="I1065" s="4">
        <v>142.65</v>
      </c>
      <c r="J1065" s="4">
        <v>142.65</v>
      </c>
      <c r="K1065" s="4">
        <v>0</v>
      </c>
      <c r="L1065" s="4">
        <v>0</v>
      </c>
      <c r="M1065" s="12" t="s">
        <v>571</v>
      </c>
      <c r="N1065" s="13">
        <f t="shared" si="31"/>
        <v>285.3</v>
      </c>
    </row>
    <row r="1066" spans="1:14">
      <c r="A1066" s="12">
        <v>1065</v>
      </c>
      <c r="B1066" s="1" t="s">
        <v>1776</v>
      </c>
      <c r="C1066" s="42" t="s">
        <v>1777</v>
      </c>
      <c r="D1066" s="42" t="s">
        <v>1782</v>
      </c>
      <c r="E1066" s="42" t="s">
        <v>1619</v>
      </c>
      <c r="F1066" s="4">
        <v>118</v>
      </c>
      <c r="G1066" s="47" t="s">
        <v>570</v>
      </c>
      <c r="H1066" s="12">
        <v>3923</v>
      </c>
      <c r="I1066" s="4">
        <v>9</v>
      </c>
      <c r="J1066" s="4">
        <v>9</v>
      </c>
      <c r="K1066" s="4">
        <v>0</v>
      </c>
      <c r="L1066" s="4">
        <v>0</v>
      </c>
      <c r="M1066" s="12" t="s">
        <v>571</v>
      </c>
      <c r="N1066" s="13">
        <f t="shared" si="31"/>
        <v>18</v>
      </c>
    </row>
    <row r="1067" spans="1:14">
      <c r="A1067" s="12">
        <v>1066</v>
      </c>
      <c r="B1067" s="1" t="s">
        <v>1776</v>
      </c>
      <c r="C1067" s="42" t="s">
        <v>1777</v>
      </c>
      <c r="D1067" s="42" t="s">
        <v>1783</v>
      </c>
      <c r="E1067" s="42" t="s">
        <v>1680</v>
      </c>
      <c r="F1067" s="4">
        <v>1905.7</v>
      </c>
      <c r="G1067" s="47" t="s">
        <v>570</v>
      </c>
      <c r="H1067" s="12">
        <v>3923</v>
      </c>
      <c r="I1067" s="4">
        <v>145.35</v>
      </c>
      <c r="J1067" s="4">
        <v>145.35</v>
      </c>
      <c r="K1067" s="4">
        <v>0</v>
      </c>
      <c r="L1067" s="4">
        <v>0</v>
      </c>
      <c r="M1067" s="12" t="s">
        <v>571</v>
      </c>
      <c r="N1067" s="13">
        <f t="shared" si="31"/>
        <v>290.7</v>
      </c>
    </row>
    <row r="1068" spans="1:14">
      <c r="A1068" s="12">
        <v>1067</v>
      </c>
      <c r="B1068" s="1" t="s">
        <v>1776</v>
      </c>
      <c r="C1068" s="42" t="s">
        <v>1777</v>
      </c>
      <c r="D1068" s="42" t="s">
        <v>1784</v>
      </c>
      <c r="E1068" s="42" t="s">
        <v>1680</v>
      </c>
      <c r="F1068" s="4">
        <v>1433.7</v>
      </c>
      <c r="G1068" s="47" t="s">
        <v>570</v>
      </c>
      <c r="H1068" s="12">
        <v>3923</v>
      </c>
      <c r="I1068" s="4">
        <v>109.35</v>
      </c>
      <c r="J1068" s="4">
        <v>109.35</v>
      </c>
      <c r="K1068" s="4">
        <v>0</v>
      </c>
      <c r="L1068" s="4">
        <v>0</v>
      </c>
      <c r="M1068" s="12" t="s">
        <v>571</v>
      </c>
      <c r="N1068" s="13">
        <f t="shared" si="31"/>
        <v>218.7</v>
      </c>
    </row>
    <row r="1069" spans="1:14">
      <c r="A1069" s="12">
        <v>1068</v>
      </c>
      <c r="B1069" s="1" t="s">
        <v>1776</v>
      </c>
      <c r="C1069" s="42" t="s">
        <v>1777</v>
      </c>
      <c r="D1069" s="42" t="s">
        <v>1785</v>
      </c>
      <c r="E1069" s="42" t="s">
        <v>1680</v>
      </c>
      <c r="F1069" s="4">
        <v>236</v>
      </c>
      <c r="G1069" s="47" t="s">
        <v>570</v>
      </c>
      <c r="H1069" s="12">
        <v>3923</v>
      </c>
      <c r="I1069" s="4">
        <v>18</v>
      </c>
      <c r="J1069" s="4">
        <v>18</v>
      </c>
      <c r="K1069" s="4">
        <v>0</v>
      </c>
      <c r="L1069" s="4">
        <v>0</v>
      </c>
      <c r="M1069" s="12" t="s">
        <v>571</v>
      </c>
      <c r="N1069" s="13">
        <f t="shared" si="31"/>
        <v>36</v>
      </c>
    </row>
    <row r="1070" spans="1:14">
      <c r="A1070" s="12">
        <v>1069</v>
      </c>
      <c r="B1070" s="1" t="s">
        <v>1786</v>
      </c>
      <c r="C1070" s="42" t="s">
        <v>1787</v>
      </c>
      <c r="D1070" s="42" t="s">
        <v>1788</v>
      </c>
      <c r="E1070" s="43" t="s">
        <v>1665</v>
      </c>
      <c r="F1070" s="4">
        <v>17024</v>
      </c>
      <c r="G1070" s="47" t="s">
        <v>60</v>
      </c>
      <c r="H1070" s="12">
        <v>58079090</v>
      </c>
      <c r="I1070" s="4">
        <v>912</v>
      </c>
      <c r="J1070" s="4">
        <v>912</v>
      </c>
      <c r="K1070" s="4">
        <v>0</v>
      </c>
      <c r="L1070" s="4">
        <v>0</v>
      </c>
      <c r="M1070" s="12" t="s">
        <v>571</v>
      </c>
      <c r="N1070" s="13">
        <f t="shared" si="31"/>
        <v>1824</v>
      </c>
    </row>
    <row r="1071" spans="1:14">
      <c r="A1071" s="12">
        <v>1070</v>
      </c>
      <c r="B1071" s="1" t="s">
        <v>1789</v>
      </c>
      <c r="C1071" s="42" t="s">
        <v>1790</v>
      </c>
      <c r="D1071" s="42" t="s">
        <v>1791</v>
      </c>
      <c r="E1071" s="43" t="s">
        <v>1662</v>
      </c>
      <c r="F1071" s="4">
        <v>47880</v>
      </c>
      <c r="G1071" s="47" t="s">
        <v>60</v>
      </c>
      <c r="H1071" s="29" t="s">
        <v>1792</v>
      </c>
      <c r="I1071" s="4">
        <v>0</v>
      </c>
      <c r="J1071" s="4">
        <v>0</v>
      </c>
      <c r="K1071" s="4">
        <v>2280</v>
      </c>
      <c r="L1071" s="4">
        <v>0</v>
      </c>
      <c r="M1071" s="12" t="s">
        <v>571</v>
      </c>
      <c r="N1071" s="13">
        <f t="shared" si="31"/>
        <v>2280</v>
      </c>
    </row>
    <row r="1072" spans="1:14">
      <c r="A1072" s="12">
        <v>1071</v>
      </c>
      <c r="B1072" s="1" t="s">
        <v>1793</v>
      </c>
      <c r="C1072" s="42" t="s">
        <v>1794</v>
      </c>
      <c r="D1072" s="42" t="s">
        <v>1795</v>
      </c>
      <c r="E1072" s="42" t="s">
        <v>1625</v>
      </c>
      <c r="F1072" s="4">
        <v>37210.17</v>
      </c>
      <c r="G1072" s="47" t="s">
        <v>570</v>
      </c>
      <c r="H1072" s="12">
        <v>996812</v>
      </c>
      <c r="I1072" s="4">
        <v>0</v>
      </c>
      <c r="J1072" s="4">
        <v>0</v>
      </c>
      <c r="K1072" s="4">
        <v>5676.13</v>
      </c>
      <c r="L1072" s="4">
        <v>0</v>
      </c>
      <c r="M1072" s="12" t="s">
        <v>571</v>
      </c>
      <c r="N1072" s="13">
        <f t="shared" si="31"/>
        <v>5676.13</v>
      </c>
    </row>
    <row r="1073" spans="1:14">
      <c r="A1073" s="12">
        <v>1072</v>
      </c>
      <c r="B1073" s="1" t="s">
        <v>1793</v>
      </c>
      <c r="C1073" s="42" t="s">
        <v>1794</v>
      </c>
      <c r="D1073" s="42" t="s">
        <v>1796</v>
      </c>
      <c r="E1073" s="42" t="s">
        <v>1625</v>
      </c>
      <c r="F1073" s="4">
        <v>43150.01</v>
      </c>
      <c r="G1073" s="47" t="s">
        <v>570</v>
      </c>
      <c r="H1073" s="12">
        <v>996812</v>
      </c>
      <c r="I1073" s="4">
        <v>3291.1</v>
      </c>
      <c r="J1073" s="4">
        <v>3291.1</v>
      </c>
      <c r="K1073" s="4">
        <v>0</v>
      </c>
      <c r="L1073" s="4">
        <v>0</v>
      </c>
      <c r="M1073" s="12" t="s">
        <v>571</v>
      </c>
      <c r="N1073" s="13">
        <f t="shared" si="31"/>
        <v>6582.2</v>
      </c>
    </row>
    <row r="1074" spans="1:14">
      <c r="A1074" s="12">
        <v>1073</v>
      </c>
      <c r="B1074" s="1" t="s">
        <v>1793</v>
      </c>
      <c r="C1074" s="42" t="s">
        <v>1794</v>
      </c>
      <c r="D1074" s="42" t="s">
        <v>1797</v>
      </c>
      <c r="E1074" s="42" t="s">
        <v>1625</v>
      </c>
      <c r="F1074" s="4">
        <v>6408.06</v>
      </c>
      <c r="G1074" s="47" t="s">
        <v>570</v>
      </c>
      <c r="H1074" s="12">
        <v>996812</v>
      </c>
      <c r="I1074" s="4">
        <v>488.75</v>
      </c>
      <c r="J1074" s="4">
        <v>488.75</v>
      </c>
      <c r="K1074" s="4">
        <v>0</v>
      </c>
      <c r="L1074" s="4">
        <v>0</v>
      </c>
      <c r="M1074" s="12" t="s">
        <v>571</v>
      </c>
      <c r="N1074" s="13">
        <f t="shared" si="31"/>
        <v>977.5</v>
      </c>
    </row>
    <row r="1075" spans="1:14">
      <c r="A1075" s="12">
        <v>1074</v>
      </c>
      <c r="B1075" s="1" t="s">
        <v>1793</v>
      </c>
      <c r="C1075" s="42" t="s">
        <v>1794</v>
      </c>
      <c r="D1075" s="42" t="s">
        <v>1798</v>
      </c>
      <c r="E1075" s="42" t="s">
        <v>1625</v>
      </c>
      <c r="F1075" s="4">
        <v>43324.34</v>
      </c>
      <c r="G1075" s="47" t="s">
        <v>570</v>
      </c>
      <c r="H1075" s="12">
        <v>996812</v>
      </c>
      <c r="I1075" s="4">
        <v>0</v>
      </c>
      <c r="J1075" s="4">
        <v>0</v>
      </c>
      <c r="K1075" s="4">
        <v>6608.8</v>
      </c>
      <c r="L1075" s="4">
        <v>0</v>
      </c>
      <c r="M1075" s="12" t="s">
        <v>571</v>
      </c>
      <c r="N1075" s="13">
        <f t="shared" si="31"/>
        <v>6608.8</v>
      </c>
    </row>
    <row r="1076" spans="1:14">
      <c r="A1076" s="12">
        <v>1075</v>
      </c>
      <c r="B1076" s="1" t="s">
        <v>1799</v>
      </c>
      <c r="C1076" s="42" t="s">
        <v>1800</v>
      </c>
      <c r="D1076" s="42" t="s">
        <v>1801</v>
      </c>
      <c r="E1076" s="42" t="s">
        <v>1625</v>
      </c>
      <c r="F1076" s="4">
        <v>1452.74</v>
      </c>
      <c r="G1076" s="47" t="s">
        <v>570</v>
      </c>
      <c r="H1076" s="12">
        <v>997159</v>
      </c>
      <c r="I1076" s="4">
        <v>110.8</v>
      </c>
      <c r="J1076" s="4">
        <v>110.8</v>
      </c>
      <c r="K1076" s="4">
        <v>0</v>
      </c>
      <c r="L1076" s="4">
        <v>0</v>
      </c>
      <c r="M1076" s="12" t="s">
        <v>571</v>
      </c>
      <c r="N1076" s="13">
        <f t="shared" si="31"/>
        <v>221.6</v>
      </c>
    </row>
    <row r="1077" spans="1:14">
      <c r="A1077" s="12">
        <v>1076</v>
      </c>
      <c r="B1077" s="1" t="s">
        <v>1802</v>
      </c>
      <c r="C1077" s="42" t="s">
        <v>1803</v>
      </c>
      <c r="D1077" s="42" t="s">
        <v>1804</v>
      </c>
      <c r="E1077" s="42" t="s">
        <v>1805</v>
      </c>
      <c r="F1077" s="4">
        <v>20475</v>
      </c>
      <c r="G1077" s="47" t="s">
        <v>60</v>
      </c>
      <c r="H1077" s="29" t="s">
        <v>1806</v>
      </c>
      <c r="I1077" s="4">
        <v>0</v>
      </c>
      <c r="J1077" s="4">
        <v>0</v>
      </c>
      <c r="K1077" s="4">
        <v>975</v>
      </c>
      <c r="L1077" s="4">
        <v>0</v>
      </c>
      <c r="M1077" s="12" t="s">
        <v>571</v>
      </c>
      <c r="N1077" s="13">
        <f t="shared" si="31"/>
        <v>975</v>
      </c>
    </row>
    <row r="1078" spans="1:14">
      <c r="A1078" s="12">
        <v>1077</v>
      </c>
      <c r="B1078" s="1" t="s">
        <v>1807</v>
      </c>
      <c r="C1078" s="42" t="s">
        <v>1808</v>
      </c>
      <c r="D1078" s="42" t="s">
        <v>1809</v>
      </c>
      <c r="E1078" s="42" t="s">
        <v>1674</v>
      </c>
      <c r="F1078" s="4">
        <v>2993</v>
      </c>
      <c r="G1078" s="47" t="s">
        <v>60</v>
      </c>
      <c r="H1078" s="29" t="s">
        <v>1810</v>
      </c>
      <c r="I1078" s="4">
        <v>71.25</v>
      </c>
      <c r="J1078" s="4">
        <v>71.25</v>
      </c>
      <c r="K1078" s="4">
        <v>0</v>
      </c>
      <c r="L1078" s="4">
        <v>0</v>
      </c>
      <c r="M1078" s="12" t="s">
        <v>571</v>
      </c>
      <c r="N1078" s="13">
        <f t="shared" si="31"/>
        <v>142.5</v>
      </c>
    </row>
    <row r="1079" spans="1:14">
      <c r="A1079" s="12">
        <v>1078</v>
      </c>
      <c r="B1079" s="1" t="s">
        <v>1811</v>
      </c>
      <c r="C1079" s="42" t="s">
        <v>1812</v>
      </c>
      <c r="D1079" s="42" t="s">
        <v>1813</v>
      </c>
      <c r="E1079" s="42" t="s">
        <v>1625</v>
      </c>
      <c r="F1079" s="4">
        <v>116.82</v>
      </c>
      <c r="G1079" s="47" t="s">
        <v>570</v>
      </c>
      <c r="H1079" s="12">
        <v>997159</v>
      </c>
      <c r="I1079" s="4">
        <v>0</v>
      </c>
      <c r="J1079" s="4">
        <v>0</v>
      </c>
      <c r="K1079" s="4">
        <v>17.82</v>
      </c>
      <c r="L1079" s="4">
        <v>0</v>
      </c>
      <c r="M1079" s="12" t="s">
        <v>571</v>
      </c>
      <c r="N1079" s="13">
        <f t="shared" si="31"/>
        <v>17.82</v>
      </c>
    </row>
    <row r="1080" spans="1:14">
      <c r="A1080" s="12">
        <v>1079</v>
      </c>
      <c r="B1080" s="1" t="s">
        <v>1811</v>
      </c>
      <c r="C1080" s="42" t="s">
        <v>1812</v>
      </c>
      <c r="D1080" s="42" t="s">
        <v>1814</v>
      </c>
      <c r="E1080" s="42" t="s">
        <v>1625</v>
      </c>
      <c r="F1080" s="4">
        <v>588.82000000000005</v>
      </c>
      <c r="G1080" s="47" t="s">
        <v>570</v>
      </c>
      <c r="H1080" s="12">
        <v>997159</v>
      </c>
      <c r="I1080" s="4">
        <v>0</v>
      </c>
      <c r="J1080" s="4">
        <v>0</v>
      </c>
      <c r="K1080" s="4">
        <v>89.82</v>
      </c>
      <c r="L1080" s="4">
        <v>0</v>
      </c>
      <c r="M1080" s="12" t="s">
        <v>571</v>
      </c>
      <c r="N1080" s="13">
        <f t="shared" si="31"/>
        <v>89.82</v>
      </c>
    </row>
    <row r="1081" spans="1:14">
      <c r="A1081" s="12">
        <v>1080</v>
      </c>
      <c r="B1081" s="1" t="s">
        <v>1811</v>
      </c>
      <c r="C1081" s="42" t="s">
        <v>1812</v>
      </c>
      <c r="D1081" s="42" t="s">
        <v>1815</v>
      </c>
      <c r="E1081" s="42" t="s">
        <v>1625</v>
      </c>
      <c r="F1081" s="4">
        <v>885</v>
      </c>
      <c r="G1081" s="47" t="s">
        <v>570</v>
      </c>
      <c r="H1081" s="12">
        <v>997159</v>
      </c>
      <c r="I1081" s="4">
        <v>0</v>
      </c>
      <c r="J1081" s="4">
        <v>0</v>
      </c>
      <c r="K1081" s="4">
        <v>135</v>
      </c>
      <c r="L1081" s="4">
        <v>0</v>
      </c>
      <c r="M1081" s="12" t="s">
        <v>571</v>
      </c>
      <c r="N1081" s="13">
        <f t="shared" si="31"/>
        <v>135</v>
      </c>
    </row>
    <row r="1082" spans="1:14">
      <c r="A1082" s="12">
        <v>1081</v>
      </c>
      <c r="B1082" s="1" t="s">
        <v>805</v>
      </c>
      <c r="C1082" s="42" t="s">
        <v>806</v>
      </c>
      <c r="D1082" s="42" t="s">
        <v>1816</v>
      </c>
      <c r="E1082" s="42" t="s">
        <v>1625</v>
      </c>
      <c r="F1082" s="4">
        <v>7114.82</v>
      </c>
      <c r="G1082" s="47" t="s">
        <v>570</v>
      </c>
      <c r="H1082" s="29" t="s">
        <v>847</v>
      </c>
      <c r="I1082" s="4">
        <v>0</v>
      </c>
      <c r="J1082" s="4">
        <v>0</v>
      </c>
      <c r="K1082" s="4">
        <v>1085.32</v>
      </c>
      <c r="L1082" s="4">
        <v>0</v>
      </c>
      <c r="M1082" s="12" t="s">
        <v>571</v>
      </c>
      <c r="N1082" s="13">
        <f t="shared" si="31"/>
        <v>1085.32</v>
      </c>
    </row>
    <row r="1083" spans="1:14">
      <c r="A1083" s="12">
        <v>1082</v>
      </c>
      <c r="B1083" s="1" t="s">
        <v>1817</v>
      </c>
      <c r="C1083" s="42" t="s">
        <v>1818</v>
      </c>
      <c r="D1083" s="42" t="s">
        <v>1819</v>
      </c>
      <c r="E1083" s="43" t="s">
        <v>1633</v>
      </c>
      <c r="F1083" s="4">
        <v>23362.5</v>
      </c>
      <c r="G1083" s="47" t="s">
        <v>1772</v>
      </c>
      <c r="H1083" s="30" t="s">
        <v>1792</v>
      </c>
      <c r="I1083" s="4">
        <v>0</v>
      </c>
      <c r="J1083" s="4">
        <v>0</v>
      </c>
      <c r="K1083" s="4">
        <v>1112.5</v>
      </c>
      <c r="L1083" s="4">
        <v>0</v>
      </c>
      <c r="M1083" s="12" t="s">
        <v>571</v>
      </c>
      <c r="N1083" s="13">
        <f t="shared" si="31"/>
        <v>1112.5</v>
      </c>
    </row>
    <row r="1084" spans="1:14">
      <c r="A1084" s="12">
        <v>1083</v>
      </c>
      <c r="B1084" s="1" t="s">
        <v>1820</v>
      </c>
      <c r="C1084" s="42" t="s">
        <v>1821</v>
      </c>
      <c r="D1084" s="42" t="s">
        <v>1822</v>
      </c>
      <c r="E1084" s="43" t="s">
        <v>1633</v>
      </c>
      <c r="F1084" s="4">
        <v>28350</v>
      </c>
      <c r="G1084" s="47" t="s">
        <v>60</v>
      </c>
      <c r="H1084" s="29" t="s">
        <v>1806</v>
      </c>
      <c r="I1084" s="4">
        <v>0</v>
      </c>
      <c r="J1084" s="4">
        <v>0</v>
      </c>
      <c r="K1084" s="4">
        <v>1350</v>
      </c>
      <c r="L1084" s="4">
        <v>0</v>
      </c>
      <c r="M1084" s="12" t="s">
        <v>571</v>
      </c>
      <c r="N1084" s="13">
        <f t="shared" si="31"/>
        <v>1350</v>
      </c>
    </row>
    <row r="1085" spans="1:14">
      <c r="A1085" s="12">
        <v>1084</v>
      </c>
      <c r="B1085" s="1" t="s">
        <v>1820</v>
      </c>
      <c r="C1085" s="42" t="s">
        <v>1821</v>
      </c>
      <c r="D1085" s="42" t="s">
        <v>1823</v>
      </c>
      <c r="E1085" s="43" t="s">
        <v>1733</v>
      </c>
      <c r="F1085" s="4">
        <v>19215</v>
      </c>
      <c r="G1085" s="47" t="s">
        <v>60</v>
      </c>
      <c r="H1085" s="29" t="s">
        <v>1806</v>
      </c>
      <c r="I1085" s="4">
        <v>0</v>
      </c>
      <c r="J1085" s="4">
        <v>0</v>
      </c>
      <c r="K1085" s="4">
        <v>915</v>
      </c>
      <c r="L1085" s="4">
        <v>0</v>
      </c>
      <c r="M1085" s="12" t="s">
        <v>571</v>
      </c>
      <c r="N1085" s="13">
        <f t="shared" si="31"/>
        <v>915</v>
      </c>
    </row>
    <row r="1086" spans="1:14">
      <c r="A1086" s="12">
        <v>1085</v>
      </c>
      <c r="B1086" s="1" t="s">
        <v>1824</v>
      </c>
      <c r="C1086" s="42" t="s">
        <v>1825</v>
      </c>
      <c r="D1086" s="42" t="s">
        <v>1826</v>
      </c>
      <c r="E1086" s="42" t="s">
        <v>1625</v>
      </c>
      <c r="F1086" s="4">
        <v>3669.29</v>
      </c>
      <c r="G1086" s="47" t="s">
        <v>570</v>
      </c>
      <c r="H1086" s="12">
        <v>997159</v>
      </c>
      <c r="I1086" s="4">
        <v>0</v>
      </c>
      <c r="J1086" s="4">
        <v>0</v>
      </c>
      <c r="K1086" s="4">
        <v>559.64</v>
      </c>
      <c r="L1086" s="4">
        <v>0</v>
      </c>
      <c r="M1086" s="12" t="s">
        <v>571</v>
      </c>
      <c r="N1086" s="13">
        <f t="shared" si="31"/>
        <v>559.64</v>
      </c>
    </row>
    <row r="1087" spans="1:14">
      <c r="A1087" s="12">
        <v>1086</v>
      </c>
      <c r="B1087" s="1" t="s">
        <v>1824</v>
      </c>
      <c r="C1087" s="42" t="s">
        <v>1825</v>
      </c>
      <c r="D1087" s="42" t="s">
        <v>1827</v>
      </c>
      <c r="E1087" s="42" t="s">
        <v>1625</v>
      </c>
      <c r="F1087" s="4">
        <v>358.75</v>
      </c>
      <c r="G1087" s="47" t="s">
        <v>570</v>
      </c>
      <c r="H1087" s="12">
        <v>997159</v>
      </c>
      <c r="I1087" s="4">
        <v>0</v>
      </c>
      <c r="J1087" s="4">
        <v>0</v>
      </c>
      <c r="K1087" s="4">
        <v>54.67</v>
      </c>
      <c r="L1087" s="4">
        <v>0</v>
      </c>
      <c r="M1087" s="12" t="s">
        <v>571</v>
      </c>
      <c r="N1087" s="13">
        <f t="shared" si="31"/>
        <v>54.67</v>
      </c>
    </row>
    <row r="1088" spans="1:14">
      <c r="A1088" s="12">
        <v>1087</v>
      </c>
      <c r="B1088" s="1" t="s">
        <v>1828</v>
      </c>
      <c r="C1088" s="42" t="s">
        <v>1829</v>
      </c>
      <c r="D1088" s="42" t="s">
        <v>1830</v>
      </c>
      <c r="E1088" s="43" t="s">
        <v>1733</v>
      </c>
      <c r="F1088" s="4">
        <v>4272.78</v>
      </c>
      <c r="G1088" s="47" t="s">
        <v>570</v>
      </c>
      <c r="H1088" s="30" t="s">
        <v>1831</v>
      </c>
      <c r="I1088" s="4">
        <v>325.89</v>
      </c>
      <c r="J1088" s="4">
        <v>325.89</v>
      </c>
      <c r="K1088" s="4">
        <v>0</v>
      </c>
      <c r="L1088" s="4">
        <v>0</v>
      </c>
      <c r="M1088" s="12" t="s">
        <v>571</v>
      </c>
      <c r="N1088" s="13">
        <f t="shared" si="31"/>
        <v>651.78</v>
      </c>
    </row>
    <row r="1089" spans="1:14">
      <c r="A1089" s="12">
        <v>1088</v>
      </c>
      <c r="B1089" s="1" t="s">
        <v>1832</v>
      </c>
      <c r="C1089" s="42" t="s">
        <v>1833</v>
      </c>
      <c r="D1089" s="42" t="s">
        <v>1834</v>
      </c>
      <c r="E1089" s="43" t="s">
        <v>1633</v>
      </c>
      <c r="F1089" s="4">
        <v>38354</v>
      </c>
      <c r="G1089" s="47" t="s">
        <v>60</v>
      </c>
      <c r="H1089" s="29" t="s">
        <v>1835</v>
      </c>
      <c r="I1089" s="4">
        <v>913.2</v>
      </c>
      <c r="J1089" s="4">
        <v>913.2</v>
      </c>
      <c r="K1089" s="4">
        <v>0</v>
      </c>
      <c r="L1089" s="4">
        <v>0</v>
      </c>
      <c r="M1089" s="12" t="s">
        <v>571</v>
      </c>
      <c r="N1089" s="13">
        <f t="shared" si="31"/>
        <v>1826.4</v>
      </c>
    </row>
    <row r="1090" spans="1:14">
      <c r="A1090" s="12">
        <v>1089</v>
      </c>
      <c r="B1090" s="1" t="s">
        <v>1836</v>
      </c>
      <c r="C1090" s="42" t="s">
        <v>1837</v>
      </c>
      <c r="D1090" s="42" t="s">
        <v>1838</v>
      </c>
      <c r="E1090" s="43" t="s">
        <v>1644</v>
      </c>
      <c r="F1090" s="4">
        <v>562.86</v>
      </c>
      <c r="G1090" s="47" t="s">
        <v>570</v>
      </c>
      <c r="H1090" s="29" t="s">
        <v>1839</v>
      </c>
      <c r="I1090" s="4">
        <v>42.93</v>
      </c>
      <c r="J1090" s="4">
        <v>42.93</v>
      </c>
      <c r="K1090" s="4">
        <v>0</v>
      </c>
      <c r="L1090" s="4">
        <v>0</v>
      </c>
      <c r="M1090" s="12" t="s">
        <v>571</v>
      </c>
      <c r="N1090" s="13">
        <f t="shared" si="31"/>
        <v>85.86</v>
      </c>
    </row>
    <row r="1091" spans="1:14">
      <c r="A1091" s="12">
        <v>1090</v>
      </c>
      <c r="B1091" s="1" t="s">
        <v>1836</v>
      </c>
      <c r="C1091" s="42" t="s">
        <v>1837</v>
      </c>
      <c r="D1091" s="42" t="s">
        <v>1840</v>
      </c>
      <c r="E1091" s="43" t="s">
        <v>1743</v>
      </c>
      <c r="F1091" s="4">
        <v>689.12</v>
      </c>
      <c r="G1091" s="47" t="s">
        <v>570</v>
      </c>
      <c r="H1091" s="29" t="s">
        <v>1839</v>
      </c>
      <c r="I1091" s="4">
        <v>52.56</v>
      </c>
      <c r="J1091" s="4">
        <v>52.56</v>
      </c>
      <c r="K1091" s="4">
        <v>0</v>
      </c>
      <c r="L1091" s="4">
        <v>0</v>
      </c>
      <c r="M1091" s="12" t="s">
        <v>571</v>
      </c>
      <c r="N1091" s="13">
        <f t="shared" si="31"/>
        <v>105.12</v>
      </c>
    </row>
    <row r="1092" spans="1:14">
      <c r="A1092" s="12">
        <v>1091</v>
      </c>
      <c r="B1092" s="1" t="s">
        <v>1841</v>
      </c>
      <c r="C1092" s="42" t="s">
        <v>1842</v>
      </c>
      <c r="D1092" s="42" t="s">
        <v>1843</v>
      </c>
      <c r="E1092" s="43" t="s">
        <v>1652</v>
      </c>
      <c r="F1092" s="4">
        <v>31860</v>
      </c>
      <c r="G1092" s="47" t="s">
        <v>570</v>
      </c>
      <c r="H1092" s="12">
        <v>998597</v>
      </c>
      <c r="I1092" s="4">
        <v>2430</v>
      </c>
      <c r="J1092" s="4">
        <v>2430</v>
      </c>
      <c r="K1092" s="4">
        <v>0</v>
      </c>
      <c r="L1092" s="4">
        <v>0</v>
      </c>
      <c r="M1092" s="14" t="s">
        <v>157</v>
      </c>
      <c r="N1092" s="15" t="s">
        <v>202</v>
      </c>
    </row>
    <row r="1093" spans="1:14">
      <c r="A1093" s="12">
        <v>1092</v>
      </c>
      <c r="B1093" s="1" t="s">
        <v>1844</v>
      </c>
      <c r="C1093" s="42" t="s">
        <v>1845</v>
      </c>
      <c r="D1093" s="42" t="s">
        <v>1846</v>
      </c>
      <c r="E1093" s="42" t="s">
        <v>1625</v>
      </c>
      <c r="F1093" s="4">
        <v>1055.23</v>
      </c>
      <c r="G1093" s="47" t="s">
        <v>570</v>
      </c>
      <c r="H1093" s="12">
        <v>997158</v>
      </c>
      <c r="I1093" s="4">
        <v>0</v>
      </c>
      <c r="J1093" s="4">
        <v>0</v>
      </c>
      <c r="K1093" s="4">
        <v>0</v>
      </c>
      <c r="L1093" s="4">
        <v>0</v>
      </c>
      <c r="M1093" s="12" t="s">
        <v>571</v>
      </c>
      <c r="N1093" s="13">
        <f t="shared" si="31"/>
        <v>0</v>
      </c>
    </row>
    <row r="1094" spans="1:14">
      <c r="A1094" s="12">
        <v>1093</v>
      </c>
      <c r="B1094" s="1" t="s">
        <v>1844</v>
      </c>
      <c r="C1094" s="42" t="s">
        <v>1845</v>
      </c>
      <c r="D1094" s="42" t="s">
        <v>1846</v>
      </c>
      <c r="E1094" s="42" t="s">
        <v>1625</v>
      </c>
      <c r="F1094" s="4">
        <v>1055.23</v>
      </c>
      <c r="G1094" s="47" t="s">
        <v>570</v>
      </c>
      <c r="H1094" s="12">
        <v>997158</v>
      </c>
      <c r="I1094" s="4">
        <v>0</v>
      </c>
      <c r="J1094" s="4">
        <v>0</v>
      </c>
      <c r="K1094" s="4">
        <v>152.78</v>
      </c>
      <c r="L1094" s="4">
        <v>0</v>
      </c>
      <c r="M1094" s="12" t="s">
        <v>571</v>
      </c>
      <c r="N1094" s="13">
        <f t="shared" si="31"/>
        <v>152.78</v>
      </c>
    </row>
    <row r="1095" spans="1:14">
      <c r="A1095" s="12">
        <v>1094</v>
      </c>
      <c r="B1095" s="1" t="s">
        <v>1847</v>
      </c>
      <c r="C1095" s="42" t="s">
        <v>1848</v>
      </c>
      <c r="D1095" s="42" t="s">
        <v>1849</v>
      </c>
      <c r="E1095" s="43" t="s">
        <v>1655</v>
      </c>
      <c r="F1095" s="4">
        <v>11682</v>
      </c>
      <c r="G1095" s="47" t="s">
        <v>60</v>
      </c>
      <c r="H1095" s="12">
        <v>4819</v>
      </c>
      <c r="I1095" s="4">
        <v>891</v>
      </c>
      <c r="J1095" s="4">
        <v>891</v>
      </c>
      <c r="K1095" s="4">
        <v>0</v>
      </c>
      <c r="L1095" s="4">
        <v>0</v>
      </c>
      <c r="M1095" s="12" t="s">
        <v>571</v>
      </c>
      <c r="N1095" s="13">
        <f t="shared" si="31"/>
        <v>1782</v>
      </c>
    </row>
    <row r="1096" spans="1:14">
      <c r="A1096" s="12">
        <v>1095</v>
      </c>
      <c r="B1096" s="1" t="s">
        <v>1850</v>
      </c>
      <c r="C1096" s="42" t="s">
        <v>1851</v>
      </c>
      <c r="D1096" s="42" t="s">
        <v>1852</v>
      </c>
      <c r="E1096" s="42" t="s">
        <v>1853</v>
      </c>
      <c r="F1096" s="4">
        <v>584.1</v>
      </c>
      <c r="G1096" s="47" t="s">
        <v>60</v>
      </c>
      <c r="H1096" s="12">
        <v>3923</v>
      </c>
      <c r="I1096" s="4">
        <v>0</v>
      </c>
      <c r="J1096" s="4">
        <v>0</v>
      </c>
      <c r="K1096" s="4">
        <v>89.1</v>
      </c>
      <c r="L1096" s="4">
        <v>0</v>
      </c>
      <c r="M1096" s="12" t="s">
        <v>571</v>
      </c>
      <c r="N1096" s="13">
        <f t="shared" si="31"/>
        <v>89.1</v>
      </c>
    </row>
    <row r="1097" spans="1:14">
      <c r="A1097" s="12">
        <v>1096</v>
      </c>
      <c r="B1097" s="1" t="s">
        <v>1737</v>
      </c>
      <c r="C1097" s="42" t="s">
        <v>1738</v>
      </c>
      <c r="D1097" s="42" t="s">
        <v>1854</v>
      </c>
      <c r="E1097" s="42" t="s">
        <v>1855</v>
      </c>
      <c r="F1097" s="4">
        <v>11667</v>
      </c>
      <c r="G1097" s="47" t="s">
        <v>60</v>
      </c>
      <c r="H1097" s="12">
        <v>4911</v>
      </c>
      <c r="I1097" s="4">
        <v>889.83</v>
      </c>
      <c r="J1097" s="4">
        <v>889.83</v>
      </c>
      <c r="K1097" s="4">
        <v>0</v>
      </c>
      <c r="L1097" s="4">
        <v>0</v>
      </c>
      <c r="M1097" s="12" t="s">
        <v>571</v>
      </c>
      <c r="N1097" s="13">
        <f t="shared" si="31"/>
        <v>1779.66</v>
      </c>
    </row>
    <row r="1098" spans="1:14">
      <c r="A1098" s="12">
        <v>1097</v>
      </c>
      <c r="B1098" s="1" t="s">
        <v>1856</v>
      </c>
      <c r="C1098" s="42" t="s">
        <v>1857</v>
      </c>
      <c r="D1098" s="42" t="s">
        <v>1858</v>
      </c>
      <c r="E1098" s="42" t="s">
        <v>1853</v>
      </c>
      <c r="F1098" s="4">
        <v>888</v>
      </c>
      <c r="G1098" s="47" t="s">
        <v>60</v>
      </c>
      <c r="H1098" s="29" t="s">
        <v>1700</v>
      </c>
      <c r="I1098" s="4">
        <v>0</v>
      </c>
      <c r="J1098" s="4">
        <v>0</v>
      </c>
      <c r="K1098" s="4">
        <v>42.29</v>
      </c>
      <c r="L1098" s="4">
        <v>0</v>
      </c>
      <c r="M1098" s="12" t="s">
        <v>571</v>
      </c>
      <c r="N1098" s="13">
        <f t="shared" si="31"/>
        <v>42.29</v>
      </c>
    </row>
    <row r="1099" spans="1:14">
      <c r="A1099" s="12">
        <v>1098</v>
      </c>
      <c r="B1099" s="1" t="s">
        <v>1740</v>
      </c>
      <c r="C1099" s="42" t="s">
        <v>1741</v>
      </c>
      <c r="D1099" s="42" t="s">
        <v>1859</v>
      </c>
      <c r="E1099" s="42" t="s">
        <v>1855</v>
      </c>
      <c r="F1099" s="4">
        <v>3110</v>
      </c>
      <c r="G1099" s="47" t="s">
        <v>60</v>
      </c>
      <c r="H1099" s="29" t="s">
        <v>1700</v>
      </c>
      <c r="I1099" s="4">
        <v>0</v>
      </c>
      <c r="J1099" s="4">
        <v>0</v>
      </c>
      <c r="K1099" s="4">
        <v>138</v>
      </c>
      <c r="L1099" s="4">
        <v>0</v>
      </c>
      <c r="M1099" s="12" t="s">
        <v>571</v>
      </c>
      <c r="N1099" s="13">
        <f t="shared" si="31"/>
        <v>138</v>
      </c>
    </row>
    <row r="1100" spans="1:14">
      <c r="A1100" s="12">
        <v>1099</v>
      </c>
      <c r="B1100" s="1" t="s">
        <v>1740</v>
      </c>
      <c r="C1100" s="42" t="s">
        <v>1741</v>
      </c>
      <c r="D1100" s="42" t="s">
        <v>1860</v>
      </c>
      <c r="E1100" s="42" t="s">
        <v>1855</v>
      </c>
      <c r="F1100" s="4">
        <v>39984</v>
      </c>
      <c r="G1100" s="47" t="s">
        <v>60</v>
      </c>
      <c r="H1100" s="29" t="s">
        <v>1700</v>
      </c>
      <c r="I1100" s="4">
        <v>0</v>
      </c>
      <c r="J1100" s="4">
        <v>0</v>
      </c>
      <c r="K1100" s="4">
        <v>1808.75</v>
      </c>
      <c r="L1100" s="4">
        <v>0</v>
      </c>
      <c r="M1100" s="12" t="s">
        <v>571</v>
      </c>
      <c r="N1100" s="13">
        <f t="shared" si="31"/>
        <v>1808.75</v>
      </c>
    </row>
    <row r="1101" spans="1:14">
      <c r="A1101" s="12">
        <v>1100</v>
      </c>
      <c r="B1101" s="1" t="s">
        <v>1740</v>
      </c>
      <c r="C1101" s="42" t="s">
        <v>1741</v>
      </c>
      <c r="D1101" s="42" t="s">
        <v>1861</v>
      </c>
      <c r="E1101" s="42" t="s">
        <v>1855</v>
      </c>
      <c r="F1101" s="4">
        <v>3110</v>
      </c>
      <c r="G1101" s="47" t="s">
        <v>60</v>
      </c>
      <c r="H1101" s="29" t="s">
        <v>1700</v>
      </c>
      <c r="I1101" s="4">
        <v>0</v>
      </c>
      <c r="J1101" s="4">
        <v>0</v>
      </c>
      <c r="K1101" s="4">
        <v>32.4</v>
      </c>
      <c r="L1101" s="4">
        <v>0</v>
      </c>
      <c r="M1101" s="12" t="s">
        <v>571</v>
      </c>
      <c r="N1101" s="13">
        <f t="shared" si="31"/>
        <v>32.4</v>
      </c>
    </row>
    <row r="1102" spans="1:14">
      <c r="A1102" s="12">
        <v>1101</v>
      </c>
      <c r="B1102" s="1" t="s">
        <v>1740</v>
      </c>
      <c r="C1102" s="42" t="s">
        <v>1741</v>
      </c>
      <c r="D1102" s="42" t="s">
        <v>1862</v>
      </c>
      <c r="E1102" s="42" t="s">
        <v>1855</v>
      </c>
      <c r="F1102" s="4">
        <v>39984</v>
      </c>
      <c r="G1102" s="47" t="s">
        <v>60</v>
      </c>
      <c r="H1102" s="29" t="s">
        <v>1700</v>
      </c>
      <c r="I1102" s="4">
        <v>0</v>
      </c>
      <c r="J1102" s="4">
        <v>0</v>
      </c>
      <c r="K1102" s="4">
        <v>305.08999999999997</v>
      </c>
      <c r="L1102" s="4">
        <v>0</v>
      </c>
      <c r="M1102" s="12" t="s">
        <v>571</v>
      </c>
      <c r="N1102" s="13">
        <f t="shared" si="31"/>
        <v>305.08999999999997</v>
      </c>
    </row>
    <row r="1103" spans="1:14">
      <c r="A1103" s="12">
        <v>1102</v>
      </c>
      <c r="B1103" s="1" t="s">
        <v>1836</v>
      </c>
      <c r="C1103" s="42" t="s">
        <v>1837</v>
      </c>
      <c r="D1103" s="42" t="s">
        <v>1863</v>
      </c>
      <c r="E1103" s="42" t="s">
        <v>1864</v>
      </c>
      <c r="F1103" s="4">
        <v>585.28</v>
      </c>
      <c r="G1103" s="47" t="s">
        <v>570</v>
      </c>
      <c r="H1103" s="29" t="s">
        <v>1839</v>
      </c>
      <c r="I1103" s="4">
        <v>44.64</v>
      </c>
      <c r="J1103" s="4">
        <v>44.64</v>
      </c>
      <c r="K1103" s="4">
        <v>0</v>
      </c>
      <c r="L1103" s="4">
        <v>0</v>
      </c>
      <c r="M1103" s="12" t="s">
        <v>571</v>
      </c>
      <c r="N1103" s="13">
        <f t="shared" si="31"/>
        <v>89.28</v>
      </c>
    </row>
    <row r="1104" spans="1:14">
      <c r="A1104" s="12">
        <v>1103</v>
      </c>
      <c r="B1104" s="1" t="s">
        <v>1836</v>
      </c>
      <c r="C1104" s="42" t="s">
        <v>1837</v>
      </c>
      <c r="D1104" s="42" t="s">
        <v>1865</v>
      </c>
      <c r="E1104" s="42" t="s">
        <v>1866</v>
      </c>
      <c r="F1104" s="4">
        <v>594.72</v>
      </c>
      <c r="G1104" s="47" t="s">
        <v>570</v>
      </c>
      <c r="H1104" s="29" t="s">
        <v>1839</v>
      </c>
      <c r="I1104" s="4">
        <v>45.36</v>
      </c>
      <c r="J1104" s="4">
        <v>45.36</v>
      </c>
      <c r="K1104" s="4">
        <v>0</v>
      </c>
      <c r="L1104" s="4">
        <v>0</v>
      </c>
      <c r="M1104" s="12" t="s">
        <v>571</v>
      </c>
      <c r="N1104" s="13">
        <f t="shared" si="31"/>
        <v>90.72</v>
      </c>
    </row>
    <row r="1105" spans="1:14">
      <c r="A1105" s="12">
        <v>1104</v>
      </c>
      <c r="B1105" s="1" t="s">
        <v>1750</v>
      </c>
      <c r="C1105" s="42" t="s">
        <v>1751</v>
      </c>
      <c r="D1105" s="42" t="s">
        <v>1867</v>
      </c>
      <c r="E1105" s="42" t="s">
        <v>1868</v>
      </c>
      <c r="F1105" s="4">
        <v>3823</v>
      </c>
      <c r="G1105" s="47" t="s">
        <v>60</v>
      </c>
      <c r="H1105" s="29" t="s">
        <v>1700</v>
      </c>
      <c r="I1105" s="4">
        <v>0</v>
      </c>
      <c r="J1105" s="4">
        <v>0</v>
      </c>
      <c r="K1105" s="4">
        <v>45</v>
      </c>
      <c r="L1105" s="4">
        <v>0</v>
      </c>
      <c r="M1105" s="12" t="s">
        <v>571</v>
      </c>
      <c r="N1105" s="13">
        <f t="shared" si="31"/>
        <v>45</v>
      </c>
    </row>
    <row r="1106" spans="1:14">
      <c r="A1106" s="12">
        <v>1105</v>
      </c>
      <c r="B1106" s="1" t="s">
        <v>1750</v>
      </c>
      <c r="C1106" s="42" t="s">
        <v>1751</v>
      </c>
      <c r="D1106" s="42" t="s">
        <v>1867</v>
      </c>
      <c r="E1106" s="42" t="s">
        <v>1868</v>
      </c>
      <c r="F1106" s="4">
        <v>3823</v>
      </c>
      <c r="G1106" s="47" t="s">
        <v>60</v>
      </c>
      <c r="H1106" s="29" t="s">
        <v>1700</v>
      </c>
      <c r="I1106" s="4">
        <v>0</v>
      </c>
      <c r="J1106" s="4">
        <v>0</v>
      </c>
      <c r="K1106" s="4">
        <v>168</v>
      </c>
      <c r="L1106" s="4">
        <v>0</v>
      </c>
      <c r="M1106" s="12" t="s">
        <v>571</v>
      </c>
      <c r="N1106" s="13">
        <f t="shared" si="31"/>
        <v>168</v>
      </c>
    </row>
    <row r="1107" spans="1:14">
      <c r="A1107" s="12">
        <v>1106</v>
      </c>
      <c r="B1107" s="1" t="s">
        <v>1869</v>
      </c>
      <c r="C1107" s="42" t="s">
        <v>1870</v>
      </c>
      <c r="D1107" s="42" t="s">
        <v>1871</v>
      </c>
      <c r="E1107" s="42" t="s">
        <v>1855</v>
      </c>
      <c r="F1107" s="4">
        <v>4570.45</v>
      </c>
      <c r="G1107" s="47" t="s">
        <v>570</v>
      </c>
      <c r="H1107" s="12">
        <v>996812</v>
      </c>
      <c r="I1107" s="4">
        <v>348.59</v>
      </c>
      <c r="J1107" s="4">
        <v>348.59</v>
      </c>
      <c r="K1107" s="4">
        <v>0</v>
      </c>
      <c r="L1107" s="4">
        <v>0</v>
      </c>
      <c r="M1107" s="12" t="s">
        <v>571</v>
      </c>
      <c r="N1107" s="13">
        <f t="shared" si="31"/>
        <v>697.18</v>
      </c>
    </row>
    <row r="1108" spans="1:14">
      <c r="A1108" s="12">
        <v>1107</v>
      </c>
      <c r="B1108" s="1" t="s">
        <v>1872</v>
      </c>
      <c r="C1108" s="42" t="s">
        <v>1873</v>
      </c>
      <c r="D1108" s="42" t="s">
        <v>1874</v>
      </c>
      <c r="E1108" s="42" t="s">
        <v>1875</v>
      </c>
      <c r="F1108" s="4">
        <v>323758</v>
      </c>
      <c r="G1108" s="47" t="s">
        <v>60</v>
      </c>
      <c r="H1108" s="29" t="s">
        <v>1641</v>
      </c>
      <c r="I1108" s="4">
        <v>0</v>
      </c>
      <c r="J1108" s="4">
        <v>0</v>
      </c>
      <c r="K1108" s="4">
        <v>15417.06</v>
      </c>
      <c r="L1108" s="4">
        <v>0</v>
      </c>
      <c r="M1108" s="12" t="s">
        <v>571</v>
      </c>
      <c r="N1108" s="13">
        <f t="shared" ref="N1108:N1171" si="32">SUM(I1108:K1108)</f>
        <v>15417.06</v>
      </c>
    </row>
    <row r="1109" spans="1:14">
      <c r="A1109" s="12">
        <v>1108</v>
      </c>
      <c r="B1109" s="1" t="s">
        <v>1876</v>
      </c>
      <c r="C1109" s="42" t="s">
        <v>1877</v>
      </c>
      <c r="D1109" s="42" t="s">
        <v>1878</v>
      </c>
      <c r="E1109" s="42" t="s">
        <v>1866</v>
      </c>
      <c r="F1109" s="4">
        <v>66668</v>
      </c>
      <c r="G1109" s="47" t="s">
        <v>570</v>
      </c>
      <c r="H1109" s="12">
        <v>3923</v>
      </c>
      <c r="I1109" s="4">
        <v>0</v>
      </c>
      <c r="J1109" s="4">
        <v>0</v>
      </c>
      <c r="K1109" s="4">
        <v>10169.64</v>
      </c>
      <c r="L1109" s="4">
        <v>0</v>
      </c>
      <c r="M1109" s="12" t="s">
        <v>571</v>
      </c>
      <c r="N1109" s="13">
        <f t="shared" si="32"/>
        <v>10169.64</v>
      </c>
    </row>
    <row r="1110" spans="1:14">
      <c r="A1110" s="12">
        <v>1109</v>
      </c>
      <c r="B1110" s="1" t="s">
        <v>1876</v>
      </c>
      <c r="C1110" s="42" t="s">
        <v>1877</v>
      </c>
      <c r="D1110" s="42" t="s">
        <v>1879</v>
      </c>
      <c r="E1110" s="42" t="s">
        <v>1866</v>
      </c>
      <c r="F1110" s="4">
        <v>6313</v>
      </c>
      <c r="G1110" s="47" t="s">
        <v>570</v>
      </c>
      <c r="H1110" s="12">
        <v>3923</v>
      </c>
      <c r="I1110" s="4">
        <v>481.5</v>
      </c>
      <c r="J1110" s="4">
        <v>481.5</v>
      </c>
      <c r="K1110" s="4">
        <v>0</v>
      </c>
      <c r="L1110" s="4">
        <v>0</v>
      </c>
      <c r="M1110" s="12" t="s">
        <v>571</v>
      </c>
      <c r="N1110" s="13">
        <f t="shared" si="32"/>
        <v>963</v>
      </c>
    </row>
    <row r="1111" spans="1:14">
      <c r="A1111" s="12">
        <v>1110</v>
      </c>
      <c r="B1111" s="1" t="s">
        <v>1880</v>
      </c>
      <c r="C1111" s="42" t="s">
        <v>1881</v>
      </c>
      <c r="D1111" s="42" t="s">
        <v>1882</v>
      </c>
      <c r="E1111" s="42" t="s">
        <v>1883</v>
      </c>
      <c r="F1111" s="4">
        <v>1500</v>
      </c>
      <c r="G1111" s="47" t="s">
        <v>60</v>
      </c>
      <c r="H1111" s="29" t="s">
        <v>1641</v>
      </c>
      <c r="I1111" s="4">
        <v>0</v>
      </c>
      <c r="J1111" s="4">
        <v>0</v>
      </c>
      <c r="K1111" s="4">
        <v>75</v>
      </c>
      <c r="L1111" s="4">
        <v>0</v>
      </c>
      <c r="M1111" s="12" t="s">
        <v>571</v>
      </c>
      <c r="N1111" s="13">
        <f t="shared" si="32"/>
        <v>75</v>
      </c>
    </row>
    <row r="1112" spans="1:14">
      <c r="A1112" s="12">
        <v>1111</v>
      </c>
      <c r="B1112" s="1" t="s">
        <v>1884</v>
      </c>
      <c r="C1112" s="42" t="s">
        <v>1885</v>
      </c>
      <c r="D1112" s="42" t="s">
        <v>1886</v>
      </c>
      <c r="E1112" s="42" t="s">
        <v>1883</v>
      </c>
      <c r="F1112" s="4">
        <v>54600</v>
      </c>
      <c r="G1112" s="47" t="s">
        <v>60</v>
      </c>
      <c r="H1112" s="12">
        <v>4823</v>
      </c>
      <c r="I1112" s="4">
        <v>0</v>
      </c>
      <c r="J1112" s="4">
        <v>0</v>
      </c>
      <c r="K1112" s="4">
        <v>2600</v>
      </c>
      <c r="L1112" s="4">
        <v>0</v>
      </c>
      <c r="M1112" s="12" t="s">
        <v>571</v>
      </c>
      <c r="N1112" s="13">
        <f t="shared" si="32"/>
        <v>2600</v>
      </c>
    </row>
    <row r="1113" spans="1:14">
      <c r="A1113" s="12">
        <v>1112</v>
      </c>
      <c r="B1113" s="1" t="s">
        <v>528</v>
      </c>
      <c r="C1113" s="42" t="s">
        <v>529</v>
      </c>
      <c r="D1113" s="42" t="s">
        <v>1887</v>
      </c>
      <c r="E1113" s="42" t="s">
        <v>1888</v>
      </c>
      <c r="F1113" s="4">
        <v>2438.52</v>
      </c>
      <c r="G1113" s="47" t="s">
        <v>570</v>
      </c>
      <c r="H1113" s="12">
        <v>998212</v>
      </c>
      <c r="I1113" s="4">
        <v>185.99</v>
      </c>
      <c r="J1113" s="4">
        <v>185.99</v>
      </c>
      <c r="K1113" s="4">
        <v>0</v>
      </c>
      <c r="L1113" s="4">
        <v>0</v>
      </c>
      <c r="M1113" s="12" t="s">
        <v>571</v>
      </c>
      <c r="N1113" s="13">
        <f t="shared" si="32"/>
        <v>371.98</v>
      </c>
    </row>
    <row r="1114" spans="1:14">
      <c r="A1114" s="12">
        <v>1113</v>
      </c>
      <c r="B1114" s="1" t="s">
        <v>557</v>
      </c>
      <c r="C1114" s="42" t="s">
        <v>558</v>
      </c>
      <c r="D1114" s="42" t="s">
        <v>1889</v>
      </c>
      <c r="E1114" s="42" t="s">
        <v>1890</v>
      </c>
      <c r="F1114" s="4">
        <v>290.69</v>
      </c>
      <c r="G1114" s="47" t="s">
        <v>570</v>
      </c>
      <c r="H1114" s="12">
        <v>998361</v>
      </c>
      <c r="I1114" s="4">
        <v>0</v>
      </c>
      <c r="J1114" s="4">
        <v>0</v>
      </c>
      <c r="K1114" s="4">
        <v>44.34</v>
      </c>
      <c r="L1114" s="4">
        <v>0</v>
      </c>
      <c r="M1114" s="12" t="s">
        <v>571</v>
      </c>
      <c r="N1114" s="13">
        <f t="shared" si="32"/>
        <v>44.34</v>
      </c>
    </row>
    <row r="1115" spans="1:14">
      <c r="A1115" s="12">
        <v>1114</v>
      </c>
      <c r="B1115" s="1" t="s">
        <v>557</v>
      </c>
      <c r="C1115" s="42" t="s">
        <v>558</v>
      </c>
      <c r="D1115" s="42" t="s">
        <v>1891</v>
      </c>
      <c r="E1115" s="42" t="s">
        <v>1892</v>
      </c>
      <c r="F1115" s="4">
        <v>241.2</v>
      </c>
      <c r="G1115" s="47" t="s">
        <v>570</v>
      </c>
      <c r="H1115" s="12">
        <v>998361</v>
      </c>
      <c r="I1115" s="4">
        <v>0</v>
      </c>
      <c r="J1115" s="4">
        <v>0</v>
      </c>
      <c r="K1115" s="4">
        <v>36.79</v>
      </c>
      <c r="L1115" s="4">
        <v>0</v>
      </c>
      <c r="M1115" s="12" t="s">
        <v>571</v>
      </c>
      <c r="N1115" s="13">
        <f t="shared" si="32"/>
        <v>36.79</v>
      </c>
    </row>
    <row r="1116" spans="1:14">
      <c r="A1116" s="12">
        <v>1115</v>
      </c>
      <c r="B1116" s="1" t="s">
        <v>557</v>
      </c>
      <c r="C1116" s="42" t="s">
        <v>558</v>
      </c>
      <c r="D1116" s="42" t="s">
        <v>1893</v>
      </c>
      <c r="E1116" s="42" t="s">
        <v>1875</v>
      </c>
      <c r="F1116" s="4">
        <v>240.55</v>
      </c>
      <c r="G1116" s="47" t="s">
        <v>570</v>
      </c>
      <c r="H1116" s="12">
        <v>998361</v>
      </c>
      <c r="I1116" s="4">
        <v>0</v>
      </c>
      <c r="J1116" s="4">
        <v>0</v>
      </c>
      <c r="K1116" s="4">
        <v>36.69</v>
      </c>
      <c r="L1116" s="4">
        <v>0</v>
      </c>
      <c r="M1116" s="12" t="s">
        <v>571</v>
      </c>
      <c r="N1116" s="13">
        <f t="shared" si="32"/>
        <v>36.69</v>
      </c>
    </row>
    <row r="1117" spans="1:14">
      <c r="A1117" s="12">
        <v>1116</v>
      </c>
      <c r="B1117" s="1" t="s">
        <v>557</v>
      </c>
      <c r="C1117" s="42" t="s">
        <v>558</v>
      </c>
      <c r="D1117" s="42" t="s">
        <v>1894</v>
      </c>
      <c r="E1117" s="42" t="s">
        <v>1895</v>
      </c>
      <c r="F1117" s="4">
        <v>241.16</v>
      </c>
      <c r="G1117" s="47" t="s">
        <v>570</v>
      </c>
      <c r="H1117" s="12">
        <v>998361</v>
      </c>
      <c r="I1117" s="4">
        <v>0</v>
      </c>
      <c r="J1117" s="4">
        <v>0</v>
      </c>
      <c r="K1117" s="4">
        <v>36.79</v>
      </c>
      <c r="L1117" s="4">
        <v>0</v>
      </c>
      <c r="M1117" s="12" t="s">
        <v>571</v>
      </c>
      <c r="N1117" s="13">
        <f t="shared" si="32"/>
        <v>36.79</v>
      </c>
    </row>
    <row r="1118" spans="1:14">
      <c r="A1118" s="12">
        <v>1117</v>
      </c>
      <c r="B1118" s="1" t="s">
        <v>557</v>
      </c>
      <c r="C1118" s="42" t="s">
        <v>558</v>
      </c>
      <c r="D1118" s="42" t="s">
        <v>1896</v>
      </c>
      <c r="E1118" s="42" t="s">
        <v>1897</v>
      </c>
      <c r="F1118" s="4">
        <v>438.84</v>
      </c>
      <c r="G1118" s="47" t="s">
        <v>570</v>
      </c>
      <c r="H1118" s="12">
        <v>998361</v>
      </c>
      <c r="I1118" s="4">
        <v>0</v>
      </c>
      <c r="J1118" s="4">
        <v>0</v>
      </c>
      <c r="K1118" s="4">
        <v>66.94</v>
      </c>
      <c r="L1118" s="4">
        <v>0</v>
      </c>
      <c r="M1118" s="12" t="s">
        <v>571</v>
      </c>
      <c r="N1118" s="13">
        <f t="shared" si="32"/>
        <v>66.94</v>
      </c>
    </row>
    <row r="1119" spans="1:14">
      <c r="A1119" s="12">
        <v>1118</v>
      </c>
      <c r="B1119" s="1" t="s">
        <v>557</v>
      </c>
      <c r="C1119" s="42" t="s">
        <v>558</v>
      </c>
      <c r="D1119" s="42" t="s">
        <v>1898</v>
      </c>
      <c r="E1119" s="42" t="s">
        <v>1899</v>
      </c>
      <c r="F1119" s="4">
        <v>241.82</v>
      </c>
      <c r="G1119" s="47" t="s">
        <v>570</v>
      </c>
      <c r="H1119" s="12">
        <v>998361</v>
      </c>
      <c r="I1119" s="4">
        <v>0</v>
      </c>
      <c r="J1119" s="4">
        <v>0</v>
      </c>
      <c r="K1119" s="4">
        <v>36.89</v>
      </c>
      <c r="L1119" s="4">
        <v>0</v>
      </c>
      <c r="M1119" s="12" t="s">
        <v>571</v>
      </c>
      <c r="N1119" s="13">
        <f t="shared" si="32"/>
        <v>36.89</v>
      </c>
    </row>
    <row r="1120" spans="1:14">
      <c r="A1120" s="12">
        <v>1119</v>
      </c>
      <c r="B1120" s="1" t="s">
        <v>557</v>
      </c>
      <c r="C1120" s="42" t="s">
        <v>558</v>
      </c>
      <c r="D1120" s="42" t="s">
        <v>1900</v>
      </c>
      <c r="E1120" s="42" t="s">
        <v>1901</v>
      </c>
      <c r="F1120" s="4">
        <v>1.99</v>
      </c>
      <c r="G1120" s="47" t="s">
        <v>570</v>
      </c>
      <c r="H1120" s="12">
        <v>998361</v>
      </c>
      <c r="I1120" s="4">
        <v>0</v>
      </c>
      <c r="J1120" s="4">
        <v>0</v>
      </c>
      <c r="K1120" s="4">
        <v>0.3</v>
      </c>
      <c r="L1120" s="4">
        <v>0</v>
      </c>
      <c r="M1120" s="12" t="s">
        <v>571</v>
      </c>
      <c r="N1120" s="13">
        <f t="shared" si="32"/>
        <v>0.3</v>
      </c>
    </row>
    <row r="1121" spans="1:14">
      <c r="A1121" s="12">
        <v>1120</v>
      </c>
      <c r="B1121" s="1" t="s">
        <v>557</v>
      </c>
      <c r="C1121" s="42" t="s">
        <v>558</v>
      </c>
      <c r="D1121" s="42" t="s">
        <v>1902</v>
      </c>
      <c r="E1121" s="42" t="s">
        <v>1903</v>
      </c>
      <c r="F1121" s="4">
        <v>288.55</v>
      </c>
      <c r="G1121" s="47" t="s">
        <v>570</v>
      </c>
      <c r="H1121" s="12">
        <v>998361</v>
      </c>
      <c r="I1121" s="4">
        <v>0</v>
      </c>
      <c r="J1121" s="4">
        <v>0</v>
      </c>
      <c r="K1121" s="4">
        <v>44.02</v>
      </c>
      <c r="L1121" s="4">
        <v>0</v>
      </c>
      <c r="M1121" s="12" t="s">
        <v>571</v>
      </c>
      <c r="N1121" s="13">
        <f t="shared" si="32"/>
        <v>44.02</v>
      </c>
    </row>
    <row r="1122" spans="1:14">
      <c r="A1122" s="12">
        <v>1121</v>
      </c>
      <c r="B1122" s="1" t="s">
        <v>557</v>
      </c>
      <c r="C1122" s="42" t="s">
        <v>558</v>
      </c>
      <c r="D1122" s="42" t="s">
        <v>1904</v>
      </c>
      <c r="E1122" s="42" t="s">
        <v>1905</v>
      </c>
      <c r="F1122" s="4">
        <v>238.76</v>
      </c>
      <c r="G1122" s="47" t="s">
        <v>570</v>
      </c>
      <c r="H1122" s="12">
        <v>998361</v>
      </c>
      <c r="I1122" s="4">
        <v>0</v>
      </c>
      <c r="J1122" s="4">
        <v>0</v>
      </c>
      <c r="K1122" s="4">
        <v>36.42</v>
      </c>
      <c r="L1122" s="4">
        <v>0</v>
      </c>
      <c r="M1122" s="12" t="s">
        <v>571</v>
      </c>
      <c r="N1122" s="13">
        <f t="shared" si="32"/>
        <v>36.42</v>
      </c>
    </row>
    <row r="1123" spans="1:14">
      <c r="A1123" s="12">
        <v>1122</v>
      </c>
      <c r="B1123" s="1" t="s">
        <v>557</v>
      </c>
      <c r="C1123" s="42" t="s">
        <v>558</v>
      </c>
      <c r="D1123" s="42" t="s">
        <v>1906</v>
      </c>
      <c r="E1123" s="42" t="s">
        <v>1907</v>
      </c>
      <c r="F1123" s="4">
        <v>237.44</v>
      </c>
      <c r="G1123" s="47" t="s">
        <v>570</v>
      </c>
      <c r="H1123" s="12">
        <v>998361</v>
      </c>
      <c r="I1123" s="4">
        <v>0</v>
      </c>
      <c r="J1123" s="4">
        <v>0</v>
      </c>
      <c r="K1123" s="4">
        <v>36.22</v>
      </c>
      <c r="L1123" s="4">
        <v>0</v>
      </c>
      <c r="M1123" s="12" t="s">
        <v>571</v>
      </c>
      <c r="N1123" s="13">
        <f t="shared" si="32"/>
        <v>36.22</v>
      </c>
    </row>
    <row r="1124" spans="1:14">
      <c r="A1124" s="12">
        <v>1123</v>
      </c>
      <c r="B1124" s="1" t="s">
        <v>557</v>
      </c>
      <c r="C1124" s="42" t="s">
        <v>558</v>
      </c>
      <c r="D1124" s="42" t="s">
        <v>1908</v>
      </c>
      <c r="E1124" s="42" t="s">
        <v>1909</v>
      </c>
      <c r="F1124" s="4">
        <v>238.34</v>
      </c>
      <c r="G1124" s="47" t="s">
        <v>570</v>
      </c>
      <c r="H1124" s="12">
        <v>998361</v>
      </c>
      <c r="I1124" s="4">
        <v>0</v>
      </c>
      <c r="J1124" s="4">
        <v>0</v>
      </c>
      <c r="K1124" s="4">
        <v>36.36</v>
      </c>
      <c r="L1124" s="4">
        <v>0</v>
      </c>
      <c r="M1124" s="12" t="s">
        <v>571</v>
      </c>
      <c r="N1124" s="13">
        <f t="shared" si="32"/>
        <v>36.36</v>
      </c>
    </row>
    <row r="1125" spans="1:14">
      <c r="A1125" s="12">
        <v>1124</v>
      </c>
      <c r="B1125" s="1" t="s">
        <v>557</v>
      </c>
      <c r="C1125" s="42" t="s">
        <v>558</v>
      </c>
      <c r="D1125" s="42" t="s">
        <v>1910</v>
      </c>
      <c r="E1125" s="42" t="s">
        <v>1911</v>
      </c>
      <c r="F1125" s="4">
        <v>238.48</v>
      </c>
      <c r="G1125" s="47" t="s">
        <v>570</v>
      </c>
      <c r="H1125" s="12">
        <v>998361</v>
      </c>
      <c r="I1125" s="4">
        <v>0</v>
      </c>
      <c r="J1125" s="4">
        <v>0</v>
      </c>
      <c r="K1125" s="4">
        <v>36.380000000000003</v>
      </c>
      <c r="L1125" s="4">
        <v>0</v>
      </c>
      <c r="M1125" s="12" t="s">
        <v>571</v>
      </c>
      <c r="N1125" s="13">
        <f t="shared" si="32"/>
        <v>36.380000000000003</v>
      </c>
    </row>
    <row r="1126" spans="1:14">
      <c r="A1126" s="12">
        <v>1125</v>
      </c>
      <c r="B1126" s="1" t="s">
        <v>557</v>
      </c>
      <c r="C1126" s="42" t="s">
        <v>558</v>
      </c>
      <c r="D1126" s="42" t="s">
        <v>1912</v>
      </c>
      <c r="E1126" s="42" t="s">
        <v>1913</v>
      </c>
      <c r="F1126" s="4">
        <v>236.91</v>
      </c>
      <c r="G1126" s="47" t="s">
        <v>570</v>
      </c>
      <c r="H1126" s="12">
        <v>998361</v>
      </c>
      <c r="I1126" s="4">
        <v>0</v>
      </c>
      <c r="J1126" s="4">
        <v>0</v>
      </c>
      <c r="K1126" s="4">
        <v>36.14</v>
      </c>
      <c r="L1126" s="4">
        <v>0</v>
      </c>
      <c r="M1126" s="12" t="s">
        <v>571</v>
      </c>
      <c r="N1126" s="13">
        <f t="shared" si="32"/>
        <v>36.14</v>
      </c>
    </row>
    <row r="1127" spans="1:14">
      <c r="A1127" s="12">
        <v>1126</v>
      </c>
      <c r="B1127" s="1" t="s">
        <v>557</v>
      </c>
      <c r="C1127" s="42" t="s">
        <v>558</v>
      </c>
      <c r="D1127" s="42" t="s">
        <v>1914</v>
      </c>
      <c r="E1127" s="42" t="s">
        <v>1915</v>
      </c>
      <c r="F1127" s="4">
        <v>241.9</v>
      </c>
      <c r="G1127" s="47" t="s">
        <v>570</v>
      </c>
      <c r="H1127" s="12">
        <v>998361</v>
      </c>
      <c r="I1127" s="4">
        <v>0</v>
      </c>
      <c r="J1127" s="4">
        <v>0</v>
      </c>
      <c r="K1127" s="4">
        <v>36.9</v>
      </c>
      <c r="L1127" s="4">
        <v>0</v>
      </c>
      <c r="M1127" s="12" t="s">
        <v>571</v>
      </c>
      <c r="N1127" s="13">
        <f t="shared" si="32"/>
        <v>36.9</v>
      </c>
    </row>
    <row r="1128" spans="1:14">
      <c r="A1128" s="12">
        <v>1127</v>
      </c>
      <c r="B1128" s="1" t="s">
        <v>557</v>
      </c>
      <c r="C1128" s="42" t="s">
        <v>558</v>
      </c>
      <c r="D1128" s="42" t="s">
        <v>1916</v>
      </c>
      <c r="E1128" s="42" t="s">
        <v>1868</v>
      </c>
      <c r="F1128" s="4">
        <v>220.53</v>
      </c>
      <c r="G1128" s="47" t="s">
        <v>570</v>
      </c>
      <c r="H1128" s="12">
        <v>998361</v>
      </c>
      <c r="I1128" s="4">
        <v>0</v>
      </c>
      <c r="J1128" s="4">
        <v>0</v>
      </c>
      <c r="K1128" s="4">
        <v>33.64</v>
      </c>
      <c r="L1128" s="4">
        <v>0</v>
      </c>
      <c r="M1128" s="12" t="s">
        <v>571</v>
      </c>
      <c r="N1128" s="13">
        <f t="shared" si="32"/>
        <v>33.64</v>
      </c>
    </row>
    <row r="1129" spans="1:14">
      <c r="A1129" s="12">
        <v>1128</v>
      </c>
      <c r="B1129" s="1" t="s">
        <v>557</v>
      </c>
      <c r="C1129" s="42" t="s">
        <v>558</v>
      </c>
      <c r="D1129" s="42" t="s">
        <v>1917</v>
      </c>
      <c r="E1129" s="42" t="s">
        <v>1918</v>
      </c>
      <c r="F1129" s="4">
        <v>239.19</v>
      </c>
      <c r="G1129" s="47" t="s">
        <v>570</v>
      </c>
      <c r="H1129" s="12">
        <v>998361</v>
      </c>
      <c r="I1129" s="4">
        <v>0</v>
      </c>
      <c r="J1129" s="4">
        <v>0</v>
      </c>
      <c r="K1129" s="4">
        <v>36.49</v>
      </c>
      <c r="L1129" s="4">
        <v>0</v>
      </c>
      <c r="M1129" s="12" t="s">
        <v>571</v>
      </c>
      <c r="N1129" s="13">
        <f t="shared" si="32"/>
        <v>36.49</v>
      </c>
    </row>
    <row r="1130" spans="1:14">
      <c r="A1130" s="12">
        <v>1129</v>
      </c>
      <c r="B1130" s="1" t="s">
        <v>557</v>
      </c>
      <c r="C1130" s="42" t="s">
        <v>558</v>
      </c>
      <c r="D1130" s="42" t="s">
        <v>1919</v>
      </c>
      <c r="E1130" s="42" t="s">
        <v>1920</v>
      </c>
      <c r="F1130" s="4">
        <v>239.28</v>
      </c>
      <c r="G1130" s="47" t="s">
        <v>570</v>
      </c>
      <c r="H1130" s="12">
        <v>998361</v>
      </c>
      <c r="I1130" s="4">
        <v>0</v>
      </c>
      <c r="J1130" s="4">
        <v>0</v>
      </c>
      <c r="K1130" s="4">
        <v>36.5</v>
      </c>
      <c r="L1130" s="4">
        <v>0</v>
      </c>
      <c r="M1130" s="12" t="s">
        <v>571</v>
      </c>
      <c r="N1130" s="13">
        <f t="shared" si="32"/>
        <v>36.5</v>
      </c>
    </row>
    <row r="1131" spans="1:14">
      <c r="A1131" s="12">
        <v>1130</v>
      </c>
      <c r="B1131" s="1" t="s">
        <v>557</v>
      </c>
      <c r="C1131" s="42" t="s">
        <v>558</v>
      </c>
      <c r="D1131" s="42" t="s">
        <v>1921</v>
      </c>
      <c r="E1131" s="42" t="s">
        <v>1922</v>
      </c>
      <c r="F1131" s="4">
        <v>139.03</v>
      </c>
      <c r="G1131" s="47" t="s">
        <v>570</v>
      </c>
      <c r="H1131" s="12">
        <v>998361</v>
      </c>
      <c r="I1131" s="4">
        <v>0</v>
      </c>
      <c r="J1131" s="4">
        <v>0</v>
      </c>
      <c r="K1131" s="4">
        <v>21.21</v>
      </c>
      <c r="L1131" s="4">
        <v>0</v>
      </c>
      <c r="M1131" s="12" t="s">
        <v>571</v>
      </c>
      <c r="N1131" s="13">
        <f t="shared" si="32"/>
        <v>21.21</v>
      </c>
    </row>
    <row r="1132" spans="1:14">
      <c r="A1132" s="12">
        <v>1131</v>
      </c>
      <c r="B1132" s="1" t="s">
        <v>557</v>
      </c>
      <c r="C1132" s="42" t="s">
        <v>558</v>
      </c>
      <c r="D1132" s="42" t="s">
        <v>1923</v>
      </c>
      <c r="E1132" s="42" t="s">
        <v>1924</v>
      </c>
      <c r="F1132" s="4">
        <v>202.72</v>
      </c>
      <c r="G1132" s="47" t="s">
        <v>570</v>
      </c>
      <c r="H1132" s="12">
        <v>998361</v>
      </c>
      <c r="I1132" s="4">
        <v>0</v>
      </c>
      <c r="J1132" s="4">
        <v>0</v>
      </c>
      <c r="K1132" s="4">
        <v>30.92</v>
      </c>
      <c r="L1132" s="4">
        <v>0</v>
      </c>
      <c r="M1132" s="12" t="s">
        <v>571</v>
      </c>
      <c r="N1132" s="13">
        <f t="shared" si="32"/>
        <v>30.92</v>
      </c>
    </row>
    <row r="1133" spans="1:14">
      <c r="A1133" s="12">
        <v>1132</v>
      </c>
      <c r="B1133" s="1" t="s">
        <v>557</v>
      </c>
      <c r="C1133" s="42" t="s">
        <v>558</v>
      </c>
      <c r="D1133" s="42" t="s">
        <v>1925</v>
      </c>
      <c r="E1133" s="42" t="s">
        <v>1883</v>
      </c>
      <c r="F1133" s="4">
        <v>238.87</v>
      </c>
      <c r="G1133" s="47" t="s">
        <v>570</v>
      </c>
      <c r="H1133" s="12">
        <v>998361</v>
      </c>
      <c r="I1133" s="4">
        <v>0</v>
      </c>
      <c r="J1133" s="4">
        <v>0</v>
      </c>
      <c r="K1133" s="4">
        <v>36.44</v>
      </c>
      <c r="L1133" s="4">
        <v>0</v>
      </c>
      <c r="M1133" s="12" t="s">
        <v>571</v>
      </c>
      <c r="N1133" s="13">
        <f t="shared" si="32"/>
        <v>36.44</v>
      </c>
    </row>
    <row r="1134" spans="1:14">
      <c r="A1134" s="12">
        <v>1133</v>
      </c>
      <c r="B1134" s="1" t="s">
        <v>557</v>
      </c>
      <c r="C1134" s="42" t="s">
        <v>558</v>
      </c>
      <c r="D1134" s="42" t="s">
        <v>1926</v>
      </c>
      <c r="E1134" s="42" t="s">
        <v>1853</v>
      </c>
      <c r="F1134" s="4">
        <v>702.97</v>
      </c>
      <c r="G1134" s="47" t="s">
        <v>570</v>
      </c>
      <c r="H1134" s="12">
        <v>998361</v>
      </c>
      <c r="I1134" s="4">
        <v>0</v>
      </c>
      <c r="J1134" s="4">
        <v>0</v>
      </c>
      <c r="K1134" s="4">
        <v>107.23</v>
      </c>
      <c r="L1134" s="4">
        <v>0</v>
      </c>
      <c r="M1134" s="12" t="s">
        <v>571</v>
      </c>
      <c r="N1134" s="13">
        <f t="shared" si="32"/>
        <v>107.23</v>
      </c>
    </row>
    <row r="1135" spans="1:14">
      <c r="A1135" s="12">
        <v>1134</v>
      </c>
      <c r="B1135" s="1" t="s">
        <v>557</v>
      </c>
      <c r="C1135" s="42" t="s">
        <v>558</v>
      </c>
      <c r="D1135" s="42" t="s">
        <v>1927</v>
      </c>
      <c r="E1135" s="42" t="s">
        <v>1888</v>
      </c>
      <c r="F1135" s="4">
        <v>965.38</v>
      </c>
      <c r="G1135" s="47" t="s">
        <v>570</v>
      </c>
      <c r="H1135" s="12">
        <v>998361</v>
      </c>
      <c r="I1135" s="4">
        <v>0</v>
      </c>
      <c r="J1135" s="4">
        <v>0</v>
      </c>
      <c r="K1135" s="4">
        <v>147.26</v>
      </c>
      <c r="L1135" s="4">
        <v>0</v>
      </c>
      <c r="M1135" s="12" t="s">
        <v>571</v>
      </c>
      <c r="N1135" s="13">
        <f t="shared" si="32"/>
        <v>147.26</v>
      </c>
    </row>
    <row r="1136" spans="1:14">
      <c r="A1136" s="12">
        <v>1135</v>
      </c>
      <c r="B1136" s="1" t="s">
        <v>557</v>
      </c>
      <c r="C1136" s="42" t="s">
        <v>558</v>
      </c>
      <c r="D1136" s="42" t="s">
        <v>1928</v>
      </c>
      <c r="E1136" s="42" t="s">
        <v>1929</v>
      </c>
      <c r="F1136" s="4">
        <v>1259.21</v>
      </c>
      <c r="G1136" s="47" t="s">
        <v>570</v>
      </c>
      <c r="H1136" s="12">
        <v>998361</v>
      </c>
      <c r="I1136" s="4">
        <v>0</v>
      </c>
      <c r="J1136" s="4">
        <v>0</v>
      </c>
      <c r="K1136" s="4">
        <v>192.08</v>
      </c>
      <c r="L1136" s="4">
        <v>0</v>
      </c>
      <c r="M1136" s="12" t="s">
        <v>571</v>
      </c>
      <c r="N1136" s="13">
        <f t="shared" si="32"/>
        <v>192.08</v>
      </c>
    </row>
    <row r="1137" spans="1:14">
      <c r="A1137" s="12">
        <v>1136</v>
      </c>
      <c r="B1137" s="1" t="s">
        <v>557</v>
      </c>
      <c r="C1137" s="42" t="s">
        <v>558</v>
      </c>
      <c r="D1137" s="42" t="s">
        <v>1930</v>
      </c>
      <c r="E1137" s="42" t="s">
        <v>1931</v>
      </c>
      <c r="F1137" s="4">
        <v>2278.91</v>
      </c>
      <c r="G1137" s="47" t="s">
        <v>570</v>
      </c>
      <c r="H1137" s="12">
        <v>998361</v>
      </c>
      <c r="I1137" s="4">
        <v>0</v>
      </c>
      <c r="J1137" s="4">
        <v>0</v>
      </c>
      <c r="K1137" s="4">
        <v>347.63</v>
      </c>
      <c r="L1137" s="4">
        <v>0</v>
      </c>
      <c r="M1137" s="12" t="s">
        <v>571</v>
      </c>
      <c r="N1137" s="13">
        <f t="shared" si="32"/>
        <v>347.63</v>
      </c>
    </row>
    <row r="1138" spans="1:14">
      <c r="A1138" s="12">
        <v>1137</v>
      </c>
      <c r="B1138" s="1" t="s">
        <v>557</v>
      </c>
      <c r="C1138" s="42" t="s">
        <v>558</v>
      </c>
      <c r="D1138" s="42" t="s">
        <v>1932</v>
      </c>
      <c r="E1138" s="42" t="s">
        <v>1933</v>
      </c>
      <c r="F1138" s="4">
        <v>1293.53</v>
      </c>
      <c r="G1138" s="47" t="s">
        <v>570</v>
      </c>
      <c r="H1138" s="12">
        <v>998361</v>
      </c>
      <c r="I1138" s="4">
        <v>0</v>
      </c>
      <c r="J1138" s="4">
        <v>0</v>
      </c>
      <c r="K1138" s="4">
        <v>197.32</v>
      </c>
      <c r="L1138" s="4">
        <v>0</v>
      </c>
      <c r="M1138" s="12" t="s">
        <v>571</v>
      </c>
      <c r="N1138" s="13">
        <f t="shared" si="32"/>
        <v>197.32</v>
      </c>
    </row>
    <row r="1139" spans="1:14">
      <c r="A1139" s="12">
        <v>1138</v>
      </c>
      <c r="B1139" s="1" t="s">
        <v>557</v>
      </c>
      <c r="C1139" s="42" t="s">
        <v>558</v>
      </c>
      <c r="D1139" s="42" t="s">
        <v>1934</v>
      </c>
      <c r="E1139" s="42" t="s">
        <v>1855</v>
      </c>
      <c r="F1139" s="4">
        <v>2336.9299999999998</v>
      </c>
      <c r="G1139" s="47" t="s">
        <v>570</v>
      </c>
      <c r="H1139" s="12">
        <v>998361</v>
      </c>
      <c r="I1139" s="4">
        <v>0</v>
      </c>
      <c r="J1139" s="4">
        <v>0</v>
      </c>
      <c r="K1139" s="4">
        <v>356.48</v>
      </c>
      <c r="L1139" s="4">
        <v>0</v>
      </c>
      <c r="M1139" s="12" t="s">
        <v>571</v>
      </c>
      <c r="N1139" s="13">
        <f t="shared" si="32"/>
        <v>356.48</v>
      </c>
    </row>
    <row r="1140" spans="1:14">
      <c r="A1140" s="12">
        <v>1139</v>
      </c>
      <c r="B1140" s="1" t="s">
        <v>557</v>
      </c>
      <c r="C1140" s="42" t="s">
        <v>558</v>
      </c>
      <c r="D1140" s="42" t="s">
        <v>1935</v>
      </c>
      <c r="E1140" s="42" t="s">
        <v>1890</v>
      </c>
      <c r="F1140" s="4">
        <v>93.7</v>
      </c>
      <c r="G1140" s="47" t="s">
        <v>570</v>
      </c>
      <c r="H1140" s="12">
        <v>998361</v>
      </c>
      <c r="I1140" s="4">
        <v>0</v>
      </c>
      <c r="J1140" s="4">
        <v>0</v>
      </c>
      <c r="K1140" s="4">
        <v>14.29</v>
      </c>
      <c r="L1140" s="4">
        <v>0</v>
      </c>
      <c r="M1140" s="12" t="s">
        <v>571</v>
      </c>
      <c r="N1140" s="13">
        <f t="shared" si="32"/>
        <v>14.29</v>
      </c>
    </row>
    <row r="1141" spans="1:14">
      <c r="A1141" s="12">
        <v>1140</v>
      </c>
      <c r="B1141" s="1" t="s">
        <v>1773</v>
      </c>
      <c r="C1141" s="42" t="s">
        <v>1774</v>
      </c>
      <c r="D1141" s="42" t="s">
        <v>1936</v>
      </c>
      <c r="E1141" s="42" t="s">
        <v>1855</v>
      </c>
      <c r="F1141" s="4">
        <v>318.60000000000002</v>
      </c>
      <c r="G1141" s="47" t="s">
        <v>570</v>
      </c>
      <c r="H1141" s="12">
        <v>997159</v>
      </c>
      <c r="I1141" s="4">
        <v>24.3</v>
      </c>
      <c r="J1141" s="4">
        <v>24.3</v>
      </c>
      <c r="K1141" s="4">
        <v>0</v>
      </c>
      <c r="L1141" s="4">
        <v>0</v>
      </c>
      <c r="M1141" s="12" t="s">
        <v>571</v>
      </c>
      <c r="N1141" s="13">
        <f t="shared" si="32"/>
        <v>48.6</v>
      </c>
    </row>
    <row r="1142" spans="1:14">
      <c r="A1142" s="12">
        <v>1141</v>
      </c>
      <c r="B1142" s="1" t="s">
        <v>1759</v>
      </c>
      <c r="C1142" s="42" t="s">
        <v>1760</v>
      </c>
      <c r="D1142" s="42" t="s">
        <v>1937</v>
      </c>
      <c r="E1142" s="42" t="s">
        <v>1855</v>
      </c>
      <c r="F1142" s="4">
        <v>1239</v>
      </c>
      <c r="G1142" s="47" t="s">
        <v>570</v>
      </c>
      <c r="H1142" s="12">
        <v>997159</v>
      </c>
      <c r="I1142" s="4">
        <v>0</v>
      </c>
      <c r="J1142" s="4">
        <v>0</v>
      </c>
      <c r="K1142" s="4">
        <v>189</v>
      </c>
      <c r="L1142" s="4">
        <v>0</v>
      </c>
      <c r="M1142" s="12" t="s">
        <v>571</v>
      </c>
      <c r="N1142" s="13">
        <f t="shared" si="32"/>
        <v>189</v>
      </c>
    </row>
    <row r="1143" spans="1:14">
      <c r="A1143" s="12">
        <v>1142</v>
      </c>
      <c r="B1143" s="1" t="s">
        <v>1759</v>
      </c>
      <c r="C1143" s="42" t="s">
        <v>1760</v>
      </c>
      <c r="D1143" s="42" t="s">
        <v>1938</v>
      </c>
      <c r="E1143" s="42" t="s">
        <v>1855</v>
      </c>
      <c r="F1143" s="4">
        <v>6804.66</v>
      </c>
      <c r="G1143" s="47" t="s">
        <v>570</v>
      </c>
      <c r="H1143" s="12">
        <v>998361</v>
      </c>
      <c r="I1143" s="4">
        <v>0</v>
      </c>
      <c r="J1143" s="4">
        <v>0</v>
      </c>
      <c r="K1143" s="4">
        <v>1038</v>
      </c>
      <c r="L1143" s="4">
        <v>0</v>
      </c>
      <c r="M1143" s="12" t="s">
        <v>571</v>
      </c>
      <c r="N1143" s="13">
        <f t="shared" si="32"/>
        <v>1038</v>
      </c>
    </row>
    <row r="1144" spans="1:14">
      <c r="A1144" s="12">
        <v>1143</v>
      </c>
      <c r="B1144" s="1" t="s">
        <v>1762</v>
      </c>
      <c r="C1144" s="42" t="s">
        <v>1763</v>
      </c>
      <c r="D1144" s="42" t="s">
        <v>1939</v>
      </c>
      <c r="E1144" s="42" t="s">
        <v>1890</v>
      </c>
      <c r="F1144" s="4">
        <v>7608</v>
      </c>
      <c r="G1144" s="47" t="s">
        <v>570</v>
      </c>
      <c r="H1144" s="12">
        <v>9987</v>
      </c>
      <c r="I1144" s="4">
        <v>580.32000000000005</v>
      </c>
      <c r="J1144" s="4">
        <v>580.32000000000005</v>
      </c>
      <c r="K1144" s="4">
        <v>0</v>
      </c>
      <c r="L1144" s="4">
        <v>0</v>
      </c>
      <c r="M1144" s="12" t="s">
        <v>571</v>
      </c>
      <c r="N1144" s="13">
        <f t="shared" si="32"/>
        <v>1160.6400000000001</v>
      </c>
    </row>
    <row r="1145" spans="1:14">
      <c r="A1145" s="12">
        <v>1144</v>
      </c>
      <c r="B1145" s="1" t="s">
        <v>1762</v>
      </c>
      <c r="C1145" s="42" t="s">
        <v>1763</v>
      </c>
      <c r="D1145" s="42" t="s">
        <v>1940</v>
      </c>
      <c r="E1145" s="42" t="s">
        <v>1890</v>
      </c>
      <c r="F1145" s="4">
        <v>3949</v>
      </c>
      <c r="G1145" s="47" t="s">
        <v>570</v>
      </c>
      <c r="H1145" s="12">
        <v>9987</v>
      </c>
      <c r="I1145" s="4">
        <v>301.23</v>
      </c>
      <c r="J1145" s="4">
        <v>301.23</v>
      </c>
      <c r="K1145" s="4">
        <v>0</v>
      </c>
      <c r="L1145" s="4">
        <v>0</v>
      </c>
      <c r="M1145" s="12" t="s">
        <v>571</v>
      </c>
      <c r="N1145" s="13">
        <f t="shared" si="32"/>
        <v>602.46</v>
      </c>
    </row>
    <row r="1146" spans="1:14">
      <c r="A1146" s="12">
        <v>1145</v>
      </c>
      <c r="B1146" s="1" t="s">
        <v>1637</v>
      </c>
      <c r="C1146" s="42" t="s">
        <v>1638</v>
      </c>
      <c r="D1146" s="42" t="s">
        <v>1941</v>
      </c>
      <c r="E1146" s="42" t="s">
        <v>1890</v>
      </c>
      <c r="F1146" s="4">
        <v>39841.019999999997</v>
      </c>
      <c r="G1146" s="47" t="s">
        <v>60</v>
      </c>
      <c r="H1146" s="29" t="s">
        <v>1641</v>
      </c>
      <c r="I1146" s="4">
        <v>0</v>
      </c>
      <c r="J1146" s="4">
        <v>0</v>
      </c>
      <c r="K1146" s="4">
        <v>1897.19</v>
      </c>
      <c r="L1146" s="4">
        <v>0</v>
      </c>
      <c r="M1146" s="12" t="s">
        <v>571</v>
      </c>
      <c r="N1146" s="13">
        <f t="shared" si="32"/>
        <v>1897.19</v>
      </c>
    </row>
    <row r="1147" spans="1:14">
      <c r="A1147" s="12">
        <v>1146</v>
      </c>
      <c r="B1147" s="1" t="s">
        <v>1637</v>
      </c>
      <c r="C1147" s="42" t="s">
        <v>1638</v>
      </c>
      <c r="D1147" s="42" t="s">
        <v>1942</v>
      </c>
      <c r="E1147" s="42" t="s">
        <v>1890</v>
      </c>
      <c r="F1147" s="4">
        <v>9954</v>
      </c>
      <c r="G1147" s="47" t="s">
        <v>60</v>
      </c>
      <c r="H1147" s="29" t="s">
        <v>1641</v>
      </c>
      <c r="I1147" s="4">
        <v>0</v>
      </c>
      <c r="J1147" s="4">
        <v>0</v>
      </c>
      <c r="K1147" s="4">
        <v>474</v>
      </c>
      <c r="L1147" s="4">
        <v>0</v>
      </c>
      <c r="M1147" s="12" t="s">
        <v>571</v>
      </c>
      <c r="N1147" s="13">
        <f t="shared" si="32"/>
        <v>474</v>
      </c>
    </row>
    <row r="1148" spans="1:14">
      <c r="A1148" s="12">
        <v>1147</v>
      </c>
      <c r="B1148" s="1" t="s">
        <v>1637</v>
      </c>
      <c r="C1148" s="42" t="s">
        <v>1638</v>
      </c>
      <c r="D1148" s="42" t="s">
        <v>1943</v>
      </c>
      <c r="E1148" s="42" t="s">
        <v>1892</v>
      </c>
      <c r="F1148" s="4">
        <v>17460.45</v>
      </c>
      <c r="G1148" s="47" t="s">
        <v>60</v>
      </c>
      <c r="H1148" s="29" t="s">
        <v>1641</v>
      </c>
      <c r="I1148" s="4">
        <v>0</v>
      </c>
      <c r="J1148" s="4">
        <v>0</v>
      </c>
      <c r="K1148" s="4">
        <v>831.45</v>
      </c>
      <c r="L1148" s="4">
        <v>0</v>
      </c>
      <c r="M1148" s="12" t="s">
        <v>571</v>
      </c>
      <c r="N1148" s="13">
        <f t="shared" si="32"/>
        <v>831.45</v>
      </c>
    </row>
    <row r="1149" spans="1:14">
      <c r="A1149" s="12">
        <v>1148</v>
      </c>
      <c r="B1149" s="1" t="s">
        <v>1637</v>
      </c>
      <c r="C1149" s="42" t="s">
        <v>1638</v>
      </c>
      <c r="D1149" s="42" t="s">
        <v>1944</v>
      </c>
      <c r="E1149" s="42" t="s">
        <v>1892</v>
      </c>
      <c r="F1149" s="4">
        <v>16425.599999999999</v>
      </c>
      <c r="G1149" s="47" t="s">
        <v>60</v>
      </c>
      <c r="H1149" s="12">
        <v>7310</v>
      </c>
      <c r="I1149" s="4">
        <v>0</v>
      </c>
      <c r="J1149" s="4">
        <v>0</v>
      </c>
      <c r="K1149" s="4">
        <v>2505.6</v>
      </c>
      <c r="L1149" s="4">
        <v>0</v>
      </c>
      <c r="M1149" s="12" t="s">
        <v>571</v>
      </c>
      <c r="N1149" s="13">
        <f t="shared" si="32"/>
        <v>2505.6</v>
      </c>
    </row>
    <row r="1150" spans="1:14">
      <c r="A1150" s="12">
        <v>1149</v>
      </c>
      <c r="B1150" s="1" t="s">
        <v>1637</v>
      </c>
      <c r="C1150" s="42" t="s">
        <v>1638</v>
      </c>
      <c r="D1150" s="42" t="s">
        <v>1945</v>
      </c>
      <c r="E1150" s="42" t="s">
        <v>1892</v>
      </c>
      <c r="F1150" s="4">
        <v>11109</v>
      </c>
      <c r="G1150" s="47" t="s">
        <v>60</v>
      </c>
      <c r="H1150" s="29" t="s">
        <v>1641</v>
      </c>
      <c r="I1150" s="4">
        <v>0</v>
      </c>
      <c r="J1150" s="4">
        <v>0</v>
      </c>
      <c r="K1150" s="4">
        <v>529</v>
      </c>
      <c r="L1150" s="4">
        <v>0</v>
      </c>
      <c r="M1150" s="12" t="s">
        <v>571</v>
      </c>
      <c r="N1150" s="13">
        <f t="shared" si="32"/>
        <v>529</v>
      </c>
    </row>
    <row r="1151" spans="1:14">
      <c r="A1151" s="12">
        <v>1150</v>
      </c>
      <c r="B1151" s="1" t="s">
        <v>1637</v>
      </c>
      <c r="C1151" s="42" t="s">
        <v>1638</v>
      </c>
      <c r="D1151" s="42" t="s">
        <v>1946</v>
      </c>
      <c r="E1151" s="42" t="s">
        <v>1875</v>
      </c>
      <c r="F1151" s="4">
        <v>4165.3999999999996</v>
      </c>
      <c r="G1151" s="47" t="s">
        <v>60</v>
      </c>
      <c r="H1151" s="12">
        <v>4819</v>
      </c>
      <c r="I1151" s="4">
        <v>0</v>
      </c>
      <c r="J1151" s="4">
        <v>0</v>
      </c>
      <c r="K1151" s="4">
        <v>635.4</v>
      </c>
      <c r="L1151" s="4">
        <v>0</v>
      </c>
      <c r="M1151" s="12" t="s">
        <v>571</v>
      </c>
      <c r="N1151" s="13">
        <f t="shared" si="32"/>
        <v>635.4</v>
      </c>
    </row>
    <row r="1152" spans="1:14">
      <c r="A1152" s="12">
        <v>1151</v>
      </c>
      <c r="B1152" s="1" t="s">
        <v>1637</v>
      </c>
      <c r="C1152" s="42" t="s">
        <v>1638</v>
      </c>
      <c r="D1152" s="42" t="s">
        <v>1947</v>
      </c>
      <c r="E1152" s="42" t="s">
        <v>1875</v>
      </c>
      <c r="F1152" s="4">
        <v>8502.64</v>
      </c>
      <c r="G1152" s="47" t="s">
        <v>60</v>
      </c>
      <c r="H1152" s="29" t="s">
        <v>1641</v>
      </c>
      <c r="I1152" s="4">
        <v>0</v>
      </c>
      <c r="J1152" s="4">
        <v>0</v>
      </c>
      <c r="K1152" s="4">
        <v>404.89</v>
      </c>
      <c r="L1152" s="4">
        <v>0</v>
      </c>
      <c r="M1152" s="12" t="s">
        <v>571</v>
      </c>
      <c r="N1152" s="13">
        <f t="shared" si="32"/>
        <v>404.89</v>
      </c>
    </row>
    <row r="1153" spans="1:14">
      <c r="A1153" s="12">
        <v>1152</v>
      </c>
      <c r="B1153" s="1" t="s">
        <v>1637</v>
      </c>
      <c r="C1153" s="42" t="s">
        <v>1638</v>
      </c>
      <c r="D1153" s="42" t="s">
        <v>1948</v>
      </c>
      <c r="E1153" s="42" t="s">
        <v>1895</v>
      </c>
      <c r="F1153" s="4">
        <v>2041.4</v>
      </c>
      <c r="G1153" s="47" t="s">
        <v>60</v>
      </c>
      <c r="H1153" s="12">
        <v>3923</v>
      </c>
      <c r="I1153" s="4">
        <v>0</v>
      </c>
      <c r="J1153" s="4">
        <v>0</v>
      </c>
      <c r="K1153" s="4">
        <v>311.39999999999998</v>
      </c>
      <c r="L1153" s="4">
        <v>0</v>
      </c>
      <c r="M1153" s="12" t="s">
        <v>571</v>
      </c>
      <c r="N1153" s="13">
        <f t="shared" si="32"/>
        <v>311.39999999999998</v>
      </c>
    </row>
    <row r="1154" spans="1:14">
      <c r="A1154" s="12">
        <v>1153</v>
      </c>
      <c r="B1154" s="1" t="s">
        <v>1637</v>
      </c>
      <c r="C1154" s="42" t="s">
        <v>1638</v>
      </c>
      <c r="D1154" s="42" t="s">
        <v>1949</v>
      </c>
      <c r="E1154" s="42" t="s">
        <v>1895</v>
      </c>
      <c r="F1154" s="4">
        <v>2952.6</v>
      </c>
      <c r="G1154" s="47" t="s">
        <v>60</v>
      </c>
      <c r="H1154" s="29" t="s">
        <v>1641</v>
      </c>
      <c r="I1154" s="4">
        <v>0</v>
      </c>
      <c r="J1154" s="4">
        <v>0</v>
      </c>
      <c r="K1154" s="4">
        <v>140.6</v>
      </c>
      <c r="L1154" s="4">
        <v>0</v>
      </c>
      <c r="M1154" s="12" t="s">
        <v>571</v>
      </c>
      <c r="N1154" s="13">
        <f t="shared" si="32"/>
        <v>140.6</v>
      </c>
    </row>
    <row r="1155" spans="1:14">
      <c r="A1155" s="12">
        <v>1154</v>
      </c>
      <c r="B1155" s="1" t="s">
        <v>1637</v>
      </c>
      <c r="C1155" s="42" t="s">
        <v>1638</v>
      </c>
      <c r="D1155" s="42" t="s">
        <v>1950</v>
      </c>
      <c r="E1155" s="42" t="s">
        <v>1895</v>
      </c>
      <c r="F1155" s="4">
        <v>1416</v>
      </c>
      <c r="G1155" s="47" t="s">
        <v>60</v>
      </c>
      <c r="H1155" s="12">
        <v>3923</v>
      </c>
      <c r="I1155" s="4">
        <v>0</v>
      </c>
      <c r="J1155" s="4">
        <v>0</v>
      </c>
      <c r="K1155" s="4">
        <v>216</v>
      </c>
      <c r="L1155" s="4">
        <v>0</v>
      </c>
      <c r="M1155" s="12" t="s">
        <v>571</v>
      </c>
      <c r="N1155" s="13">
        <f t="shared" si="32"/>
        <v>216</v>
      </c>
    </row>
    <row r="1156" spans="1:14">
      <c r="A1156" s="12">
        <v>1155</v>
      </c>
      <c r="B1156" s="1" t="s">
        <v>1637</v>
      </c>
      <c r="C1156" s="42" t="s">
        <v>1638</v>
      </c>
      <c r="D1156" s="42" t="s">
        <v>1951</v>
      </c>
      <c r="E1156" s="42" t="s">
        <v>1895</v>
      </c>
      <c r="F1156" s="4">
        <v>34492.5</v>
      </c>
      <c r="G1156" s="47" t="s">
        <v>60</v>
      </c>
      <c r="H1156" s="29" t="s">
        <v>1641</v>
      </c>
      <c r="I1156" s="4">
        <v>0</v>
      </c>
      <c r="J1156" s="4">
        <v>0</v>
      </c>
      <c r="K1156" s="4">
        <v>1642.5</v>
      </c>
      <c r="L1156" s="4">
        <v>0</v>
      </c>
      <c r="M1156" s="12" t="s">
        <v>571</v>
      </c>
      <c r="N1156" s="13">
        <f t="shared" si="32"/>
        <v>1642.5</v>
      </c>
    </row>
    <row r="1157" spans="1:14">
      <c r="A1157" s="12">
        <v>1156</v>
      </c>
      <c r="B1157" s="1" t="s">
        <v>1637</v>
      </c>
      <c r="C1157" s="42" t="s">
        <v>1638</v>
      </c>
      <c r="D1157" s="42" t="s">
        <v>1952</v>
      </c>
      <c r="E1157" s="42" t="s">
        <v>1901</v>
      </c>
      <c r="F1157" s="4">
        <v>39344.03</v>
      </c>
      <c r="G1157" s="47" t="s">
        <v>60</v>
      </c>
      <c r="H1157" s="29" t="s">
        <v>1641</v>
      </c>
      <c r="I1157" s="4">
        <v>0</v>
      </c>
      <c r="J1157" s="4">
        <v>0</v>
      </c>
      <c r="K1157" s="4">
        <v>1873.53</v>
      </c>
      <c r="L1157" s="4">
        <v>0</v>
      </c>
      <c r="M1157" s="12" t="s">
        <v>571</v>
      </c>
      <c r="N1157" s="13">
        <f t="shared" si="32"/>
        <v>1873.53</v>
      </c>
    </row>
    <row r="1158" spans="1:14">
      <c r="A1158" s="12">
        <v>1157</v>
      </c>
      <c r="B1158" s="1" t="s">
        <v>1637</v>
      </c>
      <c r="C1158" s="42" t="s">
        <v>1638</v>
      </c>
      <c r="D1158" s="42" t="s">
        <v>1953</v>
      </c>
      <c r="E1158" s="42" t="s">
        <v>1903</v>
      </c>
      <c r="F1158" s="4">
        <v>21952.98</v>
      </c>
      <c r="G1158" s="47" t="s">
        <v>60</v>
      </c>
      <c r="H1158" s="29" t="s">
        <v>1641</v>
      </c>
      <c r="I1158" s="4">
        <v>0</v>
      </c>
      <c r="J1158" s="4">
        <v>0</v>
      </c>
      <c r="K1158" s="4">
        <v>1045.3800000000001</v>
      </c>
      <c r="L1158" s="4">
        <v>0</v>
      </c>
      <c r="M1158" s="12" t="s">
        <v>571</v>
      </c>
      <c r="N1158" s="13">
        <f t="shared" si="32"/>
        <v>1045.3800000000001</v>
      </c>
    </row>
    <row r="1159" spans="1:14">
      <c r="A1159" s="12">
        <v>1158</v>
      </c>
      <c r="B1159" s="1" t="s">
        <v>1637</v>
      </c>
      <c r="C1159" s="42" t="s">
        <v>1638</v>
      </c>
      <c r="D1159" s="42" t="s">
        <v>1954</v>
      </c>
      <c r="E1159" s="42" t="s">
        <v>1903</v>
      </c>
      <c r="F1159" s="4">
        <v>6690.6</v>
      </c>
      <c r="G1159" s="47" t="s">
        <v>60</v>
      </c>
      <c r="H1159" s="12">
        <v>7310</v>
      </c>
      <c r="I1159" s="4">
        <v>0</v>
      </c>
      <c r="J1159" s="4">
        <v>0</v>
      </c>
      <c r="K1159" s="4">
        <v>1020.6</v>
      </c>
      <c r="L1159" s="4">
        <v>0</v>
      </c>
      <c r="M1159" s="12" t="s">
        <v>571</v>
      </c>
      <c r="N1159" s="13">
        <f t="shared" si="32"/>
        <v>1020.6</v>
      </c>
    </row>
    <row r="1160" spans="1:14">
      <c r="A1160" s="12">
        <v>1159</v>
      </c>
      <c r="B1160" s="1" t="s">
        <v>1637</v>
      </c>
      <c r="C1160" s="42" t="s">
        <v>1638</v>
      </c>
      <c r="D1160" s="42" t="s">
        <v>1955</v>
      </c>
      <c r="E1160" s="42" t="s">
        <v>1903</v>
      </c>
      <c r="F1160" s="4">
        <v>8427.2999999999993</v>
      </c>
      <c r="G1160" s="47" t="s">
        <v>60</v>
      </c>
      <c r="H1160" s="29" t="s">
        <v>1641</v>
      </c>
      <c r="I1160" s="4">
        <v>0</v>
      </c>
      <c r="J1160" s="4">
        <v>0</v>
      </c>
      <c r="K1160" s="4">
        <v>401.3</v>
      </c>
      <c r="L1160" s="4">
        <v>0</v>
      </c>
      <c r="M1160" s="12" t="s">
        <v>571</v>
      </c>
      <c r="N1160" s="13">
        <f t="shared" si="32"/>
        <v>401.3</v>
      </c>
    </row>
    <row r="1161" spans="1:14">
      <c r="A1161" s="12">
        <v>1160</v>
      </c>
      <c r="B1161" s="1" t="s">
        <v>1637</v>
      </c>
      <c r="C1161" s="42" t="s">
        <v>1638</v>
      </c>
      <c r="D1161" s="42" t="s">
        <v>1956</v>
      </c>
      <c r="E1161" s="42" t="s">
        <v>1903</v>
      </c>
      <c r="F1161" s="4">
        <v>12862</v>
      </c>
      <c r="G1161" s="47" t="s">
        <v>60</v>
      </c>
      <c r="H1161" s="12">
        <v>7310</v>
      </c>
      <c r="I1161" s="4">
        <v>0</v>
      </c>
      <c r="J1161" s="4">
        <v>0</v>
      </c>
      <c r="K1161" s="4">
        <v>1962</v>
      </c>
      <c r="L1161" s="4">
        <v>0</v>
      </c>
      <c r="M1161" s="12" t="s">
        <v>571</v>
      </c>
      <c r="N1161" s="13">
        <f t="shared" si="32"/>
        <v>1962</v>
      </c>
    </row>
    <row r="1162" spans="1:14">
      <c r="A1162" s="12">
        <v>1161</v>
      </c>
      <c r="B1162" s="1" t="s">
        <v>1637</v>
      </c>
      <c r="C1162" s="42" t="s">
        <v>1638</v>
      </c>
      <c r="D1162" s="42" t="s">
        <v>1957</v>
      </c>
      <c r="E1162" s="42" t="s">
        <v>1905</v>
      </c>
      <c r="F1162" s="4">
        <v>1804.95</v>
      </c>
      <c r="G1162" s="47" t="s">
        <v>60</v>
      </c>
      <c r="H1162" s="29" t="s">
        <v>1641</v>
      </c>
      <c r="I1162" s="4">
        <v>0</v>
      </c>
      <c r="J1162" s="4">
        <v>0</v>
      </c>
      <c r="K1162" s="4">
        <v>85.95</v>
      </c>
      <c r="L1162" s="4">
        <v>0</v>
      </c>
      <c r="M1162" s="12" t="s">
        <v>571</v>
      </c>
      <c r="N1162" s="13">
        <f t="shared" si="32"/>
        <v>85.95</v>
      </c>
    </row>
    <row r="1163" spans="1:14">
      <c r="A1163" s="12">
        <v>1162</v>
      </c>
      <c r="B1163" s="1" t="s">
        <v>1637</v>
      </c>
      <c r="C1163" s="42" t="s">
        <v>1638</v>
      </c>
      <c r="D1163" s="42" t="s">
        <v>1958</v>
      </c>
      <c r="E1163" s="42" t="s">
        <v>1905</v>
      </c>
      <c r="F1163" s="4">
        <v>4557</v>
      </c>
      <c r="G1163" s="47" t="s">
        <v>60</v>
      </c>
      <c r="H1163" s="29" t="s">
        <v>1641</v>
      </c>
      <c r="I1163" s="4">
        <v>0</v>
      </c>
      <c r="J1163" s="4">
        <v>0</v>
      </c>
      <c r="K1163" s="4">
        <v>217</v>
      </c>
      <c r="L1163" s="4">
        <v>0</v>
      </c>
      <c r="M1163" s="12" t="s">
        <v>571</v>
      </c>
      <c r="N1163" s="13">
        <f t="shared" si="32"/>
        <v>217</v>
      </c>
    </row>
    <row r="1164" spans="1:14">
      <c r="A1164" s="12">
        <v>1163</v>
      </c>
      <c r="B1164" s="1" t="s">
        <v>1637</v>
      </c>
      <c r="C1164" s="42" t="s">
        <v>1638</v>
      </c>
      <c r="D1164" s="42" t="s">
        <v>1959</v>
      </c>
      <c r="E1164" s="42" t="s">
        <v>1907</v>
      </c>
      <c r="F1164" s="4">
        <v>2041.4</v>
      </c>
      <c r="G1164" s="47" t="s">
        <v>60</v>
      </c>
      <c r="H1164" s="12">
        <v>3923</v>
      </c>
      <c r="I1164" s="4">
        <v>0</v>
      </c>
      <c r="J1164" s="4">
        <v>0</v>
      </c>
      <c r="K1164" s="4">
        <v>311.39999999999998</v>
      </c>
      <c r="L1164" s="4">
        <v>0</v>
      </c>
      <c r="M1164" s="12" t="s">
        <v>571</v>
      </c>
      <c r="N1164" s="13">
        <f t="shared" si="32"/>
        <v>311.39999999999998</v>
      </c>
    </row>
    <row r="1165" spans="1:14">
      <c r="A1165" s="12">
        <v>1164</v>
      </c>
      <c r="B1165" s="1" t="s">
        <v>1637</v>
      </c>
      <c r="C1165" s="42" t="s">
        <v>1638</v>
      </c>
      <c r="D1165" s="42" t="s">
        <v>1960</v>
      </c>
      <c r="E1165" s="42" t="s">
        <v>1909</v>
      </c>
      <c r="F1165" s="4">
        <v>1360.8</v>
      </c>
      <c r="G1165" s="47" t="s">
        <v>60</v>
      </c>
      <c r="H1165" s="29" t="s">
        <v>1641</v>
      </c>
      <c r="I1165" s="4">
        <v>0</v>
      </c>
      <c r="J1165" s="4">
        <v>0</v>
      </c>
      <c r="K1165" s="4">
        <v>64.8</v>
      </c>
      <c r="L1165" s="4">
        <v>0</v>
      </c>
      <c r="M1165" s="12" t="s">
        <v>571</v>
      </c>
      <c r="N1165" s="13">
        <f t="shared" si="32"/>
        <v>64.8</v>
      </c>
    </row>
    <row r="1166" spans="1:14">
      <c r="A1166" s="12">
        <v>1165</v>
      </c>
      <c r="B1166" s="1" t="s">
        <v>1637</v>
      </c>
      <c r="C1166" s="42" t="s">
        <v>1638</v>
      </c>
      <c r="D1166" s="42" t="s">
        <v>1961</v>
      </c>
      <c r="E1166" s="42" t="s">
        <v>1909</v>
      </c>
      <c r="F1166" s="4">
        <v>1659.08</v>
      </c>
      <c r="G1166" s="47" t="s">
        <v>60</v>
      </c>
      <c r="H1166" s="12">
        <v>4819</v>
      </c>
      <c r="I1166" s="4">
        <v>0</v>
      </c>
      <c r="J1166" s="4">
        <v>0</v>
      </c>
      <c r="K1166" s="4">
        <v>253.08</v>
      </c>
      <c r="L1166" s="4">
        <v>0</v>
      </c>
      <c r="M1166" s="12" t="s">
        <v>571</v>
      </c>
      <c r="N1166" s="13">
        <f t="shared" si="32"/>
        <v>253.08</v>
      </c>
    </row>
    <row r="1167" spans="1:14">
      <c r="A1167" s="12">
        <v>1166</v>
      </c>
      <c r="B1167" s="1" t="s">
        <v>1637</v>
      </c>
      <c r="C1167" s="42" t="s">
        <v>1638</v>
      </c>
      <c r="D1167" s="42" t="s">
        <v>1962</v>
      </c>
      <c r="E1167" s="42" t="s">
        <v>1909</v>
      </c>
      <c r="F1167" s="4">
        <v>26274.15</v>
      </c>
      <c r="G1167" s="47" t="s">
        <v>60</v>
      </c>
      <c r="H1167" s="29" t="s">
        <v>1641</v>
      </c>
      <c r="I1167" s="4">
        <v>0</v>
      </c>
      <c r="J1167" s="4">
        <v>0</v>
      </c>
      <c r="K1167" s="4">
        <v>1251.1500000000001</v>
      </c>
      <c r="L1167" s="4">
        <v>0</v>
      </c>
      <c r="M1167" s="12" t="s">
        <v>571</v>
      </c>
      <c r="N1167" s="13">
        <f t="shared" si="32"/>
        <v>1251.1500000000001</v>
      </c>
    </row>
    <row r="1168" spans="1:14">
      <c r="A1168" s="12">
        <v>1167</v>
      </c>
      <c r="B1168" s="1" t="s">
        <v>1637</v>
      </c>
      <c r="C1168" s="42" t="s">
        <v>1638</v>
      </c>
      <c r="D1168" s="42" t="s">
        <v>1963</v>
      </c>
      <c r="E1168" s="42" t="s">
        <v>1909</v>
      </c>
      <c r="F1168" s="4">
        <v>4779</v>
      </c>
      <c r="G1168" s="47" t="s">
        <v>60</v>
      </c>
      <c r="H1168" s="12">
        <v>3923</v>
      </c>
      <c r="I1168" s="4">
        <v>0</v>
      </c>
      <c r="J1168" s="4">
        <v>0</v>
      </c>
      <c r="K1168" s="4">
        <v>729</v>
      </c>
      <c r="L1168" s="4">
        <v>0</v>
      </c>
      <c r="M1168" s="12" t="s">
        <v>571</v>
      </c>
      <c r="N1168" s="13">
        <f t="shared" si="32"/>
        <v>729</v>
      </c>
    </row>
    <row r="1169" spans="1:14">
      <c r="A1169" s="12">
        <v>1168</v>
      </c>
      <c r="B1169" s="1" t="s">
        <v>1637</v>
      </c>
      <c r="C1169" s="42" t="s">
        <v>1638</v>
      </c>
      <c r="D1169" s="42" t="s">
        <v>1964</v>
      </c>
      <c r="E1169" s="42" t="s">
        <v>1911</v>
      </c>
      <c r="F1169" s="4">
        <v>11133.57</v>
      </c>
      <c r="G1169" s="47" t="s">
        <v>60</v>
      </c>
      <c r="H1169" s="12">
        <v>4819</v>
      </c>
      <c r="I1169" s="4">
        <v>0</v>
      </c>
      <c r="J1169" s="4">
        <v>0</v>
      </c>
      <c r="K1169" s="4">
        <v>530.16999999999996</v>
      </c>
      <c r="L1169" s="4">
        <v>0</v>
      </c>
      <c r="M1169" s="12" t="s">
        <v>571</v>
      </c>
      <c r="N1169" s="13">
        <f t="shared" si="32"/>
        <v>530.16999999999996</v>
      </c>
    </row>
    <row r="1170" spans="1:14">
      <c r="A1170" s="12">
        <v>1169</v>
      </c>
      <c r="B1170" s="1" t="s">
        <v>1637</v>
      </c>
      <c r="C1170" s="42" t="s">
        <v>1638</v>
      </c>
      <c r="D1170" s="42" t="s">
        <v>1965</v>
      </c>
      <c r="E1170" s="42" t="s">
        <v>1911</v>
      </c>
      <c r="F1170" s="4">
        <v>5664</v>
      </c>
      <c r="G1170" s="47" t="s">
        <v>60</v>
      </c>
      <c r="H1170" s="12">
        <v>4819</v>
      </c>
      <c r="I1170" s="4">
        <v>0</v>
      </c>
      <c r="J1170" s="4">
        <v>0</v>
      </c>
      <c r="K1170" s="4">
        <v>864</v>
      </c>
      <c r="L1170" s="4">
        <v>0</v>
      </c>
      <c r="M1170" s="12" t="s">
        <v>571</v>
      </c>
      <c r="N1170" s="13">
        <f t="shared" si="32"/>
        <v>864</v>
      </c>
    </row>
    <row r="1171" spans="1:14">
      <c r="A1171" s="12">
        <v>1170</v>
      </c>
      <c r="B1171" s="1" t="s">
        <v>1637</v>
      </c>
      <c r="C1171" s="42" t="s">
        <v>1638</v>
      </c>
      <c r="D1171" s="42" t="s">
        <v>1966</v>
      </c>
      <c r="E1171" s="42" t="s">
        <v>1922</v>
      </c>
      <c r="F1171" s="4">
        <v>43404.98</v>
      </c>
      <c r="G1171" s="47" t="s">
        <v>60</v>
      </c>
      <c r="H1171" s="29" t="s">
        <v>1641</v>
      </c>
      <c r="I1171" s="4">
        <v>0</v>
      </c>
      <c r="J1171" s="4">
        <v>0</v>
      </c>
      <c r="K1171" s="4">
        <v>2066.9</v>
      </c>
      <c r="L1171" s="4">
        <v>0</v>
      </c>
      <c r="M1171" s="12" t="s">
        <v>571</v>
      </c>
      <c r="N1171" s="13">
        <f t="shared" si="32"/>
        <v>2066.9</v>
      </c>
    </row>
    <row r="1172" spans="1:14">
      <c r="A1172" s="12">
        <v>1171</v>
      </c>
      <c r="B1172" s="1" t="s">
        <v>1637</v>
      </c>
      <c r="C1172" s="42" t="s">
        <v>1638</v>
      </c>
      <c r="D1172" s="42" t="s">
        <v>1967</v>
      </c>
      <c r="E1172" s="42" t="s">
        <v>1922</v>
      </c>
      <c r="F1172" s="4">
        <v>4779</v>
      </c>
      <c r="G1172" s="47" t="s">
        <v>60</v>
      </c>
      <c r="H1172" s="12">
        <v>7310</v>
      </c>
      <c r="I1172" s="4">
        <v>0</v>
      </c>
      <c r="J1172" s="4">
        <v>0</v>
      </c>
      <c r="K1172" s="4">
        <v>729</v>
      </c>
      <c r="L1172" s="4">
        <v>0</v>
      </c>
      <c r="M1172" s="12" t="s">
        <v>571</v>
      </c>
      <c r="N1172" s="13">
        <f t="shared" ref="N1172:N1228" si="33">SUM(I1172:K1172)</f>
        <v>729</v>
      </c>
    </row>
    <row r="1173" spans="1:14">
      <c r="A1173" s="12">
        <v>1172</v>
      </c>
      <c r="B1173" s="1" t="s">
        <v>1637</v>
      </c>
      <c r="C1173" s="42" t="s">
        <v>1638</v>
      </c>
      <c r="D1173" s="42" t="s">
        <v>1968</v>
      </c>
      <c r="E1173" s="42" t="s">
        <v>1924</v>
      </c>
      <c r="F1173" s="4">
        <v>31245.9</v>
      </c>
      <c r="G1173" s="47" t="s">
        <v>60</v>
      </c>
      <c r="H1173" s="29" t="s">
        <v>1641</v>
      </c>
      <c r="I1173" s="4">
        <v>0</v>
      </c>
      <c r="J1173" s="4">
        <v>0</v>
      </c>
      <c r="K1173" s="4">
        <v>1487.9</v>
      </c>
      <c r="L1173" s="4">
        <v>0</v>
      </c>
      <c r="M1173" s="12" t="s">
        <v>571</v>
      </c>
      <c r="N1173" s="13">
        <f t="shared" si="33"/>
        <v>1487.9</v>
      </c>
    </row>
    <row r="1174" spans="1:14">
      <c r="A1174" s="12">
        <v>1173</v>
      </c>
      <c r="B1174" s="1" t="s">
        <v>1637</v>
      </c>
      <c r="C1174" s="42" t="s">
        <v>1638</v>
      </c>
      <c r="D1174" s="42" t="s">
        <v>1969</v>
      </c>
      <c r="E1174" s="42" t="s">
        <v>1924</v>
      </c>
      <c r="F1174" s="4">
        <v>3596.64</v>
      </c>
      <c r="G1174" s="47" t="s">
        <v>60</v>
      </c>
      <c r="H1174" s="12">
        <v>3923</v>
      </c>
      <c r="I1174" s="4">
        <v>0</v>
      </c>
      <c r="J1174" s="4">
        <v>0</v>
      </c>
      <c r="K1174" s="4">
        <v>548.64</v>
      </c>
      <c r="L1174" s="4">
        <v>0</v>
      </c>
      <c r="M1174" s="12" t="s">
        <v>571</v>
      </c>
      <c r="N1174" s="13">
        <f t="shared" si="33"/>
        <v>548.64</v>
      </c>
    </row>
    <row r="1175" spans="1:14">
      <c r="A1175" s="12">
        <v>1174</v>
      </c>
      <c r="B1175" s="1" t="s">
        <v>1637</v>
      </c>
      <c r="C1175" s="42" t="s">
        <v>1638</v>
      </c>
      <c r="D1175" s="42" t="s">
        <v>1970</v>
      </c>
      <c r="E1175" s="42" t="s">
        <v>1883</v>
      </c>
      <c r="F1175" s="4">
        <v>11658.4</v>
      </c>
      <c r="G1175" s="47" t="s">
        <v>60</v>
      </c>
      <c r="H1175" s="12">
        <v>7310</v>
      </c>
      <c r="I1175" s="4">
        <v>0</v>
      </c>
      <c r="J1175" s="4">
        <v>0</v>
      </c>
      <c r="K1175" s="4">
        <v>1778.4</v>
      </c>
      <c r="L1175" s="4">
        <v>0</v>
      </c>
      <c r="M1175" s="12" t="s">
        <v>571</v>
      </c>
      <c r="N1175" s="13">
        <f t="shared" si="33"/>
        <v>1778.4</v>
      </c>
    </row>
    <row r="1176" spans="1:14">
      <c r="A1176" s="12">
        <v>1175</v>
      </c>
      <c r="B1176" s="1" t="s">
        <v>1637</v>
      </c>
      <c r="C1176" s="42" t="s">
        <v>1638</v>
      </c>
      <c r="D1176" s="42" t="s">
        <v>1971</v>
      </c>
      <c r="E1176" s="42" t="s">
        <v>1883</v>
      </c>
      <c r="F1176" s="4">
        <v>3669.75</v>
      </c>
      <c r="G1176" s="47" t="s">
        <v>60</v>
      </c>
      <c r="H1176" s="29" t="s">
        <v>1641</v>
      </c>
      <c r="I1176" s="4">
        <v>0</v>
      </c>
      <c r="J1176" s="4">
        <v>0</v>
      </c>
      <c r="K1176" s="4">
        <v>174.75</v>
      </c>
      <c r="L1176" s="4">
        <v>0</v>
      </c>
      <c r="M1176" s="12" t="s">
        <v>571</v>
      </c>
      <c r="N1176" s="13">
        <f t="shared" si="33"/>
        <v>174.75</v>
      </c>
    </row>
    <row r="1177" spans="1:14">
      <c r="A1177" s="12">
        <v>1176</v>
      </c>
      <c r="B1177" s="1" t="s">
        <v>1637</v>
      </c>
      <c r="C1177" s="42" t="s">
        <v>1638</v>
      </c>
      <c r="D1177" s="42" t="s">
        <v>1972</v>
      </c>
      <c r="E1177" s="42" t="s">
        <v>1864</v>
      </c>
      <c r="F1177" s="4">
        <v>6789.3</v>
      </c>
      <c r="G1177" s="47" t="s">
        <v>60</v>
      </c>
      <c r="H1177" s="29" t="s">
        <v>1641</v>
      </c>
      <c r="I1177" s="4">
        <v>0</v>
      </c>
      <c r="J1177" s="4">
        <v>0</v>
      </c>
      <c r="K1177" s="4">
        <v>323.3</v>
      </c>
      <c r="L1177" s="4">
        <v>0</v>
      </c>
      <c r="M1177" s="12" t="s">
        <v>571</v>
      </c>
      <c r="N1177" s="13">
        <f t="shared" si="33"/>
        <v>323.3</v>
      </c>
    </row>
    <row r="1178" spans="1:14">
      <c r="A1178" s="12">
        <v>1177</v>
      </c>
      <c r="B1178" s="1" t="s">
        <v>1637</v>
      </c>
      <c r="C1178" s="42" t="s">
        <v>1638</v>
      </c>
      <c r="D1178" s="42" t="s">
        <v>1973</v>
      </c>
      <c r="E1178" s="42" t="s">
        <v>1864</v>
      </c>
      <c r="F1178" s="4">
        <v>1829</v>
      </c>
      <c r="G1178" s="47" t="s">
        <v>60</v>
      </c>
      <c r="H1178" s="12">
        <v>3923</v>
      </c>
      <c r="I1178" s="4">
        <v>0</v>
      </c>
      <c r="J1178" s="4">
        <v>0</v>
      </c>
      <c r="K1178" s="4">
        <v>279</v>
      </c>
      <c r="L1178" s="4">
        <v>0</v>
      </c>
      <c r="M1178" s="12" t="s">
        <v>571</v>
      </c>
      <c r="N1178" s="13">
        <f t="shared" si="33"/>
        <v>279</v>
      </c>
    </row>
    <row r="1179" spans="1:14">
      <c r="A1179" s="12">
        <v>1178</v>
      </c>
      <c r="B1179" s="1" t="s">
        <v>1637</v>
      </c>
      <c r="C1179" s="42" t="s">
        <v>1638</v>
      </c>
      <c r="D1179" s="42" t="s">
        <v>1974</v>
      </c>
      <c r="E1179" s="42" t="s">
        <v>1864</v>
      </c>
      <c r="F1179" s="4">
        <v>18151.88</v>
      </c>
      <c r="G1179" s="47" t="s">
        <v>60</v>
      </c>
      <c r="H1179" s="29" t="s">
        <v>1641</v>
      </c>
      <c r="I1179" s="4">
        <v>0</v>
      </c>
      <c r="J1179" s="4">
        <v>0</v>
      </c>
      <c r="K1179" s="4">
        <v>864.38</v>
      </c>
      <c r="L1179" s="4">
        <v>0</v>
      </c>
      <c r="M1179" s="12" t="s">
        <v>571</v>
      </c>
      <c r="N1179" s="13">
        <f t="shared" si="33"/>
        <v>864.38</v>
      </c>
    </row>
    <row r="1180" spans="1:14">
      <c r="A1180" s="12">
        <v>1179</v>
      </c>
      <c r="B1180" s="1" t="s">
        <v>1637</v>
      </c>
      <c r="C1180" s="42" t="s">
        <v>1638</v>
      </c>
      <c r="D1180" s="42" t="s">
        <v>1975</v>
      </c>
      <c r="E1180" s="42" t="s">
        <v>1976</v>
      </c>
      <c r="F1180" s="4">
        <v>5475.2</v>
      </c>
      <c r="G1180" s="47" t="s">
        <v>60</v>
      </c>
      <c r="H1180" s="12">
        <v>7310</v>
      </c>
      <c r="I1180" s="4">
        <v>0</v>
      </c>
      <c r="J1180" s="4">
        <v>0</v>
      </c>
      <c r="K1180" s="4">
        <v>835.2</v>
      </c>
      <c r="L1180" s="4">
        <v>0</v>
      </c>
      <c r="M1180" s="12" t="s">
        <v>571</v>
      </c>
      <c r="N1180" s="13">
        <f t="shared" si="33"/>
        <v>835.2</v>
      </c>
    </row>
    <row r="1181" spans="1:14">
      <c r="A1181" s="12">
        <v>1180</v>
      </c>
      <c r="B1181" s="1" t="s">
        <v>1637</v>
      </c>
      <c r="C1181" s="42" t="s">
        <v>1638</v>
      </c>
      <c r="D1181" s="42" t="s">
        <v>1977</v>
      </c>
      <c r="E1181" s="42" t="s">
        <v>1976</v>
      </c>
      <c r="F1181" s="4">
        <v>41259.75</v>
      </c>
      <c r="G1181" s="47" t="s">
        <v>60</v>
      </c>
      <c r="H1181" s="29" t="s">
        <v>1641</v>
      </c>
      <c r="I1181" s="4">
        <v>0</v>
      </c>
      <c r="J1181" s="4">
        <v>0</v>
      </c>
      <c r="K1181" s="4">
        <v>1964.75</v>
      </c>
      <c r="L1181" s="4">
        <v>0</v>
      </c>
      <c r="M1181" s="12" t="s">
        <v>571</v>
      </c>
      <c r="N1181" s="13">
        <f t="shared" si="33"/>
        <v>1964.75</v>
      </c>
    </row>
    <row r="1182" spans="1:14">
      <c r="A1182" s="12">
        <v>1181</v>
      </c>
      <c r="B1182" s="1" t="s">
        <v>1637</v>
      </c>
      <c r="C1182" s="42" t="s">
        <v>1638</v>
      </c>
      <c r="D1182" s="42" t="s">
        <v>1978</v>
      </c>
      <c r="E1182" s="42" t="s">
        <v>1853</v>
      </c>
      <c r="F1182" s="4">
        <v>10001.25</v>
      </c>
      <c r="G1182" s="47" t="s">
        <v>60</v>
      </c>
      <c r="H1182" s="29" t="s">
        <v>1641</v>
      </c>
      <c r="I1182" s="4">
        <v>0</v>
      </c>
      <c r="J1182" s="4">
        <v>0</v>
      </c>
      <c r="K1182" s="4">
        <v>476.25</v>
      </c>
      <c r="L1182" s="4">
        <v>0</v>
      </c>
      <c r="M1182" s="12" t="s">
        <v>571</v>
      </c>
      <c r="N1182" s="13">
        <f t="shared" si="33"/>
        <v>476.25</v>
      </c>
    </row>
    <row r="1183" spans="1:14">
      <c r="A1183" s="12">
        <v>1182</v>
      </c>
      <c r="B1183" s="1" t="s">
        <v>1637</v>
      </c>
      <c r="C1183" s="42" t="s">
        <v>1638</v>
      </c>
      <c r="D1183" s="42" t="s">
        <v>1979</v>
      </c>
      <c r="E1183" s="42" t="s">
        <v>1853</v>
      </c>
      <c r="F1183" s="4">
        <v>7522.2</v>
      </c>
      <c r="G1183" s="47" t="s">
        <v>60</v>
      </c>
      <c r="H1183" s="29" t="s">
        <v>1641</v>
      </c>
      <c r="I1183" s="4">
        <v>0</v>
      </c>
      <c r="J1183" s="4">
        <v>0</v>
      </c>
      <c r="K1183" s="4">
        <v>358.2</v>
      </c>
      <c r="L1183" s="4">
        <v>0</v>
      </c>
      <c r="M1183" s="12" t="s">
        <v>571</v>
      </c>
      <c r="N1183" s="13">
        <f t="shared" si="33"/>
        <v>358.2</v>
      </c>
    </row>
    <row r="1184" spans="1:14">
      <c r="A1184" s="12">
        <v>1183</v>
      </c>
      <c r="B1184" s="1" t="s">
        <v>1637</v>
      </c>
      <c r="C1184" s="42" t="s">
        <v>1638</v>
      </c>
      <c r="D1184" s="42" t="s">
        <v>1980</v>
      </c>
      <c r="E1184" s="42" t="s">
        <v>1853</v>
      </c>
      <c r="F1184" s="4">
        <v>2268</v>
      </c>
      <c r="G1184" s="47" t="s">
        <v>60</v>
      </c>
      <c r="H1184" s="29" t="s">
        <v>1641</v>
      </c>
      <c r="I1184" s="4">
        <v>0</v>
      </c>
      <c r="J1184" s="4">
        <v>0</v>
      </c>
      <c r="K1184" s="4">
        <v>108</v>
      </c>
      <c r="L1184" s="4">
        <v>0</v>
      </c>
      <c r="M1184" s="12" t="s">
        <v>571</v>
      </c>
      <c r="N1184" s="13">
        <f t="shared" si="33"/>
        <v>108</v>
      </c>
    </row>
    <row r="1185" spans="1:14">
      <c r="A1185" s="12">
        <v>1184</v>
      </c>
      <c r="B1185" s="1" t="s">
        <v>1637</v>
      </c>
      <c r="C1185" s="42" t="s">
        <v>1638</v>
      </c>
      <c r="D1185" s="42" t="s">
        <v>1981</v>
      </c>
      <c r="E1185" s="42" t="s">
        <v>1853</v>
      </c>
      <c r="F1185" s="4">
        <v>19506.900000000001</v>
      </c>
      <c r="G1185" s="47" t="s">
        <v>60</v>
      </c>
      <c r="H1185" s="29" t="s">
        <v>1641</v>
      </c>
      <c r="I1185" s="4">
        <v>0</v>
      </c>
      <c r="J1185" s="4">
        <v>0</v>
      </c>
      <c r="K1185" s="4">
        <v>928.9</v>
      </c>
      <c r="L1185" s="4">
        <v>0</v>
      </c>
      <c r="M1185" s="12" t="s">
        <v>571</v>
      </c>
      <c r="N1185" s="13">
        <f t="shared" si="33"/>
        <v>928.9</v>
      </c>
    </row>
    <row r="1186" spans="1:14">
      <c r="A1186" s="12">
        <v>1185</v>
      </c>
      <c r="B1186" s="1" t="s">
        <v>1637</v>
      </c>
      <c r="C1186" s="42" t="s">
        <v>1638</v>
      </c>
      <c r="D1186" s="42" t="s">
        <v>1982</v>
      </c>
      <c r="E1186" s="42" t="s">
        <v>1888</v>
      </c>
      <c r="F1186" s="4">
        <v>1097.4000000000001</v>
      </c>
      <c r="G1186" s="47" t="s">
        <v>60</v>
      </c>
      <c r="H1186" s="12">
        <v>3923</v>
      </c>
      <c r="I1186" s="4">
        <v>0</v>
      </c>
      <c r="J1186" s="4">
        <v>0</v>
      </c>
      <c r="K1186" s="4">
        <v>167.4</v>
      </c>
      <c r="L1186" s="4">
        <v>0</v>
      </c>
      <c r="M1186" s="12" t="s">
        <v>571</v>
      </c>
      <c r="N1186" s="13">
        <f t="shared" si="33"/>
        <v>167.4</v>
      </c>
    </row>
    <row r="1187" spans="1:14">
      <c r="A1187" s="12">
        <v>1186</v>
      </c>
      <c r="B1187" s="1" t="s">
        <v>1637</v>
      </c>
      <c r="C1187" s="42" t="s">
        <v>1638</v>
      </c>
      <c r="D1187" s="42" t="s">
        <v>1983</v>
      </c>
      <c r="E1187" s="42" t="s">
        <v>1888</v>
      </c>
      <c r="F1187" s="4">
        <v>24518.560000000001</v>
      </c>
      <c r="G1187" s="47" t="s">
        <v>60</v>
      </c>
      <c r="H1187" s="29" t="s">
        <v>1641</v>
      </c>
      <c r="I1187" s="4">
        <v>0</v>
      </c>
      <c r="J1187" s="4">
        <v>0</v>
      </c>
      <c r="K1187" s="4">
        <v>1167.55</v>
      </c>
      <c r="L1187" s="4">
        <v>0</v>
      </c>
      <c r="M1187" s="12" t="s">
        <v>571</v>
      </c>
      <c r="N1187" s="13">
        <f t="shared" si="33"/>
        <v>1167.55</v>
      </c>
    </row>
    <row r="1188" spans="1:14">
      <c r="A1188" s="12">
        <v>1187</v>
      </c>
      <c r="B1188" s="1" t="s">
        <v>1637</v>
      </c>
      <c r="C1188" s="42" t="s">
        <v>1638</v>
      </c>
      <c r="D1188" s="42" t="s">
        <v>1984</v>
      </c>
      <c r="E1188" s="42" t="s">
        <v>1888</v>
      </c>
      <c r="F1188" s="4">
        <v>495.54</v>
      </c>
      <c r="G1188" s="47" t="s">
        <v>60</v>
      </c>
      <c r="H1188" s="12">
        <v>3923</v>
      </c>
      <c r="I1188" s="4">
        <v>0</v>
      </c>
      <c r="J1188" s="4">
        <v>0</v>
      </c>
      <c r="K1188" s="4">
        <v>75.59</v>
      </c>
      <c r="L1188" s="4">
        <v>0</v>
      </c>
      <c r="M1188" s="12" t="s">
        <v>571</v>
      </c>
      <c r="N1188" s="13">
        <f t="shared" si="33"/>
        <v>75.59</v>
      </c>
    </row>
    <row r="1189" spans="1:14">
      <c r="A1189" s="12">
        <v>1188</v>
      </c>
      <c r="B1189" s="1" t="s">
        <v>1637</v>
      </c>
      <c r="C1189" s="42" t="s">
        <v>1638</v>
      </c>
      <c r="D1189" s="42" t="s">
        <v>1985</v>
      </c>
      <c r="E1189" s="42" t="s">
        <v>1888</v>
      </c>
      <c r="F1189" s="4">
        <v>22155</v>
      </c>
      <c r="G1189" s="47" t="s">
        <v>60</v>
      </c>
      <c r="H1189" s="29" t="s">
        <v>1641</v>
      </c>
      <c r="I1189" s="4">
        <v>0</v>
      </c>
      <c r="J1189" s="4">
        <v>0</v>
      </c>
      <c r="K1189" s="4">
        <v>1055</v>
      </c>
      <c r="L1189" s="4">
        <v>0</v>
      </c>
      <c r="M1189" s="12" t="s">
        <v>571</v>
      </c>
      <c r="N1189" s="13">
        <f t="shared" si="33"/>
        <v>1055</v>
      </c>
    </row>
    <row r="1190" spans="1:14">
      <c r="A1190" s="12">
        <v>1189</v>
      </c>
      <c r="B1190" s="1" t="s">
        <v>1637</v>
      </c>
      <c r="C1190" s="42" t="s">
        <v>1638</v>
      </c>
      <c r="D1190" s="42" t="s">
        <v>1986</v>
      </c>
      <c r="E1190" s="42" t="s">
        <v>1929</v>
      </c>
      <c r="F1190" s="4">
        <v>9998.52</v>
      </c>
      <c r="G1190" s="47" t="s">
        <v>60</v>
      </c>
      <c r="H1190" s="29" t="s">
        <v>1641</v>
      </c>
      <c r="I1190" s="4">
        <v>0</v>
      </c>
      <c r="J1190" s="4">
        <v>0</v>
      </c>
      <c r="K1190" s="4">
        <v>476.12</v>
      </c>
      <c r="L1190" s="4">
        <v>0</v>
      </c>
      <c r="M1190" s="12" t="s">
        <v>571</v>
      </c>
      <c r="N1190" s="13">
        <f t="shared" si="33"/>
        <v>476.12</v>
      </c>
    </row>
    <row r="1191" spans="1:14">
      <c r="A1191" s="12">
        <v>1190</v>
      </c>
      <c r="B1191" s="1" t="s">
        <v>1637</v>
      </c>
      <c r="C1191" s="42" t="s">
        <v>1638</v>
      </c>
      <c r="D1191" s="42" t="s">
        <v>1987</v>
      </c>
      <c r="E1191" s="42" t="s">
        <v>1929</v>
      </c>
      <c r="F1191" s="4">
        <v>944</v>
      </c>
      <c r="G1191" s="47" t="s">
        <v>60</v>
      </c>
      <c r="H1191" s="12">
        <v>4819</v>
      </c>
      <c r="I1191" s="4">
        <v>0</v>
      </c>
      <c r="J1191" s="4">
        <v>0</v>
      </c>
      <c r="K1191" s="4">
        <v>144</v>
      </c>
      <c r="L1191" s="4">
        <v>0</v>
      </c>
      <c r="M1191" s="12" t="s">
        <v>571</v>
      </c>
      <c r="N1191" s="13">
        <f t="shared" si="33"/>
        <v>144</v>
      </c>
    </row>
    <row r="1192" spans="1:14">
      <c r="A1192" s="12">
        <v>1191</v>
      </c>
      <c r="B1192" s="1" t="s">
        <v>1637</v>
      </c>
      <c r="C1192" s="42" t="s">
        <v>1638</v>
      </c>
      <c r="D1192" s="42" t="s">
        <v>1988</v>
      </c>
      <c r="E1192" s="42" t="s">
        <v>1929</v>
      </c>
      <c r="F1192" s="4">
        <v>38640</v>
      </c>
      <c r="G1192" s="47" t="s">
        <v>60</v>
      </c>
      <c r="H1192" s="29" t="s">
        <v>1641</v>
      </c>
      <c r="I1192" s="4">
        <v>0</v>
      </c>
      <c r="J1192" s="4">
        <v>0</v>
      </c>
      <c r="K1192" s="4">
        <v>1840</v>
      </c>
      <c r="L1192" s="4">
        <v>0</v>
      </c>
      <c r="M1192" s="12" t="s">
        <v>571</v>
      </c>
      <c r="N1192" s="13">
        <f t="shared" si="33"/>
        <v>1840</v>
      </c>
    </row>
    <row r="1193" spans="1:14">
      <c r="A1193" s="12">
        <v>1192</v>
      </c>
      <c r="B1193" s="1" t="s">
        <v>1637</v>
      </c>
      <c r="C1193" s="42" t="s">
        <v>1638</v>
      </c>
      <c r="D1193" s="42" t="s">
        <v>1989</v>
      </c>
      <c r="E1193" s="42" t="s">
        <v>1931</v>
      </c>
      <c r="F1193" s="4">
        <v>46908.75</v>
      </c>
      <c r="G1193" s="47" t="s">
        <v>60</v>
      </c>
      <c r="H1193" s="29" t="s">
        <v>1641</v>
      </c>
      <c r="I1193" s="4">
        <v>0</v>
      </c>
      <c r="J1193" s="4">
        <v>0</v>
      </c>
      <c r="K1193" s="4">
        <v>2233.75</v>
      </c>
      <c r="L1193" s="4">
        <v>0</v>
      </c>
      <c r="M1193" s="12" t="s">
        <v>571</v>
      </c>
      <c r="N1193" s="13">
        <f t="shared" si="33"/>
        <v>2233.75</v>
      </c>
    </row>
    <row r="1194" spans="1:14">
      <c r="A1194" s="12">
        <v>1193</v>
      </c>
      <c r="B1194" s="1" t="s">
        <v>1637</v>
      </c>
      <c r="C1194" s="42" t="s">
        <v>1638</v>
      </c>
      <c r="D1194" s="42" t="s">
        <v>1990</v>
      </c>
      <c r="E1194" s="42" t="s">
        <v>1933</v>
      </c>
      <c r="F1194" s="4">
        <v>46751.25</v>
      </c>
      <c r="G1194" s="47" t="s">
        <v>60</v>
      </c>
      <c r="H1194" s="29" t="s">
        <v>1641</v>
      </c>
      <c r="I1194" s="4">
        <v>0</v>
      </c>
      <c r="J1194" s="4">
        <v>0</v>
      </c>
      <c r="K1194" s="4">
        <v>2226.25</v>
      </c>
      <c r="L1194" s="4">
        <v>0</v>
      </c>
      <c r="M1194" s="12" t="s">
        <v>571</v>
      </c>
      <c r="N1194" s="13">
        <f t="shared" si="33"/>
        <v>2226.25</v>
      </c>
    </row>
    <row r="1195" spans="1:14">
      <c r="A1195" s="12">
        <v>1194</v>
      </c>
      <c r="B1195" s="1" t="s">
        <v>1637</v>
      </c>
      <c r="C1195" s="42" t="s">
        <v>1638</v>
      </c>
      <c r="D1195" s="42" t="s">
        <v>1991</v>
      </c>
      <c r="E1195" s="42" t="s">
        <v>1866</v>
      </c>
      <c r="F1195" s="4">
        <v>39739.35</v>
      </c>
      <c r="G1195" s="47" t="s">
        <v>60</v>
      </c>
      <c r="H1195" s="29" t="s">
        <v>1641</v>
      </c>
      <c r="I1195" s="4">
        <v>0</v>
      </c>
      <c r="J1195" s="4">
        <v>0</v>
      </c>
      <c r="K1195" s="4">
        <v>1892.35</v>
      </c>
      <c r="L1195" s="4">
        <v>0</v>
      </c>
      <c r="M1195" s="12" t="s">
        <v>571</v>
      </c>
      <c r="N1195" s="13">
        <f t="shared" si="33"/>
        <v>1892.35</v>
      </c>
    </row>
    <row r="1196" spans="1:14">
      <c r="A1196" s="12">
        <v>1195</v>
      </c>
      <c r="B1196" s="1" t="s">
        <v>1637</v>
      </c>
      <c r="C1196" s="42" t="s">
        <v>1638</v>
      </c>
      <c r="D1196" s="42" t="s">
        <v>1992</v>
      </c>
      <c r="E1196" s="42" t="s">
        <v>1866</v>
      </c>
      <c r="F1196" s="4">
        <v>6147.8</v>
      </c>
      <c r="G1196" s="47" t="s">
        <v>60</v>
      </c>
      <c r="H1196" s="12">
        <v>4819</v>
      </c>
      <c r="I1196" s="4">
        <v>0</v>
      </c>
      <c r="J1196" s="4">
        <v>0</v>
      </c>
      <c r="K1196" s="4">
        <v>937.8</v>
      </c>
      <c r="L1196" s="4">
        <v>0</v>
      </c>
      <c r="M1196" s="12" t="s">
        <v>571</v>
      </c>
      <c r="N1196" s="13">
        <f t="shared" si="33"/>
        <v>937.8</v>
      </c>
    </row>
    <row r="1197" spans="1:14">
      <c r="A1197" s="12">
        <v>1196</v>
      </c>
      <c r="B1197" s="1" t="s">
        <v>1637</v>
      </c>
      <c r="C1197" s="42" t="s">
        <v>1638</v>
      </c>
      <c r="D1197" s="42" t="s">
        <v>1993</v>
      </c>
      <c r="E1197" s="42" t="s">
        <v>1866</v>
      </c>
      <c r="F1197" s="4">
        <v>4083.45</v>
      </c>
      <c r="G1197" s="47" t="s">
        <v>60</v>
      </c>
      <c r="H1197" s="29" t="s">
        <v>1641</v>
      </c>
      <c r="I1197" s="4">
        <v>0</v>
      </c>
      <c r="J1197" s="4">
        <v>0</v>
      </c>
      <c r="K1197" s="4">
        <v>194.45</v>
      </c>
      <c r="L1197" s="4">
        <v>0</v>
      </c>
      <c r="M1197" s="12" t="s">
        <v>571</v>
      </c>
      <c r="N1197" s="13">
        <f t="shared" si="33"/>
        <v>194.45</v>
      </c>
    </row>
    <row r="1198" spans="1:14">
      <c r="A1198" s="12">
        <v>1197</v>
      </c>
      <c r="B1198" s="1" t="s">
        <v>1637</v>
      </c>
      <c r="C1198" s="42" t="s">
        <v>1638</v>
      </c>
      <c r="D1198" s="42" t="s">
        <v>1994</v>
      </c>
      <c r="E1198" s="42" t="s">
        <v>1995</v>
      </c>
      <c r="F1198" s="4">
        <v>42236.15</v>
      </c>
      <c r="G1198" s="47" t="s">
        <v>60</v>
      </c>
      <c r="H1198" s="29" t="s">
        <v>1641</v>
      </c>
      <c r="I1198" s="4">
        <v>0</v>
      </c>
      <c r="J1198" s="4">
        <v>0</v>
      </c>
      <c r="K1198" s="4">
        <v>2011.25</v>
      </c>
      <c r="L1198" s="4">
        <v>0</v>
      </c>
      <c r="M1198" s="12" t="s">
        <v>571</v>
      </c>
      <c r="N1198" s="13">
        <f t="shared" si="33"/>
        <v>2011.25</v>
      </c>
    </row>
    <row r="1199" spans="1:14">
      <c r="A1199" s="12">
        <v>1198</v>
      </c>
      <c r="B1199" s="1" t="s">
        <v>1637</v>
      </c>
      <c r="C1199" s="42" t="s">
        <v>1638</v>
      </c>
      <c r="D1199" s="42" t="s">
        <v>1996</v>
      </c>
      <c r="E1199" s="42" t="s">
        <v>1995</v>
      </c>
      <c r="F1199" s="4">
        <v>2360</v>
      </c>
      <c r="G1199" s="47" t="s">
        <v>60</v>
      </c>
      <c r="H1199" s="12">
        <v>4819</v>
      </c>
      <c r="I1199" s="4">
        <v>0</v>
      </c>
      <c r="J1199" s="4">
        <v>0</v>
      </c>
      <c r="K1199" s="4">
        <v>360</v>
      </c>
      <c r="L1199" s="4">
        <v>0</v>
      </c>
      <c r="M1199" s="12" t="s">
        <v>571</v>
      </c>
      <c r="N1199" s="13">
        <f t="shared" si="33"/>
        <v>360</v>
      </c>
    </row>
    <row r="1200" spans="1:14">
      <c r="A1200" s="12">
        <v>1199</v>
      </c>
      <c r="B1200" s="1" t="s">
        <v>1637</v>
      </c>
      <c r="C1200" s="42" t="s">
        <v>1638</v>
      </c>
      <c r="D1200" s="42" t="s">
        <v>1997</v>
      </c>
      <c r="E1200" s="42" t="s">
        <v>1855</v>
      </c>
      <c r="F1200" s="4">
        <v>21047.25</v>
      </c>
      <c r="G1200" s="47" t="s">
        <v>60</v>
      </c>
      <c r="H1200" s="29" t="s">
        <v>1641</v>
      </c>
      <c r="I1200" s="4">
        <v>0</v>
      </c>
      <c r="J1200" s="4">
        <v>0</v>
      </c>
      <c r="K1200" s="4">
        <v>1002.25</v>
      </c>
      <c r="L1200" s="4">
        <v>0</v>
      </c>
      <c r="M1200" s="12" t="s">
        <v>571</v>
      </c>
      <c r="N1200" s="13">
        <f t="shared" si="33"/>
        <v>1002.25</v>
      </c>
    </row>
    <row r="1201" spans="1:14">
      <c r="A1201" s="12">
        <v>1200</v>
      </c>
      <c r="B1201" s="1" t="s">
        <v>1637</v>
      </c>
      <c r="C1201" s="42" t="s">
        <v>1638</v>
      </c>
      <c r="D1201" s="42" t="s">
        <v>1998</v>
      </c>
      <c r="E1201" s="42" t="s">
        <v>1855</v>
      </c>
      <c r="F1201" s="4">
        <v>18936.75</v>
      </c>
      <c r="G1201" s="47" t="s">
        <v>60</v>
      </c>
      <c r="H1201" s="29" t="s">
        <v>1641</v>
      </c>
      <c r="I1201" s="4">
        <v>0</v>
      </c>
      <c r="J1201" s="4">
        <v>0</v>
      </c>
      <c r="K1201" s="4">
        <v>901.75</v>
      </c>
      <c r="L1201" s="4">
        <v>0</v>
      </c>
      <c r="M1201" s="12" t="s">
        <v>571</v>
      </c>
      <c r="N1201" s="13">
        <f t="shared" si="33"/>
        <v>901.75</v>
      </c>
    </row>
    <row r="1202" spans="1:14">
      <c r="A1202" s="12">
        <v>1201</v>
      </c>
      <c r="B1202" s="1" t="s">
        <v>1637</v>
      </c>
      <c r="C1202" s="42" t="s">
        <v>1638</v>
      </c>
      <c r="D1202" s="42" t="s">
        <v>1999</v>
      </c>
      <c r="E1202" s="42" t="s">
        <v>1855</v>
      </c>
      <c r="F1202" s="4">
        <v>5664.75</v>
      </c>
      <c r="G1202" s="47" t="s">
        <v>60</v>
      </c>
      <c r="H1202" s="29" t="s">
        <v>1641</v>
      </c>
      <c r="I1202" s="4">
        <v>0</v>
      </c>
      <c r="J1202" s="4">
        <v>0</v>
      </c>
      <c r="K1202" s="4">
        <v>269.75</v>
      </c>
      <c r="L1202" s="4">
        <v>0</v>
      </c>
      <c r="M1202" s="12" t="s">
        <v>571</v>
      </c>
      <c r="N1202" s="13">
        <f t="shared" si="33"/>
        <v>269.75</v>
      </c>
    </row>
    <row r="1203" spans="1:14">
      <c r="A1203" s="12">
        <v>1202</v>
      </c>
      <c r="B1203" s="1" t="s">
        <v>1637</v>
      </c>
      <c r="C1203" s="42" t="s">
        <v>1638</v>
      </c>
      <c r="D1203" s="42" t="s">
        <v>2000</v>
      </c>
      <c r="E1203" s="42" t="s">
        <v>1855</v>
      </c>
      <c r="F1203" s="4">
        <v>3652.1</v>
      </c>
      <c r="G1203" s="47" t="s">
        <v>60</v>
      </c>
      <c r="H1203" s="12">
        <v>4819</v>
      </c>
      <c r="I1203" s="4">
        <v>0</v>
      </c>
      <c r="J1203" s="4">
        <v>0</v>
      </c>
      <c r="K1203" s="4">
        <v>557.1</v>
      </c>
      <c r="L1203" s="4">
        <v>0</v>
      </c>
      <c r="M1203" s="12" t="s">
        <v>571</v>
      </c>
      <c r="N1203" s="13">
        <f t="shared" si="33"/>
        <v>557.1</v>
      </c>
    </row>
    <row r="1204" spans="1:14">
      <c r="A1204" s="12">
        <v>1203</v>
      </c>
      <c r="B1204" s="1" t="s">
        <v>2001</v>
      </c>
      <c r="C1204" s="42" t="s">
        <v>593</v>
      </c>
      <c r="D1204" s="42" t="s">
        <v>2002</v>
      </c>
      <c r="E1204" s="42" t="s">
        <v>1853</v>
      </c>
      <c r="F1204" s="4">
        <v>250</v>
      </c>
      <c r="G1204" s="47" t="s">
        <v>1772</v>
      </c>
      <c r="H1204" s="12">
        <v>4202</v>
      </c>
      <c r="I1204" s="4">
        <v>0</v>
      </c>
      <c r="J1204" s="4">
        <v>0</v>
      </c>
      <c r="K1204" s="4">
        <v>0</v>
      </c>
      <c r="L1204" s="4">
        <v>0</v>
      </c>
      <c r="M1204" s="12" t="s">
        <v>571</v>
      </c>
      <c r="N1204" s="13">
        <f t="shared" si="33"/>
        <v>0</v>
      </c>
    </row>
    <row r="1205" spans="1:14">
      <c r="A1205" s="12">
        <v>1204</v>
      </c>
      <c r="B1205" s="1" t="s">
        <v>2003</v>
      </c>
      <c r="C1205" s="42" t="s">
        <v>2004</v>
      </c>
      <c r="D1205" s="42" t="s">
        <v>2005</v>
      </c>
      <c r="E1205" s="42" t="s">
        <v>1903</v>
      </c>
      <c r="F1205" s="4">
        <v>82790</v>
      </c>
      <c r="G1205" s="47" t="s">
        <v>570</v>
      </c>
      <c r="H1205" s="12">
        <v>9983</v>
      </c>
      <c r="I1205" s="4">
        <v>6314.49</v>
      </c>
      <c r="J1205" s="4">
        <v>6314.49</v>
      </c>
      <c r="K1205" s="4">
        <v>0</v>
      </c>
      <c r="L1205" s="4">
        <v>0</v>
      </c>
      <c r="M1205" s="12" t="s">
        <v>571</v>
      </c>
      <c r="N1205" s="13">
        <f t="shared" si="33"/>
        <v>12628.98</v>
      </c>
    </row>
    <row r="1206" spans="1:14">
      <c r="A1206" s="12">
        <v>1205</v>
      </c>
      <c r="B1206" s="1" t="s">
        <v>1811</v>
      </c>
      <c r="C1206" s="42" t="s">
        <v>1812</v>
      </c>
      <c r="D1206" s="42" t="s">
        <v>2006</v>
      </c>
      <c r="E1206" s="42" t="s">
        <v>1855</v>
      </c>
      <c r="F1206" s="4">
        <v>588.82000000000005</v>
      </c>
      <c r="G1206" s="47" t="s">
        <v>570</v>
      </c>
      <c r="H1206" s="12">
        <v>997159</v>
      </c>
      <c r="I1206" s="4">
        <v>0</v>
      </c>
      <c r="J1206" s="4">
        <v>0</v>
      </c>
      <c r="K1206" s="4">
        <v>89.82</v>
      </c>
      <c r="L1206" s="4">
        <v>0</v>
      </c>
      <c r="M1206" s="12" t="s">
        <v>571</v>
      </c>
      <c r="N1206" s="13">
        <f t="shared" si="33"/>
        <v>89.82</v>
      </c>
    </row>
    <row r="1207" spans="1:14">
      <c r="A1207" s="12">
        <v>1206</v>
      </c>
      <c r="B1207" s="1" t="s">
        <v>1811</v>
      </c>
      <c r="C1207" s="42" t="s">
        <v>1812</v>
      </c>
      <c r="D1207" s="42" t="s">
        <v>2007</v>
      </c>
      <c r="E1207" s="42" t="s">
        <v>1855</v>
      </c>
      <c r="F1207" s="4">
        <v>885</v>
      </c>
      <c r="G1207" s="47" t="s">
        <v>570</v>
      </c>
      <c r="H1207" s="12">
        <v>997159</v>
      </c>
      <c r="I1207" s="4">
        <v>0</v>
      </c>
      <c r="J1207" s="4">
        <v>0</v>
      </c>
      <c r="K1207" s="4">
        <v>135</v>
      </c>
      <c r="L1207" s="4">
        <v>0</v>
      </c>
      <c r="M1207" s="12" t="s">
        <v>571</v>
      </c>
      <c r="N1207" s="13">
        <f t="shared" si="33"/>
        <v>135</v>
      </c>
    </row>
    <row r="1208" spans="1:14">
      <c r="A1208" s="12">
        <v>1207</v>
      </c>
      <c r="B1208" s="1" t="s">
        <v>1811</v>
      </c>
      <c r="C1208" s="42" t="s">
        <v>1812</v>
      </c>
      <c r="D1208" s="42" t="s">
        <v>2008</v>
      </c>
      <c r="E1208" s="42" t="s">
        <v>1855</v>
      </c>
      <c r="F1208" s="4">
        <v>588.82000000000005</v>
      </c>
      <c r="G1208" s="47" t="s">
        <v>570</v>
      </c>
      <c r="H1208" s="12">
        <v>997159</v>
      </c>
      <c r="I1208" s="4">
        <v>0</v>
      </c>
      <c r="J1208" s="4">
        <v>0</v>
      </c>
      <c r="K1208" s="4">
        <v>89.82</v>
      </c>
      <c r="L1208" s="4">
        <v>0</v>
      </c>
      <c r="M1208" s="12" t="s">
        <v>571</v>
      </c>
      <c r="N1208" s="13">
        <f t="shared" si="33"/>
        <v>89.82</v>
      </c>
    </row>
    <row r="1209" spans="1:14">
      <c r="A1209" s="12">
        <v>1208</v>
      </c>
      <c r="B1209" s="1" t="s">
        <v>1811</v>
      </c>
      <c r="C1209" s="42" t="s">
        <v>1812</v>
      </c>
      <c r="D1209" s="42" t="s">
        <v>2009</v>
      </c>
      <c r="E1209" s="42" t="s">
        <v>1855</v>
      </c>
      <c r="F1209" s="4">
        <v>116.82</v>
      </c>
      <c r="G1209" s="47" t="s">
        <v>570</v>
      </c>
      <c r="H1209" s="12">
        <v>997159</v>
      </c>
      <c r="I1209" s="4">
        <v>0</v>
      </c>
      <c r="J1209" s="4">
        <v>0</v>
      </c>
      <c r="K1209" s="4">
        <v>17.82</v>
      </c>
      <c r="L1209" s="4">
        <v>0</v>
      </c>
      <c r="M1209" s="12" t="s">
        <v>571</v>
      </c>
      <c r="N1209" s="13">
        <f t="shared" si="33"/>
        <v>17.82</v>
      </c>
    </row>
    <row r="1210" spans="1:14">
      <c r="A1210" s="12">
        <v>1209</v>
      </c>
      <c r="B1210" s="1" t="s">
        <v>1807</v>
      </c>
      <c r="C1210" s="42" t="s">
        <v>1808</v>
      </c>
      <c r="D1210" s="42" t="s">
        <v>2010</v>
      </c>
      <c r="E1210" s="42" t="s">
        <v>1922</v>
      </c>
      <c r="F1210" s="4">
        <v>1995</v>
      </c>
      <c r="G1210" s="47" t="s">
        <v>60</v>
      </c>
      <c r="H1210" s="29" t="s">
        <v>1810</v>
      </c>
      <c r="I1210" s="4">
        <v>47.5</v>
      </c>
      <c r="J1210" s="4">
        <v>47.5</v>
      </c>
      <c r="K1210" s="4">
        <v>0</v>
      </c>
      <c r="L1210" s="4">
        <v>0</v>
      </c>
      <c r="M1210" s="12" t="s">
        <v>571</v>
      </c>
      <c r="N1210" s="13">
        <f t="shared" si="33"/>
        <v>95</v>
      </c>
    </row>
    <row r="1211" spans="1:14">
      <c r="A1211" s="12">
        <v>1210</v>
      </c>
      <c r="B1211" s="1" t="s">
        <v>2011</v>
      </c>
      <c r="C1211" s="42" t="s">
        <v>2012</v>
      </c>
      <c r="D1211" s="42" t="s">
        <v>2013</v>
      </c>
      <c r="E1211" s="42" t="s">
        <v>1853</v>
      </c>
      <c r="F1211" s="4">
        <v>1499</v>
      </c>
      <c r="G1211" s="47" t="s">
        <v>1772</v>
      </c>
      <c r="H1211" s="12">
        <v>4202</v>
      </c>
      <c r="I1211" s="4">
        <v>0</v>
      </c>
      <c r="J1211" s="4">
        <v>0</v>
      </c>
      <c r="K1211" s="4">
        <v>228.66</v>
      </c>
      <c r="L1211" s="4">
        <v>0</v>
      </c>
      <c r="M1211" s="12" t="s">
        <v>571</v>
      </c>
      <c r="N1211" s="13">
        <f t="shared" si="33"/>
        <v>228.66</v>
      </c>
    </row>
    <row r="1212" spans="1:14">
      <c r="A1212" s="12">
        <v>1211</v>
      </c>
      <c r="B1212" s="1" t="s">
        <v>1820</v>
      </c>
      <c r="C1212" s="42" t="s">
        <v>1821</v>
      </c>
      <c r="D1212" s="42" t="s">
        <v>2014</v>
      </c>
      <c r="E1212" s="42" t="s">
        <v>1920</v>
      </c>
      <c r="F1212" s="4">
        <v>12810</v>
      </c>
      <c r="G1212" s="47" t="s">
        <v>60</v>
      </c>
      <c r="H1212" s="29" t="s">
        <v>1806</v>
      </c>
      <c r="I1212" s="4">
        <v>0</v>
      </c>
      <c r="J1212" s="4">
        <v>0</v>
      </c>
      <c r="K1212" s="4">
        <v>610</v>
      </c>
      <c r="L1212" s="4">
        <v>0</v>
      </c>
      <c r="M1212" s="12" t="s">
        <v>571</v>
      </c>
      <c r="N1212" s="13">
        <f t="shared" si="33"/>
        <v>610</v>
      </c>
    </row>
    <row r="1213" spans="1:14">
      <c r="A1213" s="12">
        <v>1212</v>
      </c>
      <c r="B1213" s="1" t="s">
        <v>1820</v>
      </c>
      <c r="C1213" s="42" t="s">
        <v>1821</v>
      </c>
      <c r="D1213" s="42" t="s">
        <v>2015</v>
      </c>
      <c r="E1213" s="42" t="s">
        <v>1929</v>
      </c>
      <c r="F1213" s="4">
        <v>11813</v>
      </c>
      <c r="G1213" s="47" t="s">
        <v>60</v>
      </c>
      <c r="H1213" s="29" t="s">
        <v>1641</v>
      </c>
      <c r="I1213" s="4">
        <v>0</v>
      </c>
      <c r="J1213" s="4">
        <v>0</v>
      </c>
      <c r="K1213" s="4">
        <v>562.5</v>
      </c>
      <c r="L1213" s="4">
        <v>0</v>
      </c>
      <c r="M1213" s="12" t="s">
        <v>571</v>
      </c>
      <c r="N1213" s="13">
        <f t="shared" si="33"/>
        <v>562.5</v>
      </c>
    </row>
    <row r="1214" spans="1:14">
      <c r="A1214" s="12">
        <v>1213</v>
      </c>
      <c r="B1214" s="1" t="s">
        <v>2016</v>
      </c>
      <c r="C1214" s="42" t="s">
        <v>2017</v>
      </c>
      <c r="D1214" s="42" t="s">
        <v>2018</v>
      </c>
      <c r="E1214" s="42" t="s">
        <v>1933</v>
      </c>
      <c r="F1214" s="4">
        <v>15840</v>
      </c>
      <c r="G1214" s="47" t="s">
        <v>60</v>
      </c>
      <c r="H1214" s="12">
        <v>7013</v>
      </c>
      <c r="I1214" s="4">
        <v>0</v>
      </c>
      <c r="J1214" s="4">
        <v>0</v>
      </c>
      <c r="K1214" s="4">
        <v>2416.27</v>
      </c>
      <c r="L1214" s="4">
        <v>0</v>
      </c>
      <c r="M1214" s="12" t="s">
        <v>571</v>
      </c>
      <c r="N1214" s="13">
        <f t="shared" si="33"/>
        <v>2416.27</v>
      </c>
    </row>
    <row r="1215" spans="1:14">
      <c r="A1215" s="12">
        <v>1214</v>
      </c>
      <c r="B1215" s="1" t="s">
        <v>2016</v>
      </c>
      <c r="C1215" s="42" t="s">
        <v>2017</v>
      </c>
      <c r="D1215" s="42" t="s">
        <v>2019</v>
      </c>
      <c r="E1215" s="42" t="s">
        <v>1909</v>
      </c>
      <c r="F1215" s="4">
        <v>6600</v>
      </c>
      <c r="G1215" s="47" t="s">
        <v>60</v>
      </c>
      <c r="H1215" s="12">
        <v>7013</v>
      </c>
      <c r="I1215" s="4">
        <v>0</v>
      </c>
      <c r="J1215" s="4">
        <v>0</v>
      </c>
      <c r="K1215" s="4">
        <v>1006.78</v>
      </c>
      <c r="L1215" s="4">
        <v>0</v>
      </c>
      <c r="M1215" s="12" t="s">
        <v>571</v>
      </c>
      <c r="N1215" s="13">
        <f t="shared" si="33"/>
        <v>1006.78</v>
      </c>
    </row>
    <row r="1216" spans="1:14">
      <c r="A1216" s="12">
        <v>1215</v>
      </c>
      <c r="B1216" s="1" t="s">
        <v>2020</v>
      </c>
      <c r="C1216" s="42" t="s">
        <v>2021</v>
      </c>
      <c r="D1216" s="42" t="s">
        <v>2022</v>
      </c>
      <c r="E1216" s="42" t="s">
        <v>1855</v>
      </c>
      <c r="F1216" s="4">
        <v>1121.47</v>
      </c>
      <c r="G1216" s="47" t="s">
        <v>570</v>
      </c>
      <c r="H1216" s="12">
        <v>998311</v>
      </c>
      <c r="I1216" s="4">
        <v>85.54</v>
      </c>
      <c r="J1216" s="4">
        <v>85.54</v>
      </c>
      <c r="K1216" s="4">
        <v>0</v>
      </c>
      <c r="L1216" s="4">
        <v>0</v>
      </c>
      <c r="M1216" s="12" t="s">
        <v>571</v>
      </c>
      <c r="N1216" s="13">
        <f t="shared" si="33"/>
        <v>171.08</v>
      </c>
    </row>
    <row r="1217" spans="1:14">
      <c r="A1217" s="12">
        <v>1216</v>
      </c>
      <c r="B1217" s="1" t="s">
        <v>1799</v>
      </c>
      <c r="C1217" s="42" t="s">
        <v>1800</v>
      </c>
      <c r="D1217" s="42" t="s">
        <v>2023</v>
      </c>
      <c r="E1217" s="42" t="s">
        <v>1855</v>
      </c>
      <c r="F1217" s="4">
        <v>1046.45</v>
      </c>
      <c r="G1217" s="47" t="s">
        <v>570</v>
      </c>
      <c r="H1217" s="12">
        <v>997159</v>
      </c>
      <c r="I1217" s="4">
        <v>79.81</v>
      </c>
      <c r="J1217" s="4">
        <v>79.81</v>
      </c>
      <c r="K1217" s="4">
        <v>0</v>
      </c>
      <c r="L1217" s="4">
        <v>0</v>
      </c>
      <c r="M1217" s="12" t="s">
        <v>571</v>
      </c>
      <c r="N1217" s="13">
        <f t="shared" si="33"/>
        <v>159.62</v>
      </c>
    </row>
    <row r="1218" spans="1:14">
      <c r="A1218" s="12">
        <v>1217</v>
      </c>
      <c r="B1218" s="1" t="s">
        <v>2024</v>
      </c>
      <c r="C1218" s="42" t="s">
        <v>2025</v>
      </c>
      <c r="D1218" s="42" t="s">
        <v>2026</v>
      </c>
      <c r="E1218" s="42" t="s">
        <v>2027</v>
      </c>
      <c r="F1218" s="4">
        <v>24532</v>
      </c>
      <c r="G1218" s="47" t="s">
        <v>60</v>
      </c>
      <c r="H1218" s="12">
        <v>4514</v>
      </c>
      <c r="I1218" s="4">
        <v>1871.1</v>
      </c>
      <c r="J1218" s="4">
        <v>1871.1</v>
      </c>
      <c r="K1218" s="4">
        <v>0</v>
      </c>
      <c r="L1218" s="4">
        <v>0</v>
      </c>
      <c r="M1218" s="12" t="s">
        <v>571</v>
      </c>
      <c r="N1218" s="13">
        <f t="shared" si="33"/>
        <v>3742.2</v>
      </c>
    </row>
    <row r="1219" spans="1:14">
      <c r="A1219" s="12">
        <v>1218</v>
      </c>
      <c r="B1219" s="1" t="s">
        <v>1844</v>
      </c>
      <c r="C1219" s="42" t="s">
        <v>1845</v>
      </c>
      <c r="D1219" s="42" t="s">
        <v>2028</v>
      </c>
      <c r="E1219" s="42" t="s">
        <v>1855</v>
      </c>
      <c r="F1219" s="4">
        <v>2033.99</v>
      </c>
      <c r="G1219" s="47" t="s">
        <v>570</v>
      </c>
      <c r="H1219" s="12">
        <v>997158</v>
      </c>
      <c r="I1219" s="4">
        <v>0</v>
      </c>
      <c r="J1219" s="4">
        <v>0</v>
      </c>
      <c r="K1219" s="4">
        <v>0</v>
      </c>
      <c r="L1219" s="4">
        <v>0</v>
      </c>
      <c r="M1219" s="12" t="s">
        <v>571</v>
      </c>
      <c r="N1219" s="13">
        <f t="shared" si="33"/>
        <v>0</v>
      </c>
    </row>
    <row r="1220" spans="1:14">
      <c r="A1220" s="12">
        <v>1219</v>
      </c>
      <c r="B1220" s="1" t="s">
        <v>1844</v>
      </c>
      <c r="C1220" s="42" t="s">
        <v>1845</v>
      </c>
      <c r="D1220" s="42" t="s">
        <v>2028</v>
      </c>
      <c r="E1220" s="42" t="s">
        <v>1855</v>
      </c>
      <c r="F1220" s="4">
        <v>2033.99</v>
      </c>
      <c r="G1220" s="47" t="s">
        <v>570</v>
      </c>
      <c r="H1220" s="12">
        <v>997158</v>
      </c>
      <c r="I1220" s="4">
        <v>0</v>
      </c>
      <c r="J1220" s="4">
        <v>0</v>
      </c>
      <c r="K1220" s="4">
        <v>291.32</v>
      </c>
      <c r="L1220" s="4">
        <v>0</v>
      </c>
      <c r="M1220" s="12" t="s">
        <v>571</v>
      </c>
      <c r="N1220" s="13">
        <f t="shared" si="33"/>
        <v>291.32</v>
      </c>
    </row>
    <row r="1221" spans="1:14">
      <c r="A1221" s="12">
        <v>1220</v>
      </c>
      <c r="B1221" s="1" t="s">
        <v>1793</v>
      </c>
      <c r="C1221" s="42" t="s">
        <v>1794</v>
      </c>
      <c r="D1221" s="42" t="s">
        <v>2029</v>
      </c>
      <c r="E1221" s="42" t="s">
        <v>1855</v>
      </c>
      <c r="F1221" s="4">
        <v>36698.04</v>
      </c>
      <c r="G1221" s="47" t="s">
        <v>570</v>
      </c>
      <c r="H1221" s="12">
        <v>996812</v>
      </c>
      <c r="I1221" s="4">
        <v>2799</v>
      </c>
      <c r="J1221" s="4">
        <v>2799</v>
      </c>
      <c r="K1221" s="4">
        <v>0</v>
      </c>
      <c r="L1221" s="4">
        <v>0</v>
      </c>
      <c r="M1221" s="12" t="s">
        <v>571</v>
      </c>
      <c r="N1221" s="13">
        <f t="shared" si="33"/>
        <v>5598</v>
      </c>
    </row>
    <row r="1222" spans="1:14">
      <c r="A1222" s="12">
        <v>1221</v>
      </c>
      <c r="B1222" s="1" t="s">
        <v>1793</v>
      </c>
      <c r="C1222" s="42" t="s">
        <v>1794</v>
      </c>
      <c r="D1222" s="42" t="s">
        <v>2030</v>
      </c>
      <c r="E1222" s="42" t="s">
        <v>1855</v>
      </c>
      <c r="F1222" s="4">
        <v>1965.46</v>
      </c>
      <c r="G1222" s="47" t="s">
        <v>570</v>
      </c>
      <c r="H1222" s="12">
        <v>996812</v>
      </c>
      <c r="I1222" s="4">
        <v>149.91</v>
      </c>
      <c r="J1222" s="4">
        <v>149.91</v>
      </c>
      <c r="K1222" s="4">
        <v>0</v>
      </c>
      <c r="L1222" s="4">
        <v>0</v>
      </c>
      <c r="M1222" s="12" t="s">
        <v>571</v>
      </c>
      <c r="N1222" s="13">
        <f t="shared" si="33"/>
        <v>299.82</v>
      </c>
    </row>
    <row r="1223" spans="1:14">
      <c r="A1223" s="12">
        <v>1222</v>
      </c>
      <c r="B1223" s="1" t="s">
        <v>1793</v>
      </c>
      <c r="C1223" s="42" t="s">
        <v>1794</v>
      </c>
      <c r="D1223" s="42" t="s">
        <v>2031</v>
      </c>
      <c r="E1223" s="42" t="s">
        <v>1855</v>
      </c>
      <c r="F1223" s="4">
        <v>91760.23</v>
      </c>
      <c r="G1223" s="47" t="s">
        <v>570</v>
      </c>
      <c r="H1223" s="12">
        <v>996812</v>
      </c>
      <c r="I1223" s="4">
        <v>0</v>
      </c>
      <c r="J1223" s="4">
        <v>0</v>
      </c>
      <c r="K1223" s="4">
        <v>13997.32</v>
      </c>
      <c r="L1223" s="4">
        <v>0</v>
      </c>
      <c r="M1223" s="12" t="s">
        <v>571</v>
      </c>
      <c r="N1223" s="13">
        <f t="shared" si="33"/>
        <v>13997.32</v>
      </c>
    </row>
    <row r="1224" spans="1:14">
      <c r="A1224" s="12">
        <v>1223</v>
      </c>
      <c r="B1224" s="1" t="s">
        <v>2032</v>
      </c>
      <c r="C1224" s="42" t="s">
        <v>2033</v>
      </c>
      <c r="D1224" s="42" t="s">
        <v>2034</v>
      </c>
      <c r="E1224" s="42" t="s">
        <v>1976</v>
      </c>
      <c r="F1224" s="4">
        <v>33750</v>
      </c>
      <c r="G1224" s="47" t="s">
        <v>1772</v>
      </c>
      <c r="H1224" s="12">
        <v>48021010</v>
      </c>
      <c r="I1224" s="4">
        <v>2574.16</v>
      </c>
      <c r="J1224" s="4">
        <v>2574.16</v>
      </c>
      <c r="K1224" s="4">
        <v>0</v>
      </c>
      <c r="L1224" s="4">
        <v>0</v>
      </c>
      <c r="M1224" s="12" t="s">
        <v>571</v>
      </c>
      <c r="N1224" s="13">
        <f t="shared" si="33"/>
        <v>5148.32</v>
      </c>
    </row>
    <row r="1225" spans="1:14">
      <c r="A1225" s="12">
        <v>1224</v>
      </c>
      <c r="B1225" s="1" t="s">
        <v>2035</v>
      </c>
      <c r="C1225" s="42" t="s">
        <v>2036</v>
      </c>
      <c r="D1225" s="42" t="s">
        <v>2037</v>
      </c>
      <c r="E1225" s="43" t="s">
        <v>2038</v>
      </c>
      <c r="F1225" s="4">
        <v>399</v>
      </c>
      <c r="G1225" s="47" t="s">
        <v>1772</v>
      </c>
      <c r="H1225" s="12">
        <v>5810</v>
      </c>
      <c r="I1225" s="4">
        <v>0</v>
      </c>
      <c r="J1225" s="4">
        <v>0</v>
      </c>
      <c r="K1225" s="4">
        <v>19</v>
      </c>
      <c r="L1225" s="4">
        <v>0</v>
      </c>
      <c r="M1225" s="12" t="s">
        <v>571</v>
      </c>
      <c r="N1225" s="13">
        <f t="shared" si="33"/>
        <v>19</v>
      </c>
    </row>
    <row r="1226" spans="1:14">
      <c r="A1226" s="12">
        <v>1225</v>
      </c>
      <c r="B1226" s="1" t="s">
        <v>1766</v>
      </c>
      <c r="C1226" s="42" t="s">
        <v>1767</v>
      </c>
      <c r="D1226" s="42" t="s">
        <v>2039</v>
      </c>
      <c r="E1226" s="42" t="s">
        <v>1866</v>
      </c>
      <c r="F1226" s="4">
        <v>4655.1000000000004</v>
      </c>
      <c r="G1226" s="47" t="s">
        <v>570</v>
      </c>
      <c r="H1226" s="12">
        <v>996511</v>
      </c>
      <c r="I1226" s="4">
        <v>0</v>
      </c>
      <c r="J1226" s="4">
        <v>0</v>
      </c>
      <c r="K1226" s="4">
        <v>710.1</v>
      </c>
      <c r="L1226" s="4">
        <v>0</v>
      </c>
      <c r="M1226" s="12" t="s">
        <v>571</v>
      </c>
      <c r="N1226" s="13">
        <f t="shared" si="33"/>
        <v>710.1</v>
      </c>
    </row>
    <row r="1227" spans="1:14">
      <c r="A1227" s="12">
        <v>1226</v>
      </c>
      <c r="B1227" s="1" t="s">
        <v>2040</v>
      </c>
      <c r="C1227" s="42" t="s">
        <v>2041</v>
      </c>
      <c r="D1227" s="42" t="s">
        <v>2042</v>
      </c>
      <c r="E1227" s="42" t="s">
        <v>1888</v>
      </c>
      <c r="F1227" s="4">
        <v>736</v>
      </c>
      <c r="G1227" s="47" t="s">
        <v>570</v>
      </c>
      <c r="H1227" s="12">
        <v>998346</v>
      </c>
      <c r="I1227" s="4">
        <v>0</v>
      </c>
      <c r="J1227" s="4">
        <v>0</v>
      </c>
      <c r="K1227" s="4">
        <v>3</v>
      </c>
      <c r="L1227" s="4">
        <v>0</v>
      </c>
      <c r="M1227" s="12" t="s">
        <v>571</v>
      </c>
      <c r="N1227" s="13">
        <f t="shared" si="33"/>
        <v>3</v>
      </c>
    </row>
    <row r="1228" spans="1:14">
      <c r="A1228" s="12">
        <v>1227</v>
      </c>
      <c r="B1228" s="1" t="s">
        <v>2040</v>
      </c>
      <c r="C1228" s="42" t="s">
        <v>2041</v>
      </c>
      <c r="D1228" s="42" t="s">
        <v>2042</v>
      </c>
      <c r="E1228" s="42" t="s">
        <v>1888</v>
      </c>
      <c r="F1228" s="4">
        <v>736</v>
      </c>
      <c r="G1228" s="47" t="s">
        <v>570</v>
      </c>
      <c r="H1228" s="12">
        <v>998346</v>
      </c>
      <c r="I1228" s="4">
        <v>0</v>
      </c>
      <c r="J1228" s="4">
        <v>0</v>
      </c>
      <c r="K1228" s="4">
        <v>108</v>
      </c>
      <c r="L1228" s="4">
        <v>0</v>
      </c>
      <c r="M1228" s="12" t="s">
        <v>571</v>
      </c>
      <c r="N1228" s="13">
        <f t="shared" si="33"/>
        <v>108</v>
      </c>
    </row>
    <row r="1229" spans="1:14">
      <c r="A1229" s="12">
        <v>1228</v>
      </c>
      <c r="B1229" s="1" t="s">
        <v>2043</v>
      </c>
      <c r="C1229" s="42" t="s">
        <v>2044</v>
      </c>
      <c r="D1229" s="42" t="s">
        <v>2045</v>
      </c>
      <c r="E1229" s="42" t="s">
        <v>1907</v>
      </c>
      <c r="F1229" s="4">
        <v>5310</v>
      </c>
      <c r="G1229" s="47" t="s">
        <v>2046</v>
      </c>
      <c r="H1229" s="12">
        <v>84799090</v>
      </c>
      <c r="I1229" s="4">
        <v>405</v>
      </c>
      <c r="J1229" s="4">
        <v>405</v>
      </c>
      <c r="K1229" s="4">
        <v>0</v>
      </c>
      <c r="L1229" s="4">
        <v>0</v>
      </c>
      <c r="M1229" s="14" t="s">
        <v>157</v>
      </c>
      <c r="N1229" s="15" t="s">
        <v>202</v>
      </c>
    </row>
    <row r="1230" spans="1:14">
      <c r="A1230" s="12">
        <v>1229</v>
      </c>
      <c r="B1230" s="1" t="s">
        <v>2047</v>
      </c>
      <c r="C1230" s="42" t="s">
        <v>2048</v>
      </c>
      <c r="D1230" s="42" t="s">
        <v>2049</v>
      </c>
      <c r="E1230" s="42" t="s">
        <v>1670</v>
      </c>
      <c r="F1230" s="4">
        <v>54000</v>
      </c>
      <c r="G1230" s="47" t="s">
        <v>60</v>
      </c>
      <c r="H1230" s="29" t="s">
        <v>1700</v>
      </c>
      <c r="I1230" s="4">
        <v>0</v>
      </c>
      <c r="J1230" s="4">
        <v>0</v>
      </c>
      <c r="K1230" s="4">
        <v>2500</v>
      </c>
      <c r="L1230" s="4">
        <v>0</v>
      </c>
      <c r="M1230" s="12" t="s">
        <v>571</v>
      </c>
      <c r="N1230" s="13">
        <f t="shared" ref="N1230:N1293" si="34">SUM(I1230:K1230)</f>
        <v>2500</v>
      </c>
    </row>
    <row r="1231" spans="1:14">
      <c r="A1231" s="12">
        <v>1230</v>
      </c>
      <c r="B1231" s="1" t="s">
        <v>2050</v>
      </c>
      <c r="C1231" s="42" t="s">
        <v>2051</v>
      </c>
      <c r="D1231" s="42" t="s">
        <v>2052</v>
      </c>
      <c r="E1231" s="42" t="s">
        <v>1888</v>
      </c>
      <c r="F1231" s="4">
        <v>35400</v>
      </c>
      <c r="G1231" s="47" t="s">
        <v>570</v>
      </c>
      <c r="H1231" s="12">
        <v>998382</v>
      </c>
      <c r="I1231" s="4">
        <v>2700</v>
      </c>
      <c r="J1231" s="4">
        <v>2700</v>
      </c>
      <c r="K1231" s="4">
        <v>0</v>
      </c>
      <c r="L1231" s="4">
        <v>0</v>
      </c>
      <c r="M1231" s="12" t="s">
        <v>571</v>
      </c>
      <c r="N1231" s="13">
        <f t="shared" si="34"/>
        <v>5400</v>
      </c>
    </row>
    <row r="1232" spans="1:14">
      <c r="A1232" s="12">
        <v>1231</v>
      </c>
      <c r="B1232" s="1" t="s">
        <v>1620</v>
      </c>
      <c r="C1232" s="42" t="s">
        <v>1621</v>
      </c>
      <c r="D1232" s="42" t="s">
        <v>2053</v>
      </c>
      <c r="E1232" s="42" t="s">
        <v>1909</v>
      </c>
      <c r="F1232" s="4">
        <v>413</v>
      </c>
      <c r="G1232" s="47" t="s">
        <v>570</v>
      </c>
      <c r="H1232" s="12">
        <v>997159</v>
      </c>
      <c r="I1232" s="4">
        <v>0</v>
      </c>
      <c r="J1232" s="4">
        <v>0</v>
      </c>
      <c r="K1232" s="4">
        <v>63</v>
      </c>
      <c r="L1232" s="4">
        <v>0</v>
      </c>
      <c r="M1232" s="12" t="s">
        <v>571</v>
      </c>
      <c r="N1232" s="13">
        <f t="shared" si="34"/>
        <v>63</v>
      </c>
    </row>
    <row r="1233" spans="1:14">
      <c r="A1233" s="12">
        <v>1232</v>
      </c>
      <c r="B1233" s="1" t="s">
        <v>1620</v>
      </c>
      <c r="C1233" s="42" t="s">
        <v>1621</v>
      </c>
      <c r="D1233" s="42" t="s">
        <v>2054</v>
      </c>
      <c r="E1233" s="42" t="s">
        <v>1855</v>
      </c>
      <c r="F1233" s="4">
        <v>3690.07</v>
      </c>
      <c r="G1233" s="47" t="s">
        <v>570</v>
      </c>
      <c r="H1233" s="12">
        <v>997159</v>
      </c>
      <c r="I1233" s="4">
        <v>0</v>
      </c>
      <c r="J1233" s="4">
        <v>0</v>
      </c>
      <c r="K1233" s="4">
        <v>562.89</v>
      </c>
      <c r="L1233" s="4">
        <v>0</v>
      </c>
      <c r="M1233" s="12" t="s">
        <v>571</v>
      </c>
      <c r="N1233" s="13">
        <f t="shared" si="34"/>
        <v>562.89</v>
      </c>
    </row>
    <row r="1234" spans="1:14">
      <c r="A1234" s="12">
        <v>1233</v>
      </c>
      <c r="B1234" s="1" t="s">
        <v>1691</v>
      </c>
      <c r="C1234" s="42" t="s">
        <v>1692</v>
      </c>
      <c r="D1234" s="42" t="s">
        <v>2055</v>
      </c>
      <c r="E1234" s="42" t="s">
        <v>1855</v>
      </c>
      <c r="F1234" s="4">
        <v>6547.82</v>
      </c>
      <c r="G1234" s="47" t="s">
        <v>570</v>
      </c>
      <c r="H1234" s="12">
        <v>997159</v>
      </c>
      <c r="I1234" s="4">
        <v>0</v>
      </c>
      <c r="J1234" s="4">
        <v>0</v>
      </c>
      <c r="K1234" s="4">
        <v>998.82</v>
      </c>
      <c r="L1234" s="4">
        <v>0</v>
      </c>
      <c r="M1234" s="12" t="s">
        <v>571</v>
      </c>
      <c r="N1234" s="13">
        <f t="shared" si="34"/>
        <v>998.82</v>
      </c>
    </row>
    <row r="1235" spans="1:14">
      <c r="A1235" s="12">
        <v>1234</v>
      </c>
      <c r="B1235" s="1" t="s">
        <v>1832</v>
      </c>
      <c r="C1235" s="42" t="s">
        <v>1833</v>
      </c>
      <c r="D1235" s="42" t="s">
        <v>2056</v>
      </c>
      <c r="E1235" s="42" t="s">
        <v>1909</v>
      </c>
      <c r="F1235" s="4">
        <v>18900</v>
      </c>
      <c r="G1235" s="47" t="s">
        <v>60</v>
      </c>
      <c r="H1235" s="29" t="s">
        <v>1835</v>
      </c>
      <c r="I1235" s="4">
        <v>450</v>
      </c>
      <c r="J1235" s="4">
        <v>450</v>
      </c>
      <c r="K1235" s="4">
        <v>0</v>
      </c>
      <c r="L1235" s="4">
        <v>0</v>
      </c>
      <c r="M1235" s="12" t="s">
        <v>571</v>
      </c>
      <c r="N1235" s="13">
        <f t="shared" si="34"/>
        <v>900</v>
      </c>
    </row>
    <row r="1236" spans="1:14">
      <c r="A1236" s="12">
        <v>1235</v>
      </c>
      <c r="B1236" s="1" t="s">
        <v>1832</v>
      </c>
      <c r="C1236" s="42" t="s">
        <v>1833</v>
      </c>
      <c r="D1236" s="42" t="s">
        <v>2057</v>
      </c>
      <c r="E1236" s="42" t="s">
        <v>1913</v>
      </c>
      <c r="F1236" s="4">
        <v>9366</v>
      </c>
      <c r="G1236" s="47" t="s">
        <v>60</v>
      </c>
      <c r="H1236" s="29" t="s">
        <v>1835</v>
      </c>
      <c r="I1236" s="4">
        <v>223</v>
      </c>
      <c r="J1236" s="4">
        <v>223</v>
      </c>
      <c r="K1236" s="4">
        <v>0</v>
      </c>
      <c r="L1236" s="4">
        <v>0</v>
      </c>
      <c r="M1236" s="12" t="s">
        <v>571</v>
      </c>
      <c r="N1236" s="13">
        <f t="shared" si="34"/>
        <v>446</v>
      </c>
    </row>
    <row r="1237" spans="1:14">
      <c r="A1237" s="12">
        <v>1236</v>
      </c>
      <c r="B1237" s="1" t="s">
        <v>1832</v>
      </c>
      <c r="C1237" s="42" t="s">
        <v>1833</v>
      </c>
      <c r="D1237" s="42" t="s">
        <v>2058</v>
      </c>
      <c r="E1237" s="42" t="s">
        <v>1868</v>
      </c>
      <c r="F1237" s="4">
        <v>27825</v>
      </c>
      <c r="G1237" s="47" t="s">
        <v>60</v>
      </c>
      <c r="H1237" s="29" t="s">
        <v>1835</v>
      </c>
      <c r="I1237" s="4">
        <v>662.5</v>
      </c>
      <c r="J1237" s="4">
        <v>662.5</v>
      </c>
      <c r="K1237" s="4">
        <v>0</v>
      </c>
      <c r="L1237" s="4">
        <v>0</v>
      </c>
      <c r="M1237" s="12" t="s">
        <v>571</v>
      </c>
      <c r="N1237" s="13">
        <f t="shared" si="34"/>
        <v>1325</v>
      </c>
    </row>
    <row r="1238" spans="1:14">
      <c r="A1238" s="12">
        <v>1237</v>
      </c>
      <c r="B1238" s="1" t="s">
        <v>1832</v>
      </c>
      <c r="C1238" s="42" t="s">
        <v>1833</v>
      </c>
      <c r="D1238" s="42" t="s">
        <v>2059</v>
      </c>
      <c r="E1238" s="42" t="s">
        <v>1866</v>
      </c>
      <c r="F1238" s="4">
        <v>1821</v>
      </c>
      <c r="G1238" s="47" t="s">
        <v>60</v>
      </c>
      <c r="H1238" s="29" t="s">
        <v>1835</v>
      </c>
      <c r="I1238" s="4">
        <v>43.35</v>
      </c>
      <c r="J1238" s="4">
        <v>43.35</v>
      </c>
      <c r="K1238" s="4">
        <v>0</v>
      </c>
      <c r="L1238" s="4">
        <v>0</v>
      </c>
      <c r="M1238" s="12" t="s">
        <v>571</v>
      </c>
      <c r="N1238" s="13">
        <f t="shared" si="34"/>
        <v>86.7</v>
      </c>
    </row>
    <row r="1239" spans="1:14">
      <c r="A1239" s="12">
        <v>1238</v>
      </c>
      <c r="B1239" s="1" t="s">
        <v>1687</v>
      </c>
      <c r="C1239" s="42" t="s">
        <v>1688</v>
      </c>
      <c r="D1239" s="42" t="s">
        <v>2060</v>
      </c>
      <c r="E1239" s="42" t="s">
        <v>1931</v>
      </c>
      <c r="F1239" s="4">
        <v>42405</v>
      </c>
      <c r="G1239" s="47" t="s">
        <v>60</v>
      </c>
      <c r="H1239" s="29" t="s">
        <v>1641</v>
      </c>
      <c r="I1239" s="4">
        <v>1009.65</v>
      </c>
      <c r="J1239" s="4">
        <v>1009.65</v>
      </c>
      <c r="K1239" s="4">
        <v>0</v>
      </c>
      <c r="L1239" s="4">
        <v>0</v>
      </c>
      <c r="M1239" s="12" t="s">
        <v>571</v>
      </c>
      <c r="N1239" s="13">
        <f t="shared" si="34"/>
        <v>2019.3</v>
      </c>
    </row>
    <row r="1240" spans="1:14">
      <c r="A1240" s="12">
        <v>1239</v>
      </c>
      <c r="B1240" s="1" t="s">
        <v>1824</v>
      </c>
      <c r="C1240" s="42" t="s">
        <v>1825</v>
      </c>
      <c r="D1240" s="42" t="s">
        <v>2061</v>
      </c>
      <c r="E1240" s="42" t="s">
        <v>1855</v>
      </c>
      <c r="F1240" s="4">
        <v>3798.08</v>
      </c>
      <c r="G1240" s="47" t="s">
        <v>570</v>
      </c>
      <c r="H1240" s="12">
        <v>997159</v>
      </c>
      <c r="I1240" s="4">
        <v>0</v>
      </c>
      <c r="J1240" s="4">
        <v>0</v>
      </c>
      <c r="K1240" s="4">
        <v>579.29</v>
      </c>
      <c r="L1240" s="4">
        <v>0</v>
      </c>
      <c r="M1240" s="12" t="s">
        <v>571</v>
      </c>
      <c r="N1240" s="13">
        <f t="shared" si="34"/>
        <v>579.29</v>
      </c>
    </row>
    <row r="1241" spans="1:14">
      <c r="A1241" s="12">
        <v>1240</v>
      </c>
      <c r="B1241" s="1" t="s">
        <v>1824</v>
      </c>
      <c r="C1241" s="42" t="s">
        <v>1825</v>
      </c>
      <c r="D1241" s="42" t="s">
        <v>2062</v>
      </c>
      <c r="E1241" s="42" t="s">
        <v>1855</v>
      </c>
      <c r="F1241" s="4">
        <v>111.36</v>
      </c>
      <c r="G1241" s="47" t="s">
        <v>570</v>
      </c>
      <c r="H1241" s="12">
        <v>997159</v>
      </c>
      <c r="I1241" s="4">
        <v>0</v>
      </c>
      <c r="J1241" s="4">
        <v>0</v>
      </c>
      <c r="K1241" s="4">
        <v>16.98</v>
      </c>
      <c r="L1241" s="4">
        <v>0</v>
      </c>
      <c r="M1241" s="12" t="s">
        <v>571</v>
      </c>
      <c r="N1241" s="13">
        <f t="shared" si="34"/>
        <v>16.98</v>
      </c>
    </row>
    <row r="1242" spans="1:14">
      <c r="A1242" s="12">
        <v>1241</v>
      </c>
      <c r="B1242" s="1" t="s">
        <v>1824</v>
      </c>
      <c r="C1242" s="42" t="s">
        <v>1825</v>
      </c>
      <c r="D1242" s="42" t="s">
        <v>2063</v>
      </c>
      <c r="E1242" s="42" t="s">
        <v>1855</v>
      </c>
      <c r="F1242" s="4">
        <v>296.89999999999998</v>
      </c>
      <c r="G1242" s="47" t="s">
        <v>570</v>
      </c>
      <c r="H1242" s="12">
        <v>997159</v>
      </c>
      <c r="I1242" s="4">
        <v>0</v>
      </c>
      <c r="J1242" s="4">
        <v>0</v>
      </c>
      <c r="K1242" s="4">
        <v>45.26</v>
      </c>
      <c r="L1242" s="4">
        <v>0</v>
      </c>
      <c r="M1242" s="12" t="s">
        <v>571</v>
      </c>
      <c r="N1242" s="13">
        <f t="shared" si="34"/>
        <v>45.26</v>
      </c>
    </row>
    <row r="1243" spans="1:14">
      <c r="A1243" s="12">
        <v>1242</v>
      </c>
      <c r="B1243" s="1" t="s">
        <v>805</v>
      </c>
      <c r="C1243" s="42" t="s">
        <v>806</v>
      </c>
      <c r="D1243" s="42" t="s">
        <v>2064</v>
      </c>
      <c r="E1243" s="42" t="s">
        <v>1855</v>
      </c>
      <c r="F1243" s="4">
        <v>3003.87</v>
      </c>
      <c r="G1243" s="47" t="s">
        <v>570</v>
      </c>
      <c r="H1243" s="29" t="s">
        <v>847</v>
      </c>
      <c r="I1243" s="4">
        <v>0</v>
      </c>
      <c r="J1243" s="4">
        <v>0</v>
      </c>
      <c r="K1243" s="4">
        <v>458.22</v>
      </c>
      <c r="L1243" s="4">
        <v>0</v>
      </c>
      <c r="M1243" s="12" t="s">
        <v>571</v>
      </c>
      <c r="N1243" s="13">
        <f t="shared" si="34"/>
        <v>458.22</v>
      </c>
    </row>
    <row r="1244" spans="1:14">
      <c r="A1244" s="12">
        <v>1243</v>
      </c>
      <c r="B1244" s="1" t="s">
        <v>1730</v>
      </c>
      <c r="C1244" s="42" t="s">
        <v>1731</v>
      </c>
      <c r="D1244" s="42" t="s">
        <v>2065</v>
      </c>
      <c r="E1244" s="42" t="s">
        <v>1895</v>
      </c>
      <c r="F1244" s="4">
        <v>354</v>
      </c>
      <c r="G1244" s="47" t="s">
        <v>570</v>
      </c>
      <c r="H1244" s="12">
        <v>997159</v>
      </c>
      <c r="I1244" s="4">
        <v>27</v>
      </c>
      <c r="J1244" s="4">
        <v>27</v>
      </c>
      <c r="K1244" s="4">
        <v>0</v>
      </c>
      <c r="L1244" s="4">
        <v>0</v>
      </c>
      <c r="M1244" s="12" t="s">
        <v>571</v>
      </c>
      <c r="N1244" s="13">
        <f t="shared" si="34"/>
        <v>54</v>
      </c>
    </row>
    <row r="1245" spans="1:14">
      <c r="A1245" s="12">
        <v>1244</v>
      </c>
      <c r="B1245" s="1" t="s">
        <v>2066</v>
      </c>
      <c r="C1245" s="42" t="s">
        <v>1794</v>
      </c>
      <c r="D1245" s="42" t="s">
        <v>2067</v>
      </c>
      <c r="E1245" s="42" t="s">
        <v>1855</v>
      </c>
      <c r="F1245" s="4">
        <v>8523.02</v>
      </c>
      <c r="G1245" s="47" t="s">
        <v>570</v>
      </c>
      <c r="H1245" s="12">
        <v>996812</v>
      </c>
      <c r="I1245" s="4">
        <v>0</v>
      </c>
      <c r="J1245" s="4">
        <v>0</v>
      </c>
      <c r="K1245" s="4">
        <v>1300.1199999999999</v>
      </c>
      <c r="L1245" s="4">
        <v>0</v>
      </c>
      <c r="M1245" s="12" t="s">
        <v>571</v>
      </c>
      <c r="N1245" s="13">
        <f t="shared" si="34"/>
        <v>1300.1199999999999</v>
      </c>
    </row>
    <row r="1246" spans="1:14">
      <c r="A1246" s="12">
        <v>1245</v>
      </c>
      <c r="B1246" s="1" t="s">
        <v>557</v>
      </c>
      <c r="C1246" s="42" t="s">
        <v>558</v>
      </c>
      <c r="D1246" s="42" t="s">
        <v>2068</v>
      </c>
      <c r="E1246" s="42" t="s">
        <v>1868</v>
      </c>
      <c r="F1246" s="12">
        <v>-0.13</v>
      </c>
      <c r="G1246" s="47" t="s">
        <v>570</v>
      </c>
      <c r="H1246" s="12">
        <v>998361</v>
      </c>
      <c r="I1246" s="12">
        <v>0</v>
      </c>
      <c r="J1246" s="12">
        <v>0</v>
      </c>
      <c r="K1246" s="12">
        <v>-0.02</v>
      </c>
      <c r="L1246" s="4">
        <v>0</v>
      </c>
      <c r="M1246" s="12" t="s">
        <v>571</v>
      </c>
      <c r="N1246" s="13">
        <f t="shared" si="34"/>
        <v>-0.02</v>
      </c>
    </row>
    <row r="1247" spans="1:14">
      <c r="A1247" s="12">
        <v>1246</v>
      </c>
      <c r="B1247" s="1" t="s">
        <v>557</v>
      </c>
      <c r="C1247" s="42" t="s">
        <v>558</v>
      </c>
      <c r="D1247" s="42" t="s">
        <v>2069</v>
      </c>
      <c r="E1247" s="42" t="s">
        <v>1868</v>
      </c>
      <c r="F1247" s="12">
        <v>-0.18</v>
      </c>
      <c r="G1247" s="47" t="s">
        <v>570</v>
      </c>
      <c r="H1247" s="12">
        <v>998361</v>
      </c>
      <c r="I1247" s="12">
        <v>0</v>
      </c>
      <c r="J1247" s="12">
        <v>0</v>
      </c>
      <c r="K1247" s="12">
        <v>-0.03</v>
      </c>
      <c r="L1247" s="4">
        <v>0</v>
      </c>
      <c r="M1247" s="12" t="s">
        <v>571</v>
      </c>
      <c r="N1247" s="13">
        <f t="shared" si="34"/>
        <v>-0.03</v>
      </c>
    </row>
    <row r="1248" spans="1:14">
      <c r="A1248" s="12">
        <v>1247</v>
      </c>
      <c r="B1248" s="1" t="s">
        <v>557</v>
      </c>
      <c r="C1248" s="42" t="s">
        <v>558</v>
      </c>
      <c r="D1248" s="42" t="s">
        <v>2070</v>
      </c>
      <c r="E1248" s="42" t="s">
        <v>1868</v>
      </c>
      <c r="F1248" s="12">
        <v>-0.06</v>
      </c>
      <c r="G1248" s="47" t="s">
        <v>570</v>
      </c>
      <c r="H1248" s="12">
        <v>998361</v>
      </c>
      <c r="I1248" s="12">
        <v>0</v>
      </c>
      <c r="J1248" s="12">
        <v>0</v>
      </c>
      <c r="K1248" s="12">
        <v>-0.01</v>
      </c>
      <c r="L1248" s="4">
        <v>0</v>
      </c>
      <c r="M1248" s="12" t="s">
        <v>571</v>
      </c>
      <c r="N1248" s="13">
        <f t="shared" si="34"/>
        <v>-0.01</v>
      </c>
    </row>
    <row r="1249" spans="1:14">
      <c r="A1249" s="12">
        <v>1248</v>
      </c>
      <c r="B1249" s="1" t="s">
        <v>1824</v>
      </c>
      <c r="C1249" s="42" t="s">
        <v>1825</v>
      </c>
      <c r="D1249" s="42" t="s">
        <v>2071</v>
      </c>
      <c r="E1249" s="42" t="s">
        <v>1883</v>
      </c>
      <c r="F1249" s="12">
        <v>-1329.35</v>
      </c>
      <c r="G1249" s="47" t="s">
        <v>570</v>
      </c>
      <c r="H1249" s="12">
        <v>997159</v>
      </c>
      <c r="I1249" s="12">
        <v>0</v>
      </c>
      <c r="J1249" s="12">
        <v>0</v>
      </c>
      <c r="K1249" s="12">
        <v>-202.78</v>
      </c>
      <c r="L1249" s="4">
        <v>0</v>
      </c>
      <c r="M1249" s="12" t="s">
        <v>571</v>
      </c>
      <c r="N1249" s="13">
        <f t="shared" si="34"/>
        <v>-202.78</v>
      </c>
    </row>
    <row r="1250" spans="1:14">
      <c r="A1250" s="12">
        <v>1249</v>
      </c>
      <c r="B1250" s="1" t="s">
        <v>1824</v>
      </c>
      <c r="C1250" s="42" t="s">
        <v>1825</v>
      </c>
      <c r="D1250" s="42" t="s">
        <v>2072</v>
      </c>
      <c r="E1250" s="42" t="s">
        <v>1855</v>
      </c>
      <c r="F1250" s="12">
        <v>-61.87</v>
      </c>
      <c r="G1250" s="47" t="s">
        <v>570</v>
      </c>
      <c r="H1250" s="12">
        <v>997159</v>
      </c>
      <c r="I1250" s="12">
        <v>0</v>
      </c>
      <c r="J1250" s="12">
        <v>0</v>
      </c>
      <c r="K1250" s="12">
        <v>-9.43</v>
      </c>
      <c r="L1250" s="4">
        <v>0</v>
      </c>
      <c r="M1250" s="12" t="s">
        <v>571</v>
      </c>
      <c r="N1250" s="13">
        <f t="shared" si="34"/>
        <v>-9.43</v>
      </c>
    </row>
    <row r="1251" spans="1:14">
      <c r="A1251" s="12">
        <v>1250</v>
      </c>
      <c r="B1251" s="1" t="s">
        <v>1824</v>
      </c>
      <c r="C1251" s="42" t="s">
        <v>1825</v>
      </c>
      <c r="D1251" s="42" t="s">
        <v>2073</v>
      </c>
      <c r="E1251" s="42" t="s">
        <v>1855</v>
      </c>
      <c r="F1251" s="12">
        <v>-21.94</v>
      </c>
      <c r="G1251" s="47" t="s">
        <v>570</v>
      </c>
      <c r="H1251" s="12">
        <v>997159</v>
      </c>
      <c r="I1251" s="12">
        <v>0</v>
      </c>
      <c r="J1251" s="12">
        <v>0</v>
      </c>
      <c r="K1251" s="12">
        <v>-3.34</v>
      </c>
      <c r="L1251" s="4">
        <v>0</v>
      </c>
      <c r="M1251" s="12" t="s">
        <v>571</v>
      </c>
      <c r="N1251" s="13">
        <f t="shared" si="34"/>
        <v>-3.34</v>
      </c>
    </row>
    <row r="1252" spans="1:14">
      <c r="A1252" s="12">
        <v>1251</v>
      </c>
      <c r="B1252" s="1" t="s">
        <v>1841</v>
      </c>
      <c r="C1252" s="42" t="s">
        <v>1842</v>
      </c>
      <c r="D1252" s="42" t="s">
        <v>2074</v>
      </c>
      <c r="E1252" s="42" t="s">
        <v>1855</v>
      </c>
      <c r="F1252" s="12">
        <v>-31860</v>
      </c>
      <c r="G1252" s="47" t="s">
        <v>570</v>
      </c>
      <c r="H1252" s="12">
        <v>998597</v>
      </c>
      <c r="I1252" s="12">
        <v>-2430</v>
      </c>
      <c r="J1252" s="12">
        <v>-2430</v>
      </c>
      <c r="K1252" s="12">
        <v>0</v>
      </c>
      <c r="L1252" s="4">
        <v>0</v>
      </c>
      <c r="M1252" s="14" t="s">
        <v>157</v>
      </c>
      <c r="N1252" s="15" t="s">
        <v>202</v>
      </c>
    </row>
    <row r="1253" spans="1:14">
      <c r="A1253" s="12">
        <v>1252</v>
      </c>
      <c r="B1253" s="1" t="s">
        <v>1759</v>
      </c>
      <c r="C1253" s="42" t="s">
        <v>1760</v>
      </c>
      <c r="D1253" s="42" t="s">
        <v>2075</v>
      </c>
      <c r="E1253" s="42" t="s">
        <v>2076</v>
      </c>
      <c r="F1253" s="4">
        <v>1239</v>
      </c>
      <c r="G1253" s="47" t="s">
        <v>570</v>
      </c>
      <c r="H1253" s="12">
        <v>998361</v>
      </c>
      <c r="I1253" s="4">
        <v>0</v>
      </c>
      <c r="J1253" s="4">
        <v>0</v>
      </c>
      <c r="K1253" s="4">
        <v>189</v>
      </c>
      <c r="L1253" s="4">
        <v>0</v>
      </c>
      <c r="M1253" s="12" t="s">
        <v>571</v>
      </c>
      <c r="N1253" s="13">
        <f t="shared" si="34"/>
        <v>189</v>
      </c>
    </row>
    <row r="1254" spans="1:14">
      <c r="A1254" s="12">
        <v>1253</v>
      </c>
      <c r="B1254" s="1" t="s">
        <v>1759</v>
      </c>
      <c r="C1254" s="42" t="s">
        <v>1760</v>
      </c>
      <c r="D1254" s="42" t="s">
        <v>2077</v>
      </c>
      <c r="E1254" s="42" t="s">
        <v>2076</v>
      </c>
      <c r="F1254" s="4">
        <v>13034.83</v>
      </c>
      <c r="G1254" s="47" t="s">
        <v>570</v>
      </c>
      <c r="H1254" s="12">
        <v>997159</v>
      </c>
      <c r="I1254" s="4">
        <v>0</v>
      </c>
      <c r="J1254" s="4">
        <v>0</v>
      </c>
      <c r="K1254" s="4">
        <v>1988.36</v>
      </c>
      <c r="L1254" s="4">
        <v>0</v>
      </c>
      <c r="M1254" s="12" t="s">
        <v>571</v>
      </c>
      <c r="N1254" s="13">
        <f t="shared" si="34"/>
        <v>1988.36</v>
      </c>
    </row>
    <row r="1255" spans="1:14">
      <c r="A1255" s="12">
        <v>1254</v>
      </c>
      <c r="B1255" s="1" t="s">
        <v>2078</v>
      </c>
      <c r="C1255" s="42" t="s">
        <v>2079</v>
      </c>
      <c r="D1255" s="42" t="s">
        <v>2080</v>
      </c>
      <c r="E1255" s="42" t="s">
        <v>2081</v>
      </c>
      <c r="F1255" s="4">
        <v>47790</v>
      </c>
      <c r="G1255" s="47" t="s">
        <v>570</v>
      </c>
      <c r="H1255" s="12">
        <v>998361</v>
      </c>
      <c r="I1255" s="4">
        <v>0</v>
      </c>
      <c r="J1255" s="4">
        <v>0</v>
      </c>
      <c r="K1255" s="4">
        <v>7290</v>
      </c>
      <c r="L1255" s="4">
        <v>0</v>
      </c>
      <c r="M1255" s="12" t="s">
        <v>571</v>
      </c>
      <c r="N1255" s="13">
        <f t="shared" si="34"/>
        <v>7290</v>
      </c>
    </row>
    <row r="1256" spans="1:14">
      <c r="A1256" s="12">
        <v>1255</v>
      </c>
      <c r="B1256" s="1" t="s">
        <v>2082</v>
      </c>
      <c r="C1256" s="42" t="s">
        <v>2083</v>
      </c>
      <c r="D1256" s="42" t="s">
        <v>2084</v>
      </c>
      <c r="E1256" s="42" t="s">
        <v>2085</v>
      </c>
      <c r="F1256" s="4">
        <v>17434</v>
      </c>
      <c r="G1256" s="47" t="s">
        <v>60</v>
      </c>
      <c r="H1256" s="29" t="s">
        <v>1792</v>
      </c>
      <c r="I1256" s="4">
        <v>415.09</v>
      </c>
      <c r="J1256" s="4">
        <v>415.09</v>
      </c>
      <c r="K1256" s="4">
        <v>0</v>
      </c>
      <c r="L1256" s="4">
        <v>0</v>
      </c>
      <c r="M1256" s="12" t="s">
        <v>571</v>
      </c>
      <c r="N1256" s="13">
        <f t="shared" si="34"/>
        <v>830.18</v>
      </c>
    </row>
    <row r="1257" spans="1:14">
      <c r="A1257" s="12">
        <v>1256</v>
      </c>
      <c r="B1257" s="1" t="s">
        <v>1832</v>
      </c>
      <c r="C1257" s="42" t="s">
        <v>1833</v>
      </c>
      <c r="D1257" s="42" t="s">
        <v>2086</v>
      </c>
      <c r="E1257" s="42" t="s">
        <v>2087</v>
      </c>
      <c r="F1257" s="4">
        <v>57750</v>
      </c>
      <c r="G1257" s="47" t="s">
        <v>60</v>
      </c>
      <c r="H1257" s="29" t="s">
        <v>1835</v>
      </c>
      <c r="I1257" s="4">
        <v>1375</v>
      </c>
      <c r="J1257" s="4">
        <v>1375</v>
      </c>
      <c r="K1257" s="4">
        <v>0</v>
      </c>
      <c r="L1257" s="4">
        <v>0</v>
      </c>
      <c r="M1257" s="12" t="s">
        <v>571</v>
      </c>
      <c r="N1257" s="13">
        <f t="shared" si="34"/>
        <v>2750</v>
      </c>
    </row>
    <row r="1258" spans="1:14">
      <c r="A1258" s="12">
        <v>1257</v>
      </c>
      <c r="B1258" s="1" t="s">
        <v>1832</v>
      </c>
      <c r="C1258" s="42" t="s">
        <v>1833</v>
      </c>
      <c r="D1258" s="42" t="s">
        <v>2088</v>
      </c>
      <c r="E1258" s="42" t="s">
        <v>2089</v>
      </c>
      <c r="F1258" s="4">
        <v>22478</v>
      </c>
      <c r="G1258" s="47" t="s">
        <v>60</v>
      </c>
      <c r="H1258" s="29" t="s">
        <v>1835</v>
      </c>
      <c r="I1258" s="4">
        <v>535.20000000000005</v>
      </c>
      <c r="J1258" s="4">
        <v>535.20000000000005</v>
      </c>
      <c r="K1258" s="4">
        <v>0</v>
      </c>
      <c r="L1258" s="4">
        <v>0</v>
      </c>
      <c r="M1258" s="12" t="s">
        <v>571</v>
      </c>
      <c r="N1258" s="13">
        <f t="shared" si="34"/>
        <v>1070.4000000000001</v>
      </c>
    </row>
    <row r="1259" spans="1:14">
      <c r="A1259" s="12">
        <v>1258</v>
      </c>
      <c r="B1259" s="1" t="s">
        <v>1832</v>
      </c>
      <c r="C1259" s="42" t="s">
        <v>1833</v>
      </c>
      <c r="D1259" s="42" t="s">
        <v>2090</v>
      </c>
      <c r="E1259" s="42" t="s">
        <v>2091</v>
      </c>
      <c r="F1259" s="4">
        <v>6143</v>
      </c>
      <c r="G1259" s="47" t="s">
        <v>60</v>
      </c>
      <c r="H1259" s="29" t="s">
        <v>1835</v>
      </c>
      <c r="I1259" s="4">
        <v>146.25</v>
      </c>
      <c r="J1259" s="4">
        <v>146.25</v>
      </c>
      <c r="K1259" s="4">
        <v>0</v>
      </c>
      <c r="L1259" s="4">
        <v>0</v>
      </c>
      <c r="M1259" s="12" t="s">
        <v>571</v>
      </c>
      <c r="N1259" s="13">
        <f t="shared" si="34"/>
        <v>292.5</v>
      </c>
    </row>
    <row r="1260" spans="1:14">
      <c r="A1260" s="12">
        <v>1259</v>
      </c>
      <c r="B1260" s="1" t="s">
        <v>805</v>
      </c>
      <c r="C1260" s="42" t="s">
        <v>806</v>
      </c>
      <c r="D1260" s="42" t="s">
        <v>2092</v>
      </c>
      <c r="E1260" s="42" t="s">
        <v>2076</v>
      </c>
      <c r="F1260" s="4">
        <v>7525.07</v>
      </c>
      <c r="G1260" s="47" t="s">
        <v>570</v>
      </c>
      <c r="H1260" s="29" t="s">
        <v>847</v>
      </c>
      <c r="I1260" s="4">
        <v>0</v>
      </c>
      <c r="J1260" s="4">
        <v>0</v>
      </c>
      <c r="K1260" s="4">
        <v>1147.9000000000001</v>
      </c>
      <c r="L1260" s="4">
        <v>0</v>
      </c>
      <c r="M1260" s="12" t="s">
        <v>571</v>
      </c>
      <c r="N1260" s="13">
        <f t="shared" si="34"/>
        <v>1147.9000000000001</v>
      </c>
    </row>
    <row r="1261" spans="1:14">
      <c r="A1261" s="12">
        <v>1260</v>
      </c>
      <c r="B1261" s="1" t="s">
        <v>1807</v>
      </c>
      <c r="C1261" s="42" t="s">
        <v>1808</v>
      </c>
      <c r="D1261" s="42" t="s">
        <v>2093</v>
      </c>
      <c r="E1261" s="42" t="s">
        <v>2089</v>
      </c>
      <c r="F1261" s="4">
        <v>3087</v>
      </c>
      <c r="G1261" s="47" t="s">
        <v>60</v>
      </c>
      <c r="H1261" s="29" t="s">
        <v>1810</v>
      </c>
      <c r="I1261" s="4">
        <v>73.5</v>
      </c>
      <c r="J1261" s="4">
        <v>73.5</v>
      </c>
      <c r="K1261" s="4">
        <v>0</v>
      </c>
      <c r="L1261" s="4">
        <v>0</v>
      </c>
      <c r="M1261" s="12" t="s">
        <v>571</v>
      </c>
      <c r="N1261" s="13">
        <f t="shared" si="34"/>
        <v>147</v>
      </c>
    </row>
    <row r="1262" spans="1:14">
      <c r="A1262" s="12">
        <v>1261</v>
      </c>
      <c r="B1262" s="1" t="s">
        <v>1802</v>
      </c>
      <c r="C1262" s="42" t="s">
        <v>1803</v>
      </c>
      <c r="D1262" s="42" t="s">
        <v>2094</v>
      </c>
      <c r="E1262" s="42" t="s">
        <v>2095</v>
      </c>
      <c r="F1262" s="4">
        <v>14280</v>
      </c>
      <c r="G1262" s="47" t="s">
        <v>60</v>
      </c>
      <c r="H1262" s="29" t="s">
        <v>1792</v>
      </c>
      <c r="I1262" s="4">
        <v>0</v>
      </c>
      <c r="J1262" s="4">
        <v>0</v>
      </c>
      <c r="K1262" s="4">
        <v>1530</v>
      </c>
      <c r="L1262" s="4">
        <v>0</v>
      </c>
      <c r="M1262" s="12" t="s">
        <v>571</v>
      </c>
      <c r="N1262" s="13">
        <f t="shared" si="34"/>
        <v>1530</v>
      </c>
    </row>
    <row r="1263" spans="1:14">
      <c r="A1263" s="12">
        <v>1262</v>
      </c>
      <c r="B1263" s="1" t="s">
        <v>1820</v>
      </c>
      <c r="C1263" s="42" t="s">
        <v>1821</v>
      </c>
      <c r="D1263" s="42" t="s">
        <v>2096</v>
      </c>
      <c r="E1263" s="42" t="s">
        <v>2097</v>
      </c>
      <c r="F1263" s="4">
        <v>30660</v>
      </c>
      <c r="G1263" s="47" t="s">
        <v>60</v>
      </c>
      <c r="H1263" s="29" t="s">
        <v>1806</v>
      </c>
      <c r="I1263" s="4">
        <v>0</v>
      </c>
      <c r="J1263" s="4">
        <v>0</v>
      </c>
      <c r="K1263" s="4">
        <v>1460</v>
      </c>
      <c r="L1263" s="4">
        <v>0</v>
      </c>
      <c r="M1263" s="12" t="s">
        <v>571</v>
      </c>
      <c r="N1263" s="13">
        <f t="shared" si="34"/>
        <v>1460</v>
      </c>
    </row>
    <row r="1264" spans="1:14">
      <c r="A1264" s="12">
        <v>1263</v>
      </c>
      <c r="B1264" s="1" t="s">
        <v>1811</v>
      </c>
      <c r="C1264" s="42" t="s">
        <v>1812</v>
      </c>
      <c r="D1264" s="42" t="s">
        <v>2098</v>
      </c>
      <c r="E1264" s="42" t="s">
        <v>2076</v>
      </c>
      <c r="F1264" s="4">
        <v>885</v>
      </c>
      <c r="G1264" s="47" t="s">
        <v>570</v>
      </c>
      <c r="H1264" s="12">
        <v>997159</v>
      </c>
      <c r="I1264" s="4">
        <v>0</v>
      </c>
      <c r="J1264" s="4">
        <v>0</v>
      </c>
      <c r="K1264" s="4">
        <v>135</v>
      </c>
      <c r="L1264" s="4">
        <v>0</v>
      </c>
      <c r="M1264" s="12" t="s">
        <v>571</v>
      </c>
      <c r="N1264" s="13">
        <f t="shared" si="34"/>
        <v>135</v>
      </c>
    </row>
    <row r="1265" spans="1:14">
      <c r="A1265" s="12">
        <v>1264</v>
      </c>
      <c r="B1265" s="1" t="s">
        <v>1811</v>
      </c>
      <c r="C1265" s="42" t="s">
        <v>1812</v>
      </c>
      <c r="D1265" s="42" t="s">
        <v>2099</v>
      </c>
      <c r="E1265" s="42" t="s">
        <v>2076</v>
      </c>
      <c r="F1265" s="4">
        <v>588.82000000000005</v>
      </c>
      <c r="G1265" s="47" t="s">
        <v>570</v>
      </c>
      <c r="H1265" s="12">
        <v>997159</v>
      </c>
      <c r="I1265" s="4">
        <v>0</v>
      </c>
      <c r="J1265" s="4">
        <v>0</v>
      </c>
      <c r="K1265" s="4">
        <v>89.82</v>
      </c>
      <c r="L1265" s="4">
        <v>0</v>
      </c>
      <c r="M1265" s="12" t="s">
        <v>571</v>
      </c>
      <c r="N1265" s="13">
        <f t="shared" si="34"/>
        <v>89.82</v>
      </c>
    </row>
    <row r="1266" spans="1:14">
      <c r="A1266" s="12">
        <v>1265</v>
      </c>
      <c r="B1266" s="1" t="s">
        <v>1811</v>
      </c>
      <c r="C1266" s="42" t="s">
        <v>1812</v>
      </c>
      <c r="D1266" s="42" t="s">
        <v>2100</v>
      </c>
      <c r="E1266" s="42" t="s">
        <v>2076</v>
      </c>
      <c r="F1266" s="4">
        <v>116.82</v>
      </c>
      <c r="G1266" s="47" t="s">
        <v>570</v>
      </c>
      <c r="H1266" s="12">
        <v>997159</v>
      </c>
      <c r="I1266" s="4">
        <v>0</v>
      </c>
      <c r="J1266" s="4">
        <v>0</v>
      </c>
      <c r="K1266" s="4">
        <v>17.82</v>
      </c>
      <c r="L1266" s="4">
        <v>0</v>
      </c>
      <c r="M1266" s="12" t="s">
        <v>571</v>
      </c>
      <c r="N1266" s="13">
        <f t="shared" si="34"/>
        <v>17.82</v>
      </c>
    </row>
    <row r="1267" spans="1:14">
      <c r="A1267" s="12">
        <v>1266</v>
      </c>
      <c r="B1267" s="1" t="s">
        <v>1824</v>
      </c>
      <c r="C1267" s="42" t="s">
        <v>1825</v>
      </c>
      <c r="D1267" s="42" t="s">
        <v>2101</v>
      </c>
      <c r="E1267" s="42" t="s">
        <v>2076</v>
      </c>
      <c r="F1267" s="4">
        <v>693.26</v>
      </c>
      <c r="G1267" s="47" t="s">
        <v>570</v>
      </c>
      <c r="H1267" s="12">
        <v>997159</v>
      </c>
      <c r="I1267" s="4">
        <v>0</v>
      </c>
      <c r="J1267" s="4">
        <v>0</v>
      </c>
      <c r="K1267" s="4">
        <v>105.75</v>
      </c>
      <c r="L1267" s="4">
        <v>0</v>
      </c>
      <c r="M1267" s="12" t="s">
        <v>571</v>
      </c>
      <c r="N1267" s="13">
        <f t="shared" si="34"/>
        <v>105.75</v>
      </c>
    </row>
    <row r="1268" spans="1:14">
      <c r="A1268" s="12">
        <v>1267</v>
      </c>
      <c r="B1268" s="1" t="s">
        <v>1824</v>
      </c>
      <c r="C1268" s="42" t="s">
        <v>1825</v>
      </c>
      <c r="D1268" s="42" t="s">
        <v>2102</v>
      </c>
      <c r="E1268" s="42" t="s">
        <v>2076</v>
      </c>
      <c r="F1268" s="4">
        <v>3105.8</v>
      </c>
      <c r="G1268" s="47" t="s">
        <v>570</v>
      </c>
      <c r="H1268" s="12">
        <v>997159</v>
      </c>
      <c r="I1268" s="4">
        <v>0</v>
      </c>
      <c r="J1268" s="4">
        <v>0</v>
      </c>
      <c r="K1268" s="4">
        <v>473.73</v>
      </c>
      <c r="L1268" s="4">
        <v>0</v>
      </c>
      <c r="M1268" s="12" t="s">
        <v>571</v>
      </c>
      <c r="N1268" s="13">
        <f t="shared" si="34"/>
        <v>473.73</v>
      </c>
    </row>
    <row r="1269" spans="1:14">
      <c r="A1269" s="12">
        <v>1268</v>
      </c>
      <c r="B1269" s="1" t="s">
        <v>1824</v>
      </c>
      <c r="C1269" s="42" t="s">
        <v>1825</v>
      </c>
      <c r="D1269" s="42" t="s">
        <v>2103</v>
      </c>
      <c r="E1269" s="42" t="s">
        <v>2076</v>
      </c>
      <c r="F1269" s="4">
        <v>606.11</v>
      </c>
      <c r="G1269" s="47" t="s">
        <v>570</v>
      </c>
      <c r="H1269" s="12">
        <v>997159</v>
      </c>
      <c r="I1269" s="4">
        <v>0</v>
      </c>
      <c r="J1269" s="4">
        <v>0</v>
      </c>
      <c r="K1269" s="4">
        <v>92.39</v>
      </c>
      <c r="L1269" s="4">
        <v>0</v>
      </c>
      <c r="M1269" s="12" t="s">
        <v>571</v>
      </c>
      <c r="N1269" s="13">
        <f t="shared" si="34"/>
        <v>92.39</v>
      </c>
    </row>
    <row r="1270" spans="1:14">
      <c r="A1270" s="12">
        <v>1269</v>
      </c>
      <c r="B1270" s="1" t="s">
        <v>1824</v>
      </c>
      <c r="C1270" s="42" t="s">
        <v>1825</v>
      </c>
      <c r="D1270" s="42" t="s">
        <v>2104</v>
      </c>
      <c r="E1270" s="42" t="s">
        <v>2076</v>
      </c>
      <c r="F1270" s="4">
        <v>222.5</v>
      </c>
      <c r="G1270" s="47" t="s">
        <v>570</v>
      </c>
      <c r="H1270" s="12">
        <v>997159</v>
      </c>
      <c r="I1270" s="4">
        <v>0</v>
      </c>
      <c r="J1270" s="4">
        <v>0</v>
      </c>
      <c r="K1270" s="4">
        <v>33.94</v>
      </c>
      <c r="L1270" s="4">
        <v>0</v>
      </c>
      <c r="M1270" s="12" t="s">
        <v>571</v>
      </c>
      <c r="N1270" s="13">
        <f t="shared" si="34"/>
        <v>33.94</v>
      </c>
    </row>
    <row r="1271" spans="1:14">
      <c r="A1271" s="12">
        <v>1270</v>
      </c>
      <c r="B1271" s="1" t="s">
        <v>1740</v>
      </c>
      <c r="C1271" s="42" t="s">
        <v>1741</v>
      </c>
      <c r="D1271" s="42" t="s">
        <v>2105</v>
      </c>
      <c r="E1271" s="42" t="s">
        <v>2106</v>
      </c>
      <c r="F1271" s="4">
        <v>13157</v>
      </c>
      <c r="G1271" s="47" t="s">
        <v>60</v>
      </c>
      <c r="H1271" s="29" t="s">
        <v>1700</v>
      </c>
      <c r="I1271" s="4">
        <v>0</v>
      </c>
      <c r="J1271" s="4">
        <v>0</v>
      </c>
      <c r="K1271" s="4">
        <v>626.5</v>
      </c>
      <c r="L1271" s="4">
        <v>0</v>
      </c>
      <c r="M1271" s="12" t="s">
        <v>571</v>
      </c>
      <c r="N1271" s="13">
        <f t="shared" si="34"/>
        <v>626.5</v>
      </c>
    </row>
    <row r="1272" spans="1:14">
      <c r="A1272" s="12">
        <v>1271</v>
      </c>
      <c r="B1272" s="1" t="s">
        <v>1737</v>
      </c>
      <c r="C1272" s="42" t="s">
        <v>1738</v>
      </c>
      <c r="D1272" s="42" t="s">
        <v>2107</v>
      </c>
      <c r="E1272" s="42" t="s">
        <v>2076</v>
      </c>
      <c r="F1272" s="4">
        <v>6826</v>
      </c>
      <c r="G1272" s="47" t="s">
        <v>60</v>
      </c>
      <c r="H1272" s="12">
        <v>4911</v>
      </c>
      <c r="I1272" s="4">
        <v>520.65</v>
      </c>
      <c r="J1272" s="4">
        <v>520.65</v>
      </c>
      <c r="K1272" s="4">
        <v>0</v>
      </c>
      <c r="L1272" s="4">
        <v>0</v>
      </c>
      <c r="M1272" s="12" t="s">
        <v>571</v>
      </c>
      <c r="N1272" s="13">
        <f t="shared" si="34"/>
        <v>1041.3</v>
      </c>
    </row>
    <row r="1273" spans="1:14">
      <c r="A1273" s="12">
        <v>1272</v>
      </c>
      <c r="B1273" s="1" t="s">
        <v>2108</v>
      </c>
      <c r="C1273" s="42" t="s">
        <v>2109</v>
      </c>
      <c r="D1273" s="42" t="s">
        <v>2110</v>
      </c>
      <c r="E1273" s="42" t="s">
        <v>2111</v>
      </c>
      <c r="F1273" s="4">
        <v>19659</v>
      </c>
      <c r="G1273" s="47" t="s">
        <v>60</v>
      </c>
      <c r="H1273" s="12">
        <v>7418</v>
      </c>
      <c r="I1273" s="4">
        <v>0</v>
      </c>
      <c r="J1273" s="4">
        <v>0</v>
      </c>
      <c r="K1273" s="4">
        <v>2998.8</v>
      </c>
      <c r="L1273" s="4">
        <v>0</v>
      </c>
      <c r="M1273" s="12" t="s">
        <v>571</v>
      </c>
      <c r="N1273" s="13">
        <f t="shared" si="34"/>
        <v>2998.8</v>
      </c>
    </row>
    <row r="1274" spans="1:14">
      <c r="A1274" s="12">
        <v>1273</v>
      </c>
      <c r="B1274" s="1" t="s">
        <v>2047</v>
      </c>
      <c r="C1274" s="42" t="s">
        <v>2048</v>
      </c>
      <c r="D1274" s="42" t="s">
        <v>2112</v>
      </c>
      <c r="E1274" s="42" t="s">
        <v>1905</v>
      </c>
      <c r="F1274" s="4">
        <v>378000</v>
      </c>
      <c r="G1274" s="47" t="s">
        <v>60</v>
      </c>
      <c r="H1274" s="29" t="s">
        <v>1700</v>
      </c>
      <c r="I1274" s="4">
        <v>0</v>
      </c>
      <c r="J1274" s="4">
        <v>0</v>
      </c>
      <c r="K1274" s="4">
        <v>18000</v>
      </c>
      <c r="L1274" s="4">
        <v>0</v>
      </c>
      <c r="M1274" s="12" t="s">
        <v>571</v>
      </c>
      <c r="N1274" s="13">
        <f t="shared" si="34"/>
        <v>18000</v>
      </c>
    </row>
    <row r="1275" spans="1:14">
      <c r="A1275" s="12">
        <v>1274</v>
      </c>
      <c r="B1275" s="1" t="s">
        <v>2113</v>
      </c>
      <c r="C1275" s="42" t="s">
        <v>2114</v>
      </c>
      <c r="D1275" s="42" t="s">
        <v>2115</v>
      </c>
      <c r="E1275" s="42" t="s">
        <v>2116</v>
      </c>
      <c r="F1275" s="4">
        <v>14160</v>
      </c>
      <c r="G1275" s="47" t="s">
        <v>60</v>
      </c>
      <c r="H1275" s="12">
        <v>4514</v>
      </c>
      <c r="I1275" s="4">
        <v>0</v>
      </c>
      <c r="J1275" s="4">
        <v>0</v>
      </c>
      <c r="K1275" s="4">
        <v>2160</v>
      </c>
      <c r="L1275" s="4">
        <v>0</v>
      </c>
      <c r="M1275" s="12" t="s">
        <v>571</v>
      </c>
      <c r="N1275" s="13">
        <f t="shared" si="34"/>
        <v>2160</v>
      </c>
    </row>
    <row r="1276" spans="1:14">
      <c r="A1276" s="12">
        <v>1275</v>
      </c>
      <c r="B1276" s="1" t="s">
        <v>2113</v>
      </c>
      <c r="C1276" s="42" t="s">
        <v>2114</v>
      </c>
      <c r="D1276" s="42" t="s">
        <v>2117</v>
      </c>
      <c r="E1276" s="42" t="s">
        <v>2118</v>
      </c>
      <c r="F1276" s="4">
        <v>4050</v>
      </c>
      <c r="G1276" s="47" t="s">
        <v>60</v>
      </c>
      <c r="H1276" s="12">
        <v>4514</v>
      </c>
      <c r="I1276" s="4">
        <v>0</v>
      </c>
      <c r="J1276" s="4">
        <v>0</v>
      </c>
      <c r="K1276" s="4">
        <v>617.76</v>
      </c>
      <c r="L1276" s="4">
        <v>0</v>
      </c>
      <c r="M1276" s="12" t="s">
        <v>571</v>
      </c>
      <c r="N1276" s="13">
        <f t="shared" si="34"/>
        <v>617.76</v>
      </c>
    </row>
    <row r="1277" spans="1:14">
      <c r="A1277" s="12">
        <v>1276</v>
      </c>
      <c r="B1277" s="1" t="s">
        <v>1776</v>
      </c>
      <c r="C1277" s="42" t="s">
        <v>1777</v>
      </c>
      <c r="D1277" s="42" t="s">
        <v>2119</v>
      </c>
      <c r="E1277" s="42" t="s">
        <v>1875</v>
      </c>
      <c r="F1277" s="4">
        <v>3569.5</v>
      </c>
      <c r="G1277" s="47" t="s">
        <v>570</v>
      </c>
      <c r="H1277" s="12">
        <v>3923</v>
      </c>
      <c r="I1277" s="4">
        <v>272.25</v>
      </c>
      <c r="J1277" s="4">
        <v>272.25</v>
      </c>
      <c r="K1277" s="4">
        <v>0</v>
      </c>
      <c r="L1277" s="4">
        <v>0</v>
      </c>
      <c r="M1277" s="12" t="s">
        <v>571</v>
      </c>
      <c r="N1277" s="13">
        <f t="shared" si="34"/>
        <v>544.5</v>
      </c>
    </row>
    <row r="1278" spans="1:14">
      <c r="A1278" s="12">
        <v>1277</v>
      </c>
      <c r="B1278" s="1" t="s">
        <v>1776</v>
      </c>
      <c r="C1278" s="42" t="s">
        <v>1777</v>
      </c>
      <c r="D1278" s="42" t="s">
        <v>2120</v>
      </c>
      <c r="E1278" s="42" t="s">
        <v>1875</v>
      </c>
      <c r="F1278" s="4">
        <v>118</v>
      </c>
      <c r="G1278" s="47" t="s">
        <v>570</v>
      </c>
      <c r="H1278" s="12">
        <v>3923</v>
      </c>
      <c r="I1278" s="4">
        <v>9</v>
      </c>
      <c r="J1278" s="4">
        <v>9</v>
      </c>
      <c r="K1278" s="4">
        <v>0</v>
      </c>
      <c r="L1278" s="4">
        <v>0</v>
      </c>
      <c r="M1278" s="12" t="s">
        <v>571</v>
      </c>
      <c r="N1278" s="13">
        <f t="shared" si="34"/>
        <v>18</v>
      </c>
    </row>
    <row r="1279" spans="1:14">
      <c r="A1279" s="12">
        <v>1278</v>
      </c>
      <c r="B1279" s="1" t="s">
        <v>1776</v>
      </c>
      <c r="C1279" s="42" t="s">
        <v>1777</v>
      </c>
      <c r="D1279" s="42" t="s">
        <v>2121</v>
      </c>
      <c r="E1279" s="42" t="s">
        <v>1875</v>
      </c>
      <c r="F1279" s="4">
        <v>4000.2</v>
      </c>
      <c r="G1279" s="47" t="s">
        <v>570</v>
      </c>
      <c r="H1279" s="12">
        <v>3923</v>
      </c>
      <c r="I1279" s="4">
        <v>305.10000000000002</v>
      </c>
      <c r="J1279" s="4">
        <v>305.10000000000002</v>
      </c>
      <c r="K1279" s="4">
        <v>0</v>
      </c>
      <c r="L1279" s="4">
        <v>0</v>
      </c>
      <c r="M1279" s="12" t="s">
        <v>571</v>
      </c>
      <c r="N1279" s="13">
        <f t="shared" si="34"/>
        <v>610.20000000000005</v>
      </c>
    </row>
    <row r="1280" spans="1:14">
      <c r="A1280" s="12">
        <v>1279</v>
      </c>
      <c r="B1280" s="1" t="s">
        <v>1776</v>
      </c>
      <c r="C1280" s="42" t="s">
        <v>1777</v>
      </c>
      <c r="D1280" s="42" t="s">
        <v>2122</v>
      </c>
      <c r="E1280" s="42" t="s">
        <v>1875</v>
      </c>
      <c r="F1280" s="4">
        <v>118</v>
      </c>
      <c r="G1280" s="47" t="s">
        <v>570</v>
      </c>
      <c r="H1280" s="12">
        <v>3923</v>
      </c>
      <c r="I1280" s="4">
        <v>9</v>
      </c>
      <c r="J1280" s="4">
        <v>9</v>
      </c>
      <c r="K1280" s="4">
        <v>0</v>
      </c>
      <c r="L1280" s="4">
        <v>0</v>
      </c>
      <c r="M1280" s="12" t="s">
        <v>571</v>
      </c>
      <c r="N1280" s="13">
        <f t="shared" si="34"/>
        <v>18</v>
      </c>
    </row>
    <row r="1281" spans="1:14">
      <c r="A1281" s="12">
        <v>1280</v>
      </c>
      <c r="B1281" s="1" t="s">
        <v>1776</v>
      </c>
      <c r="C1281" s="42" t="s">
        <v>1777</v>
      </c>
      <c r="D1281" s="42" t="s">
        <v>2123</v>
      </c>
      <c r="E1281" s="42" t="s">
        <v>1909</v>
      </c>
      <c r="F1281" s="4">
        <v>3947.1</v>
      </c>
      <c r="G1281" s="47" t="s">
        <v>570</v>
      </c>
      <c r="H1281" s="12">
        <v>3923</v>
      </c>
      <c r="I1281" s="4">
        <v>301.05</v>
      </c>
      <c r="J1281" s="4">
        <v>301.05</v>
      </c>
      <c r="K1281" s="4">
        <v>0</v>
      </c>
      <c r="L1281" s="4">
        <v>0</v>
      </c>
      <c r="M1281" s="12" t="s">
        <v>571</v>
      </c>
      <c r="N1281" s="13">
        <f t="shared" si="34"/>
        <v>602.1</v>
      </c>
    </row>
    <row r="1282" spans="1:14">
      <c r="A1282" s="12">
        <v>1281</v>
      </c>
      <c r="B1282" s="1" t="s">
        <v>1776</v>
      </c>
      <c r="C1282" s="42" t="s">
        <v>1777</v>
      </c>
      <c r="D1282" s="42" t="s">
        <v>2124</v>
      </c>
      <c r="E1282" s="42" t="s">
        <v>1909</v>
      </c>
      <c r="F1282" s="4">
        <v>2625.5</v>
      </c>
      <c r="G1282" s="47" t="s">
        <v>570</v>
      </c>
      <c r="H1282" s="12">
        <v>3923</v>
      </c>
      <c r="I1282" s="4">
        <v>200.25</v>
      </c>
      <c r="J1282" s="4">
        <v>200.25</v>
      </c>
      <c r="K1282" s="4">
        <v>0</v>
      </c>
      <c r="L1282" s="4">
        <v>0</v>
      </c>
      <c r="M1282" s="12" t="s">
        <v>571</v>
      </c>
      <c r="N1282" s="13">
        <f t="shared" si="34"/>
        <v>400.5</v>
      </c>
    </row>
    <row r="1283" spans="1:14">
      <c r="A1283" s="12">
        <v>1282</v>
      </c>
      <c r="B1283" s="1" t="s">
        <v>1776</v>
      </c>
      <c r="C1283" s="42" t="s">
        <v>1777</v>
      </c>
      <c r="D1283" s="42" t="s">
        <v>2125</v>
      </c>
      <c r="E1283" s="42" t="s">
        <v>1909</v>
      </c>
      <c r="F1283" s="4">
        <v>236</v>
      </c>
      <c r="G1283" s="47" t="s">
        <v>570</v>
      </c>
      <c r="H1283" s="12">
        <v>3923</v>
      </c>
      <c r="I1283" s="4">
        <v>18</v>
      </c>
      <c r="J1283" s="4">
        <v>18</v>
      </c>
      <c r="K1283" s="4">
        <v>0</v>
      </c>
      <c r="L1283" s="4">
        <v>0</v>
      </c>
      <c r="M1283" s="12" t="s">
        <v>571</v>
      </c>
      <c r="N1283" s="13">
        <f t="shared" si="34"/>
        <v>36</v>
      </c>
    </row>
    <row r="1284" spans="1:14">
      <c r="A1284" s="12">
        <v>1283</v>
      </c>
      <c r="B1284" s="1" t="s">
        <v>1776</v>
      </c>
      <c r="C1284" s="42" t="s">
        <v>1777</v>
      </c>
      <c r="D1284" s="42" t="s">
        <v>2126</v>
      </c>
      <c r="E1284" s="42" t="s">
        <v>1909</v>
      </c>
      <c r="F1284" s="4">
        <v>2908.7</v>
      </c>
      <c r="G1284" s="47" t="s">
        <v>570</v>
      </c>
      <c r="H1284" s="12">
        <v>3923</v>
      </c>
      <c r="I1284" s="4">
        <v>221.85</v>
      </c>
      <c r="J1284" s="4">
        <v>221.85</v>
      </c>
      <c r="K1284" s="4">
        <v>0</v>
      </c>
      <c r="L1284" s="4">
        <v>0</v>
      </c>
      <c r="M1284" s="12" t="s">
        <v>571</v>
      </c>
      <c r="N1284" s="13">
        <f t="shared" si="34"/>
        <v>443.7</v>
      </c>
    </row>
    <row r="1285" spans="1:14">
      <c r="A1285" s="12">
        <v>1284</v>
      </c>
      <c r="B1285" s="1" t="s">
        <v>1776</v>
      </c>
      <c r="C1285" s="42" t="s">
        <v>1777</v>
      </c>
      <c r="D1285" s="42" t="s">
        <v>2127</v>
      </c>
      <c r="E1285" s="42" t="s">
        <v>1909</v>
      </c>
      <c r="F1285" s="4">
        <v>1598.9</v>
      </c>
      <c r="G1285" s="47" t="s">
        <v>570</v>
      </c>
      <c r="H1285" s="12">
        <v>3923</v>
      </c>
      <c r="I1285" s="4">
        <v>121.95</v>
      </c>
      <c r="J1285" s="4">
        <v>121.95</v>
      </c>
      <c r="K1285" s="4">
        <v>0</v>
      </c>
      <c r="L1285" s="4">
        <v>0</v>
      </c>
      <c r="M1285" s="12" t="s">
        <v>571</v>
      </c>
      <c r="N1285" s="13">
        <f t="shared" si="34"/>
        <v>243.9</v>
      </c>
    </row>
    <row r="1286" spans="1:14">
      <c r="A1286" s="12">
        <v>1285</v>
      </c>
      <c r="B1286" s="1" t="s">
        <v>1776</v>
      </c>
      <c r="C1286" s="42" t="s">
        <v>1777</v>
      </c>
      <c r="D1286" s="42" t="s">
        <v>2128</v>
      </c>
      <c r="E1286" s="42" t="s">
        <v>1909</v>
      </c>
      <c r="F1286" s="4">
        <v>236</v>
      </c>
      <c r="G1286" s="47" t="s">
        <v>570</v>
      </c>
      <c r="H1286" s="12">
        <v>3923</v>
      </c>
      <c r="I1286" s="4">
        <v>18</v>
      </c>
      <c r="J1286" s="4">
        <v>18</v>
      </c>
      <c r="K1286" s="4">
        <v>0</v>
      </c>
      <c r="L1286" s="4">
        <v>0</v>
      </c>
      <c r="M1286" s="12" t="s">
        <v>571</v>
      </c>
      <c r="N1286" s="13">
        <f t="shared" si="34"/>
        <v>36</v>
      </c>
    </row>
    <row r="1287" spans="1:14">
      <c r="A1287" s="12">
        <v>1286</v>
      </c>
      <c r="B1287" s="1" t="s">
        <v>1776</v>
      </c>
      <c r="C1287" s="42" t="s">
        <v>1777</v>
      </c>
      <c r="D1287" s="42" t="s">
        <v>2129</v>
      </c>
      <c r="E1287" s="42" t="s">
        <v>1888</v>
      </c>
      <c r="F1287" s="4">
        <v>1327.5</v>
      </c>
      <c r="G1287" s="47" t="s">
        <v>570</v>
      </c>
      <c r="H1287" s="12">
        <v>3923</v>
      </c>
      <c r="I1287" s="4">
        <v>101.25</v>
      </c>
      <c r="J1287" s="4">
        <v>101.25</v>
      </c>
      <c r="K1287" s="4">
        <v>0</v>
      </c>
      <c r="L1287" s="4">
        <v>0</v>
      </c>
      <c r="M1287" s="12" t="s">
        <v>571</v>
      </c>
      <c r="N1287" s="13">
        <f t="shared" si="34"/>
        <v>202.5</v>
      </c>
    </row>
    <row r="1288" spans="1:14">
      <c r="A1288" s="12">
        <v>1287</v>
      </c>
      <c r="B1288" s="1" t="s">
        <v>1776</v>
      </c>
      <c r="C1288" s="42" t="s">
        <v>1777</v>
      </c>
      <c r="D1288" s="42" t="s">
        <v>2130</v>
      </c>
      <c r="E1288" s="42" t="s">
        <v>1888</v>
      </c>
      <c r="F1288" s="4">
        <v>3770.1</v>
      </c>
      <c r="G1288" s="47" t="s">
        <v>570</v>
      </c>
      <c r="H1288" s="12">
        <v>3923</v>
      </c>
      <c r="I1288" s="4">
        <v>287.55</v>
      </c>
      <c r="J1288" s="4">
        <v>287.55</v>
      </c>
      <c r="K1288" s="4">
        <v>0</v>
      </c>
      <c r="L1288" s="4">
        <v>0</v>
      </c>
      <c r="M1288" s="12" t="s">
        <v>571</v>
      </c>
      <c r="N1288" s="13">
        <f t="shared" si="34"/>
        <v>575.1</v>
      </c>
    </row>
    <row r="1289" spans="1:14">
      <c r="A1289" s="12">
        <v>1288</v>
      </c>
      <c r="B1289" s="1" t="s">
        <v>1776</v>
      </c>
      <c r="C1289" s="42" t="s">
        <v>1777</v>
      </c>
      <c r="D1289" s="42" t="s">
        <v>2131</v>
      </c>
      <c r="E1289" s="42" t="s">
        <v>1888</v>
      </c>
      <c r="F1289" s="4">
        <v>2719.9</v>
      </c>
      <c r="G1289" s="47" t="s">
        <v>570</v>
      </c>
      <c r="H1289" s="12">
        <v>3923</v>
      </c>
      <c r="I1289" s="4">
        <v>207.45</v>
      </c>
      <c r="J1289" s="4">
        <v>207.45</v>
      </c>
      <c r="K1289" s="4">
        <v>0</v>
      </c>
      <c r="L1289" s="4">
        <v>0</v>
      </c>
      <c r="M1289" s="12" t="s">
        <v>571</v>
      </c>
      <c r="N1289" s="13">
        <f t="shared" si="34"/>
        <v>414.9</v>
      </c>
    </row>
    <row r="1290" spans="1:14">
      <c r="A1290" s="12">
        <v>1289</v>
      </c>
      <c r="B1290" s="1" t="s">
        <v>1776</v>
      </c>
      <c r="C1290" s="42" t="s">
        <v>1777</v>
      </c>
      <c r="D1290" s="42" t="s">
        <v>2132</v>
      </c>
      <c r="E1290" s="42" t="s">
        <v>1888</v>
      </c>
      <c r="F1290" s="4">
        <v>5646.3</v>
      </c>
      <c r="G1290" s="47" t="s">
        <v>570</v>
      </c>
      <c r="H1290" s="12">
        <v>3923</v>
      </c>
      <c r="I1290" s="4">
        <v>430.65</v>
      </c>
      <c r="J1290" s="4">
        <v>430.65</v>
      </c>
      <c r="K1290" s="4">
        <v>0</v>
      </c>
      <c r="L1290" s="4">
        <v>0</v>
      </c>
      <c r="M1290" s="12" t="s">
        <v>571</v>
      </c>
      <c r="N1290" s="13">
        <f t="shared" si="34"/>
        <v>861.3</v>
      </c>
    </row>
    <row r="1291" spans="1:14">
      <c r="A1291" s="12">
        <v>1290</v>
      </c>
      <c r="B1291" s="1" t="s">
        <v>2133</v>
      </c>
      <c r="C1291" s="42" t="s">
        <v>2134</v>
      </c>
      <c r="D1291" s="42" t="s">
        <v>2135</v>
      </c>
      <c r="E1291" s="42" t="s">
        <v>2116</v>
      </c>
      <c r="F1291" s="4">
        <v>332</v>
      </c>
      <c r="G1291" s="47" t="s">
        <v>1772</v>
      </c>
      <c r="H1291" s="12">
        <v>8215</v>
      </c>
      <c r="I1291" s="4">
        <v>0</v>
      </c>
      <c r="J1291" s="4">
        <v>0</v>
      </c>
      <c r="K1291" s="4">
        <v>50.64</v>
      </c>
      <c r="L1291" s="4">
        <v>0</v>
      </c>
      <c r="M1291" s="12" t="s">
        <v>571</v>
      </c>
      <c r="N1291" s="13">
        <f t="shared" si="34"/>
        <v>50.64</v>
      </c>
    </row>
    <row r="1292" spans="1:14">
      <c r="A1292" s="12">
        <v>1291</v>
      </c>
      <c r="B1292" s="1" t="s">
        <v>528</v>
      </c>
      <c r="C1292" s="42" t="s">
        <v>529</v>
      </c>
      <c r="D1292" s="42" t="s">
        <v>2136</v>
      </c>
      <c r="E1292" s="42" t="s">
        <v>2095</v>
      </c>
      <c r="F1292" s="4">
        <v>3972.47</v>
      </c>
      <c r="G1292" s="47" t="s">
        <v>570</v>
      </c>
      <c r="H1292" s="12">
        <v>998212</v>
      </c>
      <c r="I1292" s="4">
        <v>302.99</v>
      </c>
      <c r="J1292" s="4">
        <v>302.99</v>
      </c>
      <c r="K1292" s="4">
        <v>0</v>
      </c>
      <c r="L1292" s="4">
        <v>0</v>
      </c>
      <c r="M1292" s="12" t="s">
        <v>571</v>
      </c>
      <c r="N1292" s="13">
        <f t="shared" si="34"/>
        <v>605.98</v>
      </c>
    </row>
    <row r="1293" spans="1:14">
      <c r="A1293" s="12">
        <v>1292</v>
      </c>
      <c r="B1293" s="1" t="s">
        <v>528</v>
      </c>
      <c r="C1293" s="42" t="s">
        <v>529</v>
      </c>
      <c r="D1293" s="42" t="s">
        <v>2137</v>
      </c>
      <c r="E1293" s="42" t="s">
        <v>2138</v>
      </c>
      <c r="F1293" s="4">
        <v>302.76</v>
      </c>
      <c r="G1293" s="47" t="s">
        <v>570</v>
      </c>
      <c r="H1293" s="12">
        <v>998212</v>
      </c>
      <c r="I1293" s="4">
        <v>23.09</v>
      </c>
      <c r="J1293" s="4">
        <v>23.09</v>
      </c>
      <c r="K1293" s="4">
        <v>0</v>
      </c>
      <c r="L1293" s="4">
        <v>0</v>
      </c>
      <c r="M1293" s="12" t="s">
        <v>571</v>
      </c>
      <c r="N1293" s="13">
        <f t="shared" si="34"/>
        <v>46.18</v>
      </c>
    </row>
    <row r="1294" spans="1:14">
      <c r="A1294" s="12">
        <v>1293</v>
      </c>
      <c r="B1294" s="1" t="s">
        <v>528</v>
      </c>
      <c r="C1294" s="42" t="s">
        <v>529</v>
      </c>
      <c r="D1294" s="42" t="s">
        <v>2139</v>
      </c>
      <c r="E1294" s="42" t="s">
        <v>2140</v>
      </c>
      <c r="F1294" s="4">
        <v>295</v>
      </c>
      <c r="G1294" s="47" t="s">
        <v>570</v>
      </c>
      <c r="H1294" s="12">
        <v>998212</v>
      </c>
      <c r="I1294" s="4">
        <v>22.5</v>
      </c>
      <c r="J1294" s="4">
        <v>22.5</v>
      </c>
      <c r="K1294" s="4">
        <v>0</v>
      </c>
      <c r="L1294" s="4">
        <v>0</v>
      </c>
      <c r="M1294" s="12" t="s">
        <v>571</v>
      </c>
      <c r="N1294" s="13">
        <f t="shared" ref="N1294:N1335" si="35">SUM(I1294:K1294)</f>
        <v>45</v>
      </c>
    </row>
    <row r="1295" spans="1:14">
      <c r="A1295" s="12">
        <v>1294</v>
      </c>
      <c r="B1295" s="1" t="s">
        <v>528</v>
      </c>
      <c r="C1295" s="42" t="s">
        <v>529</v>
      </c>
      <c r="D1295" s="42" t="s">
        <v>2141</v>
      </c>
      <c r="E1295" s="42" t="s">
        <v>2091</v>
      </c>
      <c r="F1295" s="4">
        <v>1526.79</v>
      </c>
      <c r="G1295" s="47" t="s">
        <v>570</v>
      </c>
      <c r="H1295" s="12">
        <v>998212</v>
      </c>
      <c r="I1295" s="4">
        <v>116.45</v>
      </c>
      <c r="J1295" s="4">
        <v>116.45</v>
      </c>
      <c r="K1295" s="4">
        <v>0</v>
      </c>
      <c r="L1295" s="4">
        <v>0</v>
      </c>
      <c r="M1295" s="12" t="s">
        <v>571</v>
      </c>
      <c r="N1295" s="13">
        <f t="shared" si="35"/>
        <v>232.9</v>
      </c>
    </row>
    <row r="1296" spans="1:14">
      <c r="A1296" s="12">
        <v>1295</v>
      </c>
      <c r="B1296" s="1" t="s">
        <v>528</v>
      </c>
      <c r="C1296" s="42" t="s">
        <v>529</v>
      </c>
      <c r="D1296" s="42" t="s">
        <v>2142</v>
      </c>
      <c r="E1296" s="42" t="s">
        <v>2106</v>
      </c>
      <c r="F1296" s="4">
        <v>28.9</v>
      </c>
      <c r="G1296" s="47" t="s">
        <v>570</v>
      </c>
      <c r="H1296" s="12">
        <v>998212</v>
      </c>
      <c r="I1296" s="4">
        <v>2.2000000000000002</v>
      </c>
      <c r="J1296" s="4">
        <v>2.2000000000000002</v>
      </c>
      <c r="K1296" s="4">
        <v>0</v>
      </c>
      <c r="L1296" s="4">
        <v>0</v>
      </c>
      <c r="M1296" s="12" t="s">
        <v>571</v>
      </c>
      <c r="N1296" s="13">
        <f t="shared" si="35"/>
        <v>4.4000000000000004</v>
      </c>
    </row>
    <row r="1297" spans="1:14">
      <c r="A1297" s="12">
        <v>1296</v>
      </c>
      <c r="B1297" s="1" t="s">
        <v>528</v>
      </c>
      <c r="C1297" s="42" t="s">
        <v>529</v>
      </c>
      <c r="D1297" s="42" t="s">
        <v>2143</v>
      </c>
      <c r="E1297" s="42" t="s">
        <v>2144</v>
      </c>
      <c r="F1297" s="4">
        <v>413</v>
      </c>
      <c r="G1297" s="47" t="s">
        <v>570</v>
      </c>
      <c r="H1297" s="12">
        <v>998212</v>
      </c>
      <c r="I1297" s="4">
        <v>31.5</v>
      </c>
      <c r="J1297" s="4">
        <v>31.5</v>
      </c>
      <c r="K1297" s="4">
        <v>0</v>
      </c>
      <c r="L1297" s="4">
        <v>0</v>
      </c>
      <c r="M1297" s="12" t="s">
        <v>571</v>
      </c>
      <c r="N1297" s="13">
        <f t="shared" si="35"/>
        <v>63</v>
      </c>
    </row>
    <row r="1298" spans="1:14">
      <c r="A1298" s="12">
        <v>1297</v>
      </c>
      <c r="B1298" s="1" t="s">
        <v>528</v>
      </c>
      <c r="C1298" s="42" t="s">
        <v>529</v>
      </c>
      <c r="D1298" s="42" t="s">
        <v>2145</v>
      </c>
      <c r="E1298" s="42" t="s">
        <v>2144</v>
      </c>
      <c r="F1298" s="4">
        <v>413</v>
      </c>
      <c r="G1298" s="47" t="s">
        <v>570</v>
      </c>
      <c r="H1298" s="12">
        <v>998212</v>
      </c>
      <c r="I1298" s="4">
        <v>31.5</v>
      </c>
      <c r="J1298" s="4">
        <v>31.5</v>
      </c>
      <c r="K1298" s="4">
        <v>0</v>
      </c>
      <c r="L1298" s="4">
        <v>0</v>
      </c>
      <c r="M1298" s="12" t="s">
        <v>571</v>
      </c>
      <c r="N1298" s="13">
        <f t="shared" si="35"/>
        <v>63</v>
      </c>
    </row>
    <row r="1299" spans="1:14">
      <c r="A1299" s="12">
        <v>1298</v>
      </c>
      <c r="B1299" s="1" t="s">
        <v>528</v>
      </c>
      <c r="C1299" s="42" t="s">
        <v>529</v>
      </c>
      <c r="D1299" s="42" t="s">
        <v>2146</v>
      </c>
      <c r="E1299" s="42" t="s">
        <v>2118</v>
      </c>
      <c r="F1299" s="4">
        <v>413</v>
      </c>
      <c r="G1299" s="47" t="s">
        <v>570</v>
      </c>
      <c r="H1299" s="12">
        <v>998212</v>
      </c>
      <c r="I1299" s="4">
        <v>31.5</v>
      </c>
      <c r="J1299" s="4">
        <v>31.5</v>
      </c>
      <c r="K1299" s="4">
        <v>0</v>
      </c>
      <c r="L1299" s="4">
        <v>0</v>
      </c>
      <c r="M1299" s="12" t="s">
        <v>571</v>
      </c>
      <c r="N1299" s="13">
        <f t="shared" si="35"/>
        <v>63</v>
      </c>
    </row>
    <row r="1300" spans="1:14">
      <c r="A1300" s="12">
        <v>1299</v>
      </c>
      <c r="B1300" s="1" t="s">
        <v>528</v>
      </c>
      <c r="C1300" s="42" t="s">
        <v>529</v>
      </c>
      <c r="D1300" s="42" t="s">
        <v>2147</v>
      </c>
      <c r="E1300" s="42" t="s">
        <v>2138</v>
      </c>
      <c r="F1300" s="4">
        <v>4.12</v>
      </c>
      <c r="G1300" s="47" t="s">
        <v>570</v>
      </c>
      <c r="H1300" s="12">
        <v>998212</v>
      </c>
      <c r="I1300" s="4">
        <v>0.31</v>
      </c>
      <c r="J1300" s="4">
        <v>0.31</v>
      </c>
      <c r="K1300" s="4">
        <v>0</v>
      </c>
      <c r="L1300" s="4">
        <v>0</v>
      </c>
      <c r="M1300" s="12" t="s">
        <v>571</v>
      </c>
      <c r="N1300" s="13">
        <f t="shared" si="35"/>
        <v>0.62</v>
      </c>
    </row>
    <row r="1301" spans="1:14">
      <c r="A1301" s="12">
        <v>1300</v>
      </c>
      <c r="B1301" s="1" t="s">
        <v>1844</v>
      </c>
      <c r="C1301" s="42" t="s">
        <v>1845</v>
      </c>
      <c r="D1301" s="42" t="s">
        <v>2148</v>
      </c>
      <c r="E1301" s="42" t="s">
        <v>2076</v>
      </c>
      <c r="F1301" s="4">
        <v>1024.3399999999999</v>
      </c>
      <c r="G1301" s="47" t="s">
        <v>570</v>
      </c>
      <c r="H1301" s="12">
        <v>997158</v>
      </c>
      <c r="I1301" s="4">
        <v>0</v>
      </c>
      <c r="J1301" s="4">
        <v>0</v>
      </c>
      <c r="K1301" s="4">
        <v>0</v>
      </c>
      <c r="L1301" s="4">
        <v>0</v>
      </c>
      <c r="M1301" s="12" t="s">
        <v>571</v>
      </c>
      <c r="N1301" s="13">
        <f t="shared" si="35"/>
        <v>0</v>
      </c>
    </row>
    <row r="1302" spans="1:14">
      <c r="A1302" s="12">
        <v>1301</v>
      </c>
      <c r="B1302" s="1" t="s">
        <v>1844</v>
      </c>
      <c r="C1302" s="42" t="s">
        <v>1845</v>
      </c>
      <c r="D1302" s="42" t="s">
        <v>2148</v>
      </c>
      <c r="E1302" s="42" t="s">
        <v>2076</v>
      </c>
      <c r="F1302" s="4">
        <v>1024.3399999999999</v>
      </c>
      <c r="G1302" s="47" t="s">
        <v>570</v>
      </c>
      <c r="H1302" s="12">
        <v>997158</v>
      </c>
      <c r="I1302" s="4">
        <v>0</v>
      </c>
      <c r="J1302" s="4">
        <v>0</v>
      </c>
      <c r="K1302" s="4">
        <v>154.18</v>
      </c>
      <c r="L1302" s="4">
        <v>0</v>
      </c>
      <c r="M1302" s="12" t="s">
        <v>571</v>
      </c>
      <c r="N1302" s="13">
        <f t="shared" si="35"/>
        <v>154.18</v>
      </c>
    </row>
    <row r="1303" spans="1:14">
      <c r="A1303" s="12">
        <v>1302</v>
      </c>
      <c r="B1303" s="1" t="s">
        <v>2149</v>
      </c>
      <c r="C1303" s="42" t="s">
        <v>2150</v>
      </c>
      <c r="D1303" s="42" t="s">
        <v>2151</v>
      </c>
      <c r="E1303" s="42" t="s">
        <v>2152</v>
      </c>
      <c r="F1303" s="4">
        <v>1049</v>
      </c>
      <c r="G1303" s="47" t="s">
        <v>2046</v>
      </c>
      <c r="H1303" s="12">
        <v>85182200</v>
      </c>
      <c r="I1303" s="4">
        <v>0</v>
      </c>
      <c r="J1303" s="4">
        <v>0</v>
      </c>
      <c r="K1303" s="4">
        <v>160.02000000000001</v>
      </c>
      <c r="L1303" s="4">
        <v>0</v>
      </c>
      <c r="M1303" s="14" t="s">
        <v>157</v>
      </c>
      <c r="N1303" s="15" t="s">
        <v>202</v>
      </c>
    </row>
    <row r="1304" spans="1:14">
      <c r="A1304" s="12">
        <v>1303</v>
      </c>
      <c r="B1304" s="1" t="s">
        <v>1762</v>
      </c>
      <c r="C1304" s="42" t="s">
        <v>1763</v>
      </c>
      <c r="D1304" s="42" t="s">
        <v>2153</v>
      </c>
      <c r="E1304" s="42" t="s">
        <v>2154</v>
      </c>
      <c r="F1304" s="4">
        <v>7608</v>
      </c>
      <c r="G1304" s="47" t="s">
        <v>570</v>
      </c>
      <c r="H1304" s="12">
        <v>9987</v>
      </c>
      <c r="I1304" s="4">
        <v>580.32000000000005</v>
      </c>
      <c r="J1304" s="4">
        <v>580.32000000000005</v>
      </c>
      <c r="K1304" s="4">
        <v>0</v>
      </c>
      <c r="L1304" s="4">
        <v>0</v>
      </c>
      <c r="M1304" s="12" t="s">
        <v>571</v>
      </c>
      <c r="N1304" s="13">
        <f t="shared" si="35"/>
        <v>1160.6400000000001</v>
      </c>
    </row>
    <row r="1305" spans="1:14">
      <c r="A1305" s="12">
        <v>1304</v>
      </c>
      <c r="B1305" s="1" t="s">
        <v>1762</v>
      </c>
      <c r="C1305" s="42" t="s">
        <v>1763</v>
      </c>
      <c r="D1305" s="42" t="s">
        <v>2155</v>
      </c>
      <c r="E1305" s="42" t="s">
        <v>2154</v>
      </c>
      <c r="F1305" s="4">
        <v>3949</v>
      </c>
      <c r="G1305" s="47" t="s">
        <v>570</v>
      </c>
      <c r="H1305" s="12">
        <v>9987</v>
      </c>
      <c r="I1305" s="4">
        <v>301.23</v>
      </c>
      <c r="J1305" s="4">
        <v>301.23</v>
      </c>
      <c r="K1305" s="4">
        <v>0</v>
      </c>
      <c r="L1305" s="4">
        <v>0</v>
      </c>
      <c r="M1305" s="12" t="s">
        <v>571</v>
      </c>
      <c r="N1305" s="13">
        <f t="shared" si="35"/>
        <v>602.46</v>
      </c>
    </row>
    <row r="1306" spans="1:14">
      <c r="A1306" s="12">
        <v>1305</v>
      </c>
      <c r="B1306" s="1" t="s">
        <v>557</v>
      </c>
      <c r="C1306" s="42" t="s">
        <v>558</v>
      </c>
      <c r="D1306" s="42" t="s">
        <v>2156</v>
      </c>
      <c r="E1306" s="42" t="s">
        <v>2154</v>
      </c>
      <c r="F1306" s="4">
        <v>2121.36</v>
      </c>
      <c r="G1306" s="47" t="s">
        <v>570</v>
      </c>
      <c r="H1306" s="12">
        <v>998361</v>
      </c>
      <c r="I1306" s="4">
        <v>0</v>
      </c>
      <c r="J1306" s="4">
        <v>0</v>
      </c>
      <c r="K1306" s="4">
        <v>323.60000000000002</v>
      </c>
      <c r="L1306" s="4">
        <v>0</v>
      </c>
      <c r="M1306" s="12" t="s">
        <v>571</v>
      </c>
      <c r="N1306" s="13">
        <f t="shared" si="35"/>
        <v>323.60000000000002</v>
      </c>
    </row>
    <row r="1307" spans="1:14">
      <c r="A1307" s="12">
        <v>1306</v>
      </c>
      <c r="B1307" s="1" t="s">
        <v>557</v>
      </c>
      <c r="C1307" s="42" t="s">
        <v>558</v>
      </c>
      <c r="D1307" s="42" t="s">
        <v>2157</v>
      </c>
      <c r="E1307" s="42" t="s">
        <v>2158</v>
      </c>
      <c r="F1307" s="4">
        <v>1411.19</v>
      </c>
      <c r="G1307" s="47" t="s">
        <v>570</v>
      </c>
      <c r="H1307" s="12">
        <v>998361</v>
      </c>
      <c r="I1307" s="4">
        <v>0</v>
      </c>
      <c r="J1307" s="4">
        <v>0</v>
      </c>
      <c r="K1307" s="4">
        <v>215.27</v>
      </c>
      <c r="L1307" s="4">
        <v>0</v>
      </c>
      <c r="M1307" s="12" t="s">
        <v>571</v>
      </c>
      <c r="N1307" s="13">
        <f t="shared" si="35"/>
        <v>215.27</v>
      </c>
    </row>
    <row r="1308" spans="1:14">
      <c r="A1308" s="12">
        <v>1307</v>
      </c>
      <c r="B1308" s="1" t="s">
        <v>557</v>
      </c>
      <c r="C1308" s="42" t="s">
        <v>558</v>
      </c>
      <c r="D1308" s="42" t="s">
        <v>2159</v>
      </c>
      <c r="E1308" s="42" t="s">
        <v>2111</v>
      </c>
      <c r="F1308" s="4">
        <v>1359.04</v>
      </c>
      <c r="G1308" s="47" t="s">
        <v>570</v>
      </c>
      <c r="H1308" s="12">
        <v>998361</v>
      </c>
      <c r="I1308" s="4">
        <v>0</v>
      </c>
      <c r="J1308" s="4">
        <v>0</v>
      </c>
      <c r="K1308" s="4">
        <v>207.31</v>
      </c>
      <c r="L1308" s="4">
        <v>0</v>
      </c>
      <c r="M1308" s="12" t="s">
        <v>571</v>
      </c>
      <c r="N1308" s="13">
        <f t="shared" si="35"/>
        <v>207.31</v>
      </c>
    </row>
    <row r="1309" spans="1:14">
      <c r="A1309" s="12">
        <v>1308</v>
      </c>
      <c r="B1309" s="1" t="s">
        <v>557</v>
      </c>
      <c r="C1309" s="42" t="s">
        <v>558</v>
      </c>
      <c r="D1309" s="42" t="s">
        <v>2160</v>
      </c>
      <c r="E1309" s="42" t="s">
        <v>2161</v>
      </c>
      <c r="F1309" s="4">
        <v>1379.66</v>
      </c>
      <c r="G1309" s="47" t="s">
        <v>570</v>
      </c>
      <c r="H1309" s="12">
        <v>998361</v>
      </c>
      <c r="I1309" s="4">
        <v>0</v>
      </c>
      <c r="J1309" s="4">
        <v>0</v>
      </c>
      <c r="K1309" s="4">
        <v>210.46</v>
      </c>
      <c r="L1309" s="4">
        <v>0</v>
      </c>
      <c r="M1309" s="12" t="s">
        <v>571</v>
      </c>
      <c r="N1309" s="13">
        <f t="shared" si="35"/>
        <v>210.46</v>
      </c>
    </row>
    <row r="1310" spans="1:14">
      <c r="A1310" s="12">
        <v>1309</v>
      </c>
      <c r="B1310" s="1" t="s">
        <v>557</v>
      </c>
      <c r="C1310" s="42" t="s">
        <v>558</v>
      </c>
      <c r="D1310" s="42" t="s">
        <v>2162</v>
      </c>
      <c r="E1310" s="42" t="s">
        <v>2116</v>
      </c>
      <c r="F1310" s="4">
        <v>1342.49</v>
      </c>
      <c r="G1310" s="47" t="s">
        <v>570</v>
      </c>
      <c r="H1310" s="12">
        <v>998361</v>
      </c>
      <c r="I1310" s="4">
        <v>0</v>
      </c>
      <c r="J1310" s="4">
        <v>0</v>
      </c>
      <c r="K1310" s="4">
        <v>204.79</v>
      </c>
      <c r="L1310" s="4">
        <v>0</v>
      </c>
      <c r="M1310" s="12" t="s">
        <v>571</v>
      </c>
      <c r="N1310" s="13">
        <f t="shared" si="35"/>
        <v>204.79</v>
      </c>
    </row>
    <row r="1311" spans="1:14">
      <c r="A1311" s="12">
        <v>1310</v>
      </c>
      <c r="B1311" s="1" t="s">
        <v>557</v>
      </c>
      <c r="C1311" s="42" t="s">
        <v>558</v>
      </c>
      <c r="D1311" s="42" t="s">
        <v>2163</v>
      </c>
      <c r="E1311" s="42" t="s">
        <v>2164</v>
      </c>
      <c r="F1311" s="4">
        <v>1050.33</v>
      </c>
      <c r="G1311" s="47" t="s">
        <v>570</v>
      </c>
      <c r="H1311" s="12">
        <v>998361</v>
      </c>
      <c r="I1311" s="4">
        <v>0</v>
      </c>
      <c r="J1311" s="4">
        <v>0</v>
      </c>
      <c r="K1311" s="4">
        <v>160.22</v>
      </c>
      <c r="L1311" s="4">
        <v>0</v>
      </c>
      <c r="M1311" s="12" t="s">
        <v>571</v>
      </c>
      <c r="N1311" s="13">
        <f t="shared" si="35"/>
        <v>160.22</v>
      </c>
    </row>
    <row r="1312" spans="1:14">
      <c r="A1312" s="12">
        <v>1311</v>
      </c>
      <c r="B1312" s="1" t="s">
        <v>557</v>
      </c>
      <c r="C1312" s="42" t="s">
        <v>558</v>
      </c>
      <c r="D1312" s="42" t="s">
        <v>2165</v>
      </c>
      <c r="E1312" s="42" t="s">
        <v>2095</v>
      </c>
      <c r="F1312" s="4">
        <v>713.46</v>
      </c>
      <c r="G1312" s="47" t="s">
        <v>570</v>
      </c>
      <c r="H1312" s="12">
        <v>998361</v>
      </c>
      <c r="I1312" s="4">
        <v>0</v>
      </c>
      <c r="J1312" s="4">
        <v>0</v>
      </c>
      <c r="K1312" s="4">
        <v>108.83</v>
      </c>
      <c r="L1312" s="4">
        <v>0</v>
      </c>
      <c r="M1312" s="12" t="s">
        <v>571</v>
      </c>
      <c r="N1312" s="13">
        <f t="shared" si="35"/>
        <v>108.83</v>
      </c>
    </row>
    <row r="1313" spans="1:14">
      <c r="A1313" s="12">
        <v>1312</v>
      </c>
      <c r="B1313" s="1" t="s">
        <v>557</v>
      </c>
      <c r="C1313" s="42" t="s">
        <v>558</v>
      </c>
      <c r="D1313" s="42" t="s">
        <v>2166</v>
      </c>
      <c r="E1313" s="42" t="s">
        <v>2144</v>
      </c>
      <c r="F1313" s="4">
        <v>1190.0999999999999</v>
      </c>
      <c r="G1313" s="47" t="s">
        <v>570</v>
      </c>
      <c r="H1313" s="12">
        <v>998361</v>
      </c>
      <c r="I1313" s="4">
        <v>0</v>
      </c>
      <c r="J1313" s="4">
        <v>0</v>
      </c>
      <c r="K1313" s="4">
        <v>181.54</v>
      </c>
      <c r="L1313" s="4">
        <v>0</v>
      </c>
      <c r="M1313" s="12" t="s">
        <v>571</v>
      </c>
      <c r="N1313" s="13">
        <f t="shared" si="35"/>
        <v>181.54</v>
      </c>
    </row>
    <row r="1314" spans="1:14">
      <c r="A1314" s="12">
        <v>1313</v>
      </c>
      <c r="B1314" s="1" t="s">
        <v>557</v>
      </c>
      <c r="C1314" s="42" t="s">
        <v>558</v>
      </c>
      <c r="D1314" s="42" t="s">
        <v>2167</v>
      </c>
      <c r="E1314" s="42" t="s">
        <v>2118</v>
      </c>
      <c r="F1314" s="4">
        <v>1142.25</v>
      </c>
      <c r="G1314" s="47" t="s">
        <v>570</v>
      </c>
      <c r="H1314" s="12">
        <v>998361</v>
      </c>
      <c r="I1314" s="4">
        <v>0</v>
      </c>
      <c r="J1314" s="4">
        <v>0</v>
      </c>
      <c r="K1314" s="4">
        <v>174.24</v>
      </c>
      <c r="L1314" s="4">
        <v>0</v>
      </c>
      <c r="M1314" s="12" t="s">
        <v>571</v>
      </c>
      <c r="N1314" s="13">
        <f t="shared" si="35"/>
        <v>174.24</v>
      </c>
    </row>
    <row r="1315" spans="1:14">
      <c r="A1315" s="12">
        <v>1314</v>
      </c>
      <c r="B1315" s="1" t="s">
        <v>557</v>
      </c>
      <c r="C1315" s="42" t="s">
        <v>558</v>
      </c>
      <c r="D1315" s="42" t="s">
        <v>2168</v>
      </c>
      <c r="E1315" s="42" t="s">
        <v>2087</v>
      </c>
      <c r="F1315" s="4">
        <v>1649.33</v>
      </c>
      <c r="G1315" s="47" t="s">
        <v>570</v>
      </c>
      <c r="H1315" s="12">
        <v>998361</v>
      </c>
      <c r="I1315" s="4">
        <v>0</v>
      </c>
      <c r="J1315" s="4">
        <v>0</v>
      </c>
      <c r="K1315" s="4">
        <v>251.59</v>
      </c>
      <c r="L1315" s="4">
        <v>0</v>
      </c>
      <c r="M1315" s="12" t="s">
        <v>571</v>
      </c>
      <c r="N1315" s="13">
        <f t="shared" si="35"/>
        <v>251.59</v>
      </c>
    </row>
    <row r="1316" spans="1:14">
      <c r="A1316" s="12">
        <v>1315</v>
      </c>
      <c r="B1316" s="1" t="s">
        <v>557</v>
      </c>
      <c r="C1316" s="42" t="s">
        <v>558</v>
      </c>
      <c r="D1316" s="42" t="s">
        <v>2169</v>
      </c>
      <c r="E1316" s="42" t="s">
        <v>2170</v>
      </c>
      <c r="F1316" s="4">
        <v>2059.41</v>
      </c>
      <c r="G1316" s="47" t="s">
        <v>570</v>
      </c>
      <c r="H1316" s="12">
        <v>998361</v>
      </c>
      <c r="I1316" s="4">
        <v>0</v>
      </c>
      <c r="J1316" s="4">
        <v>0</v>
      </c>
      <c r="K1316" s="4">
        <v>314.14999999999998</v>
      </c>
      <c r="L1316" s="4">
        <v>0</v>
      </c>
      <c r="M1316" s="12" t="s">
        <v>571</v>
      </c>
      <c r="N1316" s="13">
        <f t="shared" si="35"/>
        <v>314.14999999999998</v>
      </c>
    </row>
    <row r="1317" spans="1:14">
      <c r="A1317" s="12">
        <v>1316</v>
      </c>
      <c r="B1317" s="1" t="s">
        <v>557</v>
      </c>
      <c r="C1317" s="42" t="s">
        <v>558</v>
      </c>
      <c r="D1317" s="42" t="s">
        <v>2171</v>
      </c>
      <c r="E1317" s="42" t="s">
        <v>2172</v>
      </c>
      <c r="F1317" s="4">
        <v>1914.56</v>
      </c>
      <c r="G1317" s="47" t="s">
        <v>570</v>
      </c>
      <c r="H1317" s="12">
        <v>998361</v>
      </c>
      <c r="I1317" s="4">
        <v>0</v>
      </c>
      <c r="J1317" s="4">
        <v>0</v>
      </c>
      <c r="K1317" s="4">
        <v>292.05</v>
      </c>
      <c r="L1317" s="4">
        <v>0</v>
      </c>
      <c r="M1317" s="12" t="s">
        <v>571</v>
      </c>
      <c r="N1317" s="13">
        <f t="shared" si="35"/>
        <v>292.05</v>
      </c>
    </row>
    <row r="1318" spans="1:14">
      <c r="A1318" s="12">
        <v>1317</v>
      </c>
      <c r="B1318" s="1" t="s">
        <v>557</v>
      </c>
      <c r="C1318" s="42" t="s">
        <v>558</v>
      </c>
      <c r="D1318" s="42" t="s">
        <v>2173</v>
      </c>
      <c r="E1318" s="42" t="s">
        <v>2152</v>
      </c>
      <c r="F1318" s="4">
        <v>1326.2</v>
      </c>
      <c r="G1318" s="47" t="s">
        <v>570</v>
      </c>
      <c r="H1318" s="12">
        <v>998361</v>
      </c>
      <c r="I1318" s="4">
        <v>0</v>
      </c>
      <c r="J1318" s="4">
        <v>0</v>
      </c>
      <c r="K1318" s="4">
        <v>202.3</v>
      </c>
      <c r="L1318" s="4">
        <v>0</v>
      </c>
      <c r="M1318" s="12" t="s">
        <v>571</v>
      </c>
      <c r="N1318" s="13">
        <f t="shared" si="35"/>
        <v>202.3</v>
      </c>
    </row>
    <row r="1319" spans="1:14">
      <c r="A1319" s="12">
        <v>1318</v>
      </c>
      <c r="B1319" s="1" t="s">
        <v>557</v>
      </c>
      <c r="C1319" s="42" t="s">
        <v>558</v>
      </c>
      <c r="D1319" s="42" t="s">
        <v>2174</v>
      </c>
      <c r="E1319" s="42" t="s">
        <v>2089</v>
      </c>
      <c r="F1319" s="4">
        <v>1391.74</v>
      </c>
      <c r="G1319" s="47" t="s">
        <v>570</v>
      </c>
      <c r="H1319" s="12">
        <v>998361</v>
      </c>
      <c r="I1319" s="4">
        <v>0</v>
      </c>
      <c r="J1319" s="4">
        <v>0</v>
      </c>
      <c r="K1319" s="4">
        <v>212.3</v>
      </c>
      <c r="L1319" s="4">
        <v>0</v>
      </c>
      <c r="M1319" s="12" t="s">
        <v>571</v>
      </c>
      <c r="N1319" s="13">
        <f t="shared" si="35"/>
        <v>212.3</v>
      </c>
    </row>
    <row r="1320" spans="1:14">
      <c r="A1320" s="12">
        <v>1319</v>
      </c>
      <c r="B1320" s="1" t="s">
        <v>557</v>
      </c>
      <c r="C1320" s="42" t="s">
        <v>558</v>
      </c>
      <c r="D1320" s="42" t="s">
        <v>2175</v>
      </c>
      <c r="E1320" s="42" t="s">
        <v>2138</v>
      </c>
      <c r="F1320" s="4">
        <v>1432.41</v>
      </c>
      <c r="G1320" s="47" t="s">
        <v>570</v>
      </c>
      <c r="H1320" s="12">
        <v>998361</v>
      </c>
      <c r="I1320" s="4">
        <v>0</v>
      </c>
      <c r="J1320" s="4">
        <v>0</v>
      </c>
      <c r="K1320" s="4">
        <v>218.5</v>
      </c>
      <c r="L1320" s="4">
        <v>0</v>
      </c>
      <c r="M1320" s="12" t="s">
        <v>571</v>
      </c>
      <c r="N1320" s="13">
        <f t="shared" si="35"/>
        <v>218.5</v>
      </c>
    </row>
    <row r="1321" spans="1:14">
      <c r="A1321" s="12">
        <v>1320</v>
      </c>
      <c r="B1321" s="1" t="s">
        <v>557</v>
      </c>
      <c r="C1321" s="42" t="s">
        <v>558</v>
      </c>
      <c r="D1321" s="42" t="s">
        <v>2176</v>
      </c>
      <c r="E1321" s="42" t="s">
        <v>2140</v>
      </c>
      <c r="F1321" s="4">
        <v>1123.51</v>
      </c>
      <c r="G1321" s="47" t="s">
        <v>570</v>
      </c>
      <c r="H1321" s="12">
        <v>998361</v>
      </c>
      <c r="I1321" s="4">
        <v>0</v>
      </c>
      <c r="J1321" s="4">
        <v>0</v>
      </c>
      <c r="K1321" s="4">
        <v>171.38</v>
      </c>
      <c r="L1321" s="4">
        <v>0</v>
      </c>
      <c r="M1321" s="12" t="s">
        <v>571</v>
      </c>
      <c r="N1321" s="13">
        <f t="shared" si="35"/>
        <v>171.38</v>
      </c>
    </row>
    <row r="1322" spans="1:14">
      <c r="A1322" s="12">
        <v>1321</v>
      </c>
      <c r="B1322" s="1" t="s">
        <v>557</v>
      </c>
      <c r="C1322" s="42" t="s">
        <v>558</v>
      </c>
      <c r="D1322" s="42" t="s">
        <v>2177</v>
      </c>
      <c r="E1322" s="42" t="s">
        <v>2178</v>
      </c>
      <c r="F1322" s="4">
        <v>576.03</v>
      </c>
      <c r="G1322" s="47" t="s">
        <v>570</v>
      </c>
      <c r="H1322" s="12">
        <v>998361</v>
      </c>
      <c r="I1322" s="4">
        <v>0</v>
      </c>
      <c r="J1322" s="4">
        <v>0</v>
      </c>
      <c r="K1322" s="4">
        <v>87.87</v>
      </c>
      <c r="L1322" s="4">
        <v>0</v>
      </c>
      <c r="M1322" s="12" t="s">
        <v>571</v>
      </c>
      <c r="N1322" s="13">
        <f t="shared" si="35"/>
        <v>87.87</v>
      </c>
    </row>
    <row r="1323" spans="1:14">
      <c r="A1323" s="12">
        <v>1322</v>
      </c>
      <c r="B1323" s="1" t="s">
        <v>557</v>
      </c>
      <c r="C1323" s="42" t="s">
        <v>558</v>
      </c>
      <c r="D1323" s="42" t="s">
        <v>2179</v>
      </c>
      <c r="E1323" s="42" t="s">
        <v>2180</v>
      </c>
      <c r="F1323" s="4">
        <v>601.16999999999996</v>
      </c>
      <c r="G1323" s="47" t="s">
        <v>570</v>
      </c>
      <c r="H1323" s="12">
        <v>998361</v>
      </c>
      <c r="I1323" s="4">
        <v>0</v>
      </c>
      <c r="J1323" s="4">
        <v>0</v>
      </c>
      <c r="K1323" s="4">
        <v>91.7</v>
      </c>
      <c r="L1323" s="4">
        <v>0</v>
      </c>
      <c r="M1323" s="12" t="s">
        <v>571</v>
      </c>
      <c r="N1323" s="13">
        <f t="shared" si="35"/>
        <v>91.7</v>
      </c>
    </row>
    <row r="1324" spans="1:14">
      <c r="A1324" s="12">
        <v>1323</v>
      </c>
      <c r="B1324" s="1" t="s">
        <v>557</v>
      </c>
      <c r="C1324" s="42" t="s">
        <v>558</v>
      </c>
      <c r="D1324" s="42" t="s">
        <v>2181</v>
      </c>
      <c r="E1324" s="42" t="s">
        <v>2182</v>
      </c>
      <c r="F1324" s="4">
        <v>777.48</v>
      </c>
      <c r="G1324" s="47" t="s">
        <v>570</v>
      </c>
      <c r="H1324" s="12">
        <v>998361</v>
      </c>
      <c r="I1324" s="4">
        <v>0</v>
      </c>
      <c r="J1324" s="4">
        <v>0</v>
      </c>
      <c r="K1324" s="4">
        <v>118.6</v>
      </c>
      <c r="L1324" s="4">
        <v>0</v>
      </c>
      <c r="M1324" s="12" t="s">
        <v>571</v>
      </c>
      <c r="N1324" s="13">
        <f t="shared" si="35"/>
        <v>118.6</v>
      </c>
    </row>
    <row r="1325" spans="1:14">
      <c r="A1325" s="12">
        <v>1324</v>
      </c>
      <c r="B1325" s="1" t="s">
        <v>557</v>
      </c>
      <c r="C1325" s="42" t="s">
        <v>558</v>
      </c>
      <c r="D1325" s="42" t="s">
        <v>2183</v>
      </c>
      <c r="E1325" s="42" t="s">
        <v>2184</v>
      </c>
      <c r="F1325" s="4">
        <v>891.93</v>
      </c>
      <c r="G1325" s="47" t="s">
        <v>570</v>
      </c>
      <c r="H1325" s="12">
        <v>998361</v>
      </c>
      <c r="I1325" s="4">
        <v>0</v>
      </c>
      <c r="J1325" s="4">
        <v>0</v>
      </c>
      <c r="K1325" s="4">
        <v>136.06</v>
      </c>
      <c r="L1325" s="4">
        <v>0</v>
      </c>
      <c r="M1325" s="12" t="s">
        <v>571</v>
      </c>
      <c r="N1325" s="13">
        <f t="shared" si="35"/>
        <v>136.06</v>
      </c>
    </row>
    <row r="1326" spans="1:14">
      <c r="A1326" s="12">
        <v>1325</v>
      </c>
      <c r="B1326" s="1" t="s">
        <v>557</v>
      </c>
      <c r="C1326" s="42" t="s">
        <v>558</v>
      </c>
      <c r="D1326" s="42" t="s">
        <v>2185</v>
      </c>
      <c r="E1326" s="42" t="s">
        <v>2085</v>
      </c>
      <c r="F1326" s="4">
        <v>883.47</v>
      </c>
      <c r="G1326" s="47" t="s">
        <v>570</v>
      </c>
      <c r="H1326" s="12">
        <v>998361</v>
      </c>
      <c r="I1326" s="4">
        <v>0</v>
      </c>
      <c r="J1326" s="4">
        <v>0</v>
      </c>
      <c r="K1326" s="4">
        <v>134.77000000000001</v>
      </c>
      <c r="L1326" s="4">
        <v>0</v>
      </c>
      <c r="M1326" s="12" t="s">
        <v>571</v>
      </c>
      <c r="N1326" s="13">
        <f t="shared" si="35"/>
        <v>134.77000000000001</v>
      </c>
    </row>
    <row r="1327" spans="1:14">
      <c r="A1327" s="12">
        <v>1326</v>
      </c>
      <c r="B1327" s="1" t="s">
        <v>557</v>
      </c>
      <c r="C1327" s="42" t="s">
        <v>558</v>
      </c>
      <c r="D1327" s="42" t="s">
        <v>2186</v>
      </c>
      <c r="E1327" s="42" t="s">
        <v>2081</v>
      </c>
      <c r="F1327" s="4">
        <v>798.33</v>
      </c>
      <c r="G1327" s="47" t="s">
        <v>570</v>
      </c>
      <c r="H1327" s="12">
        <v>998361</v>
      </c>
      <c r="I1327" s="4">
        <v>0</v>
      </c>
      <c r="J1327" s="4">
        <v>0</v>
      </c>
      <c r="K1327" s="4">
        <v>121.78</v>
      </c>
      <c r="L1327" s="4">
        <v>0</v>
      </c>
      <c r="M1327" s="12" t="s">
        <v>571</v>
      </c>
      <c r="N1327" s="13">
        <f t="shared" si="35"/>
        <v>121.78</v>
      </c>
    </row>
    <row r="1328" spans="1:14">
      <c r="A1328" s="12">
        <v>1327</v>
      </c>
      <c r="B1328" s="1" t="s">
        <v>557</v>
      </c>
      <c r="C1328" s="42" t="s">
        <v>558</v>
      </c>
      <c r="D1328" s="42" t="s">
        <v>2187</v>
      </c>
      <c r="E1328" s="42" t="s">
        <v>2188</v>
      </c>
      <c r="F1328" s="4">
        <v>1012.75</v>
      </c>
      <c r="G1328" s="47" t="s">
        <v>570</v>
      </c>
      <c r="H1328" s="12">
        <v>998361</v>
      </c>
      <c r="I1328" s="4">
        <v>0</v>
      </c>
      <c r="J1328" s="4">
        <v>0</v>
      </c>
      <c r="K1328" s="4">
        <v>154.49</v>
      </c>
      <c r="L1328" s="4">
        <v>0</v>
      </c>
      <c r="M1328" s="12" t="s">
        <v>571</v>
      </c>
      <c r="N1328" s="13">
        <f t="shared" si="35"/>
        <v>154.49</v>
      </c>
    </row>
    <row r="1329" spans="1:14">
      <c r="A1329" s="12">
        <v>1328</v>
      </c>
      <c r="B1329" s="1" t="s">
        <v>557</v>
      </c>
      <c r="C1329" s="42" t="s">
        <v>558</v>
      </c>
      <c r="D1329" s="42" t="s">
        <v>2189</v>
      </c>
      <c r="E1329" s="42" t="s">
        <v>2190</v>
      </c>
      <c r="F1329" s="4">
        <v>977.31</v>
      </c>
      <c r="G1329" s="47" t="s">
        <v>570</v>
      </c>
      <c r="H1329" s="12">
        <v>998361</v>
      </c>
      <c r="I1329" s="4">
        <v>0</v>
      </c>
      <c r="J1329" s="4">
        <v>0</v>
      </c>
      <c r="K1329" s="4">
        <v>149.08000000000001</v>
      </c>
      <c r="L1329" s="4">
        <v>0</v>
      </c>
      <c r="M1329" s="12" t="s">
        <v>571</v>
      </c>
      <c r="N1329" s="13">
        <f t="shared" si="35"/>
        <v>149.08000000000001</v>
      </c>
    </row>
    <row r="1330" spans="1:14">
      <c r="A1330" s="12">
        <v>1329</v>
      </c>
      <c r="B1330" s="1" t="s">
        <v>557</v>
      </c>
      <c r="C1330" s="42" t="s">
        <v>558</v>
      </c>
      <c r="D1330" s="42" t="s">
        <v>2191</v>
      </c>
      <c r="E1330" s="42" t="s">
        <v>2192</v>
      </c>
      <c r="F1330" s="4">
        <v>1045.74</v>
      </c>
      <c r="G1330" s="47" t="s">
        <v>570</v>
      </c>
      <c r="H1330" s="12">
        <v>998361</v>
      </c>
      <c r="I1330" s="4">
        <v>0</v>
      </c>
      <c r="J1330" s="4">
        <v>0</v>
      </c>
      <c r="K1330" s="4">
        <v>159.52000000000001</v>
      </c>
      <c r="L1330" s="4">
        <v>0</v>
      </c>
      <c r="M1330" s="12" t="s">
        <v>571</v>
      </c>
      <c r="N1330" s="13">
        <f t="shared" si="35"/>
        <v>159.52000000000001</v>
      </c>
    </row>
    <row r="1331" spans="1:14">
      <c r="A1331" s="12">
        <v>1330</v>
      </c>
      <c r="B1331" s="1" t="s">
        <v>557</v>
      </c>
      <c r="C1331" s="42" t="s">
        <v>558</v>
      </c>
      <c r="D1331" s="42" t="s">
        <v>2193</v>
      </c>
      <c r="E1331" s="42" t="s">
        <v>2194</v>
      </c>
      <c r="F1331" s="4">
        <v>1008.35</v>
      </c>
      <c r="G1331" s="47" t="s">
        <v>570</v>
      </c>
      <c r="H1331" s="12">
        <v>998361</v>
      </c>
      <c r="I1331" s="4">
        <v>0</v>
      </c>
      <c r="J1331" s="4">
        <v>0</v>
      </c>
      <c r="K1331" s="4">
        <v>153.82</v>
      </c>
      <c r="L1331" s="4">
        <v>0</v>
      </c>
      <c r="M1331" s="12" t="s">
        <v>571</v>
      </c>
      <c r="N1331" s="13">
        <f t="shared" si="35"/>
        <v>153.82</v>
      </c>
    </row>
    <row r="1332" spans="1:14">
      <c r="A1332" s="12">
        <v>1331</v>
      </c>
      <c r="B1332" s="1" t="s">
        <v>557</v>
      </c>
      <c r="C1332" s="42" t="s">
        <v>558</v>
      </c>
      <c r="D1332" s="42" t="s">
        <v>2195</v>
      </c>
      <c r="E1332" s="42" t="s">
        <v>2091</v>
      </c>
      <c r="F1332" s="4">
        <v>991.88</v>
      </c>
      <c r="G1332" s="47" t="s">
        <v>570</v>
      </c>
      <c r="H1332" s="12">
        <v>998361</v>
      </c>
      <c r="I1332" s="4">
        <v>0</v>
      </c>
      <c r="J1332" s="4">
        <v>0</v>
      </c>
      <c r="K1332" s="4">
        <v>151.30000000000001</v>
      </c>
      <c r="L1332" s="4">
        <v>0</v>
      </c>
      <c r="M1332" s="12" t="s">
        <v>571</v>
      </c>
      <c r="N1332" s="13">
        <f t="shared" si="35"/>
        <v>151.30000000000001</v>
      </c>
    </row>
    <row r="1333" spans="1:14">
      <c r="A1333" s="12">
        <v>1332</v>
      </c>
      <c r="B1333" s="1" t="s">
        <v>557</v>
      </c>
      <c r="C1333" s="42" t="s">
        <v>558</v>
      </c>
      <c r="D1333" s="42" t="s">
        <v>2196</v>
      </c>
      <c r="E1333" s="42" t="s">
        <v>2097</v>
      </c>
      <c r="F1333" s="4">
        <v>1006.19</v>
      </c>
      <c r="G1333" s="47" t="s">
        <v>570</v>
      </c>
      <c r="H1333" s="12">
        <v>998361</v>
      </c>
      <c r="I1333" s="4">
        <v>0</v>
      </c>
      <c r="J1333" s="4">
        <v>0</v>
      </c>
      <c r="K1333" s="4">
        <v>153.49</v>
      </c>
      <c r="L1333" s="4">
        <v>0</v>
      </c>
      <c r="M1333" s="12" t="s">
        <v>571</v>
      </c>
      <c r="N1333" s="13">
        <f t="shared" si="35"/>
        <v>153.49</v>
      </c>
    </row>
    <row r="1334" spans="1:14">
      <c r="A1334" s="12">
        <v>1333</v>
      </c>
      <c r="B1334" s="1" t="s">
        <v>557</v>
      </c>
      <c r="C1334" s="42" t="s">
        <v>558</v>
      </c>
      <c r="D1334" s="42" t="s">
        <v>2197</v>
      </c>
      <c r="E1334" s="42" t="s">
        <v>2076</v>
      </c>
      <c r="F1334" s="4">
        <v>891.07</v>
      </c>
      <c r="G1334" s="47" t="s">
        <v>570</v>
      </c>
      <c r="H1334" s="12">
        <v>998361</v>
      </c>
      <c r="I1334" s="4">
        <v>0</v>
      </c>
      <c r="J1334" s="4">
        <v>0</v>
      </c>
      <c r="K1334" s="4">
        <v>135.93</v>
      </c>
      <c r="L1334" s="4">
        <v>0</v>
      </c>
      <c r="M1334" s="12" t="s">
        <v>571</v>
      </c>
      <c r="N1334" s="13">
        <f t="shared" si="35"/>
        <v>135.93</v>
      </c>
    </row>
    <row r="1335" spans="1:14">
      <c r="A1335" s="12">
        <v>1334</v>
      </c>
      <c r="B1335" s="1" t="s">
        <v>2198</v>
      </c>
      <c r="C1335" s="42" t="s">
        <v>2199</v>
      </c>
      <c r="D1335" s="42" t="s">
        <v>2200</v>
      </c>
      <c r="E1335" s="42" t="s">
        <v>2184</v>
      </c>
      <c r="F1335" s="4">
        <v>708</v>
      </c>
      <c r="G1335" s="47" t="s">
        <v>1772</v>
      </c>
      <c r="H1335" s="12">
        <v>3824</v>
      </c>
      <c r="I1335" s="4">
        <v>0</v>
      </c>
      <c r="J1335" s="4">
        <v>0</v>
      </c>
      <c r="K1335" s="4">
        <v>108</v>
      </c>
      <c r="L1335" s="4">
        <v>0</v>
      </c>
      <c r="M1335" s="12" t="s">
        <v>571</v>
      </c>
      <c r="N1335" s="13">
        <f t="shared" si="35"/>
        <v>108</v>
      </c>
    </row>
    <row r="1336" spans="1:14">
      <c r="A1336" s="12">
        <v>1335</v>
      </c>
      <c r="B1336" s="1" t="s">
        <v>2201</v>
      </c>
      <c r="C1336" s="42" t="s">
        <v>2202</v>
      </c>
      <c r="D1336" s="42" t="s">
        <v>2203</v>
      </c>
      <c r="E1336" s="42" t="s">
        <v>2085</v>
      </c>
      <c r="F1336" s="4">
        <v>5500</v>
      </c>
      <c r="G1336" s="42" t="s">
        <v>2046</v>
      </c>
      <c r="H1336" s="12">
        <v>84502000</v>
      </c>
      <c r="I1336" s="4">
        <v>419.49</v>
      </c>
      <c r="J1336" s="4">
        <v>419.49</v>
      </c>
      <c r="K1336" s="4">
        <v>0</v>
      </c>
      <c r="L1336" s="4">
        <v>0</v>
      </c>
      <c r="M1336" s="14" t="s">
        <v>157</v>
      </c>
      <c r="N1336" s="15" t="s">
        <v>202</v>
      </c>
    </row>
    <row r="1337" spans="1:14">
      <c r="A1337" s="12">
        <v>1336</v>
      </c>
      <c r="B1337" s="1" t="s">
        <v>1691</v>
      </c>
      <c r="C1337" s="42" t="s">
        <v>1692</v>
      </c>
      <c r="D1337" s="42" t="s">
        <v>2204</v>
      </c>
      <c r="E1337" s="42" t="s">
        <v>2076</v>
      </c>
      <c r="F1337" s="4">
        <v>885</v>
      </c>
      <c r="G1337" s="47" t="s">
        <v>570</v>
      </c>
      <c r="H1337" s="12">
        <v>997159</v>
      </c>
      <c r="I1337" s="4">
        <v>0</v>
      </c>
      <c r="J1337" s="4">
        <v>0</v>
      </c>
      <c r="K1337" s="4">
        <v>135</v>
      </c>
      <c r="L1337" s="4">
        <v>0</v>
      </c>
      <c r="M1337" s="12" t="s">
        <v>571</v>
      </c>
      <c r="N1337" s="13">
        <f t="shared" ref="N1337:N1371" si="36">SUM(I1337:K1337)</f>
        <v>135</v>
      </c>
    </row>
    <row r="1338" spans="1:14">
      <c r="A1338" s="12">
        <v>1337</v>
      </c>
      <c r="B1338" s="1" t="s">
        <v>1620</v>
      </c>
      <c r="C1338" s="42" t="s">
        <v>1621</v>
      </c>
      <c r="D1338" s="42" t="s">
        <v>2205</v>
      </c>
      <c r="E1338" s="42" t="s">
        <v>2118</v>
      </c>
      <c r="F1338" s="4">
        <v>413</v>
      </c>
      <c r="G1338" s="47" t="s">
        <v>570</v>
      </c>
      <c r="H1338" s="12">
        <v>997159</v>
      </c>
      <c r="I1338" s="4">
        <v>0</v>
      </c>
      <c r="J1338" s="4">
        <v>0</v>
      </c>
      <c r="K1338" s="4">
        <v>63</v>
      </c>
      <c r="L1338" s="4">
        <v>0</v>
      </c>
      <c r="M1338" s="12" t="s">
        <v>571</v>
      </c>
      <c r="N1338" s="13">
        <f t="shared" si="36"/>
        <v>63</v>
      </c>
    </row>
    <row r="1339" spans="1:14">
      <c r="A1339" s="12">
        <v>1338</v>
      </c>
      <c r="B1339" s="1" t="s">
        <v>1620</v>
      </c>
      <c r="C1339" s="42" t="s">
        <v>1621</v>
      </c>
      <c r="D1339" s="42" t="s">
        <v>2206</v>
      </c>
      <c r="E1339" s="42" t="s">
        <v>2076</v>
      </c>
      <c r="F1339" s="4">
        <v>5848.86</v>
      </c>
      <c r="G1339" s="47" t="s">
        <v>570</v>
      </c>
      <c r="H1339" s="12">
        <v>997159</v>
      </c>
      <c r="I1339" s="4">
        <v>0</v>
      </c>
      <c r="J1339" s="4">
        <v>0</v>
      </c>
      <c r="K1339" s="4">
        <v>892.2</v>
      </c>
      <c r="L1339" s="4">
        <v>0</v>
      </c>
      <c r="M1339" s="12" t="s">
        <v>571</v>
      </c>
      <c r="N1339" s="13">
        <f t="shared" si="36"/>
        <v>892.2</v>
      </c>
    </row>
    <row r="1340" spans="1:14">
      <c r="A1340" s="12">
        <v>1339</v>
      </c>
      <c r="B1340" s="1" t="s">
        <v>1687</v>
      </c>
      <c r="C1340" s="42" t="s">
        <v>1688</v>
      </c>
      <c r="D1340" s="42" t="s">
        <v>2207</v>
      </c>
      <c r="E1340" s="42" t="s">
        <v>2081</v>
      </c>
      <c r="F1340" s="4">
        <v>12822</v>
      </c>
      <c r="G1340" s="47" t="s">
        <v>60</v>
      </c>
      <c r="H1340" s="29" t="s">
        <v>1641</v>
      </c>
      <c r="I1340" s="4">
        <v>305.27999999999997</v>
      </c>
      <c r="J1340" s="4">
        <v>305.27999999999997</v>
      </c>
      <c r="K1340" s="4">
        <v>0</v>
      </c>
      <c r="L1340" s="4">
        <v>0</v>
      </c>
      <c r="M1340" s="12" t="s">
        <v>571</v>
      </c>
      <c r="N1340" s="13">
        <f t="shared" si="36"/>
        <v>610.55999999999995</v>
      </c>
    </row>
    <row r="1341" spans="1:14">
      <c r="A1341" s="12">
        <v>1340</v>
      </c>
      <c r="B1341" s="1" t="s">
        <v>1626</v>
      </c>
      <c r="C1341" s="42" t="s">
        <v>1627</v>
      </c>
      <c r="D1341" s="42" t="s">
        <v>2208</v>
      </c>
      <c r="E1341" s="42" t="s">
        <v>2118</v>
      </c>
      <c r="F1341" s="4">
        <v>6991.5</v>
      </c>
      <c r="G1341" s="47" t="s">
        <v>60</v>
      </c>
      <c r="H1341" s="12">
        <v>3923</v>
      </c>
      <c r="I1341" s="4">
        <v>0</v>
      </c>
      <c r="J1341" s="4">
        <v>0</v>
      </c>
      <c r="K1341" s="4">
        <v>1066.5</v>
      </c>
      <c r="L1341" s="4">
        <v>0</v>
      </c>
      <c r="M1341" s="12" t="s">
        <v>571</v>
      </c>
      <c r="N1341" s="13">
        <f t="shared" si="36"/>
        <v>1066.5</v>
      </c>
    </row>
    <row r="1342" spans="1:14">
      <c r="A1342" s="12">
        <v>1341</v>
      </c>
      <c r="B1342" s="1" t="s">
        <v>1626</v>
      </c>
      <c r="C1342" s="42" t="s">
        <v>1627</v>
      </c>
      <c r="D1342" s="42" t="s">
        <v>2209</v>
      </c>
      <c r="E1342" s="42" t="s">
        <v>2188</v>
      </c>
      <c r="F1342" s="4">
        <v>637.20000000000005</v>
      </c>
      <c r="G1342" s="47" t="s">
        <v>60</v>
      </c>
      <c r="H1342" s="12">
        <v>3923</v>
      </c>
      <c r="I1342" s="4">
        <v>0</v>
      </c>
      <c r="J1342" s="4">
        <v>0</v>
      </c>
      <c r="K1342" s="4">
        <v>97.2</v>
      </c>
      <c r="L1342" s="4">
        <v>0</v>
      </c>
      <c r="M1342" s="12" t="s">
        <v>571</v>
      </c>
      <c r="N1342" s="13">
        <f t="shared" si="36"/>
        <v>97.2</v>
      </c>
    </row>
    <row r="1343" spans="1:14">
      <c r="A1343" s="12">
        <v>1342</v>
      </c>
      <c r="B1343" s="1" t="s">
        <v>2020</v>
      </c>
      <c r="C1343" s="42" t="s">
        <v>2021</v>
      </c>
      <c r="D1343" s="42" t="s">
        <v>2210</v>
      </c>
      <c r="E1343" s="42" t="s">
        <v>2076</v>
      </c>
      <c r="F1343" s="4">
        <v>169.21</v>
      </c>
      <c r="G1343" s="47" t="s">
        <v>570</v>
      </c>
      <c r="H1343" s="12">
        <v>998311</v>
      </c>
      <c r="I1343" s="4">
        <v>12.91</v>
      </c>
      <c r="J1343" s="4">
        <v>12.91</v>
      </c>
      <c r="K1343" s="4">
        <v>0</v>
      </c>
      <c r="L1343" s="4">
        <v>0</v>
      </c>
      <c r="M1343" s="12" t="s">
        <v>571</v>
      </c>
      <c r="N1343" s="13">
        <f t="shared" si="36"/>
        <v>25.82</v>
      </c>
    </row>
    <row r="1344" spans="1:14">
      <c r="A1344" s="12">
        <v>1343</v>
      </c>
      <c r="B1344" s="1" t="s">
        <v>1799</v>
      </c>
      <c r="C1344" s="42" t="s">
        <v>1800</v>
      </c>
      <c r="D1344" s="42" t="s">
        <v>2211</v>
      </c>
      <c r="E1344" s="42" t="s">
        <v>2076</v>
      </c>
      <c r="F1344" s="4">
        <v>1977.59</v>
      </c>
      <c r="G1344" s="47" t="s">
        <v>570</v>
      </c>
      <c r="H1344" s="12">
        <v>997159</v>
      </c>
      <c r="I1344" s="4">
        <v>150.83000000000001</v>
      </c>
      <c r="J1344" s="4">
        <v>150.83000000000001</v>
      </c>
      <c r="K1344" s="4">
        <v>0</v>
      </c>
      <c r="L1344" s="4">
        <v>0</v>
      </c>
      <c r="M1344" s="12" t="s">
        <v>571</v>
      </c>
      <c r="N1344" s="13">
        <f t="shared" si="36"/>
        <v>301.66000000000003</v>
      </c>
    </row>
    <row r="1345" spans="1:14">
      <c r="A1345" s="12">
        <v>1344</v>
      </c>
      <c r="B1345" s="1" t="s">
        <v>1766</v>
      </c>
      <c r="C1345" s="42" t="s">
        <v>1767</v>
      </c>
      <c r="D1345" s="42" t="s">
        <v>2212</v>
      </c>
      <c r="E1345" s="42" t="s">
        <v>2194</v>
      </c>
      <c r="F1345" s="4">
        <v>7.61</v>
      </c>
      <c r="G1345" s="47" t="s">
        <v>570</v>
      </c>
      <c r="H1345" s="12">
        <v>996511</v>
      </c>
      <c r="I1345" s="4">
        <v>0</v>
      </c>
      <c r="J1345" s="4">
        <v>0</v>
      </c>
      <c r="K1345" s="4">
        <v>1.1599999999999999</v>
      </c>
      <c r="L1345" s="4">
        <v>0</v>
      </c>
      <c r="M1345" s="12" t="s">
        <v>571</v>
      </c>
      <c r="N1345" s="13">
        <f t="shared" si="36"/>
        <v>1.1599999999999999</v>
      </c>
    </row>
    <row r="1346" spans="1:14">
      <c r="A1346" s="12">
        <v>1345</v>
      </c>
      <c r="B1346" s="1" t="s">
        <v>1766</v>
      </c>
      <c r="C1346" s="42" t="s">
        <v>1767</v>
      </c>
      <c r="D1346" s="42" t="s">
        <v>2213</v>
      </c>
      <c r="E1346" s="42" t="s">
        <v>2194</v>
      </c>
      <c r="F1346" s="4">
        <v>4332</v>
      </c>
      <c r="G1346" s="47" t="s">
        <v>570</v>
      </c>
      <c r="H1346" s="12">
        <v>996511</v>
      </c>
      <c r="I1346" s="4">
        <v>0</v>
      </c>
      <c r="J1346" s="4">
        <v>0</v>
      </c>
      <c r="K1346" s="4">
        <v>660.78</v>
      </c>
      <c r="L1346" s="4">
        <v>0</v>
      </c>
      <c r="M1346" s="12" t="s">
        <v>571</v>
      </c>
      <c r="N1346" s="13">
        <f t="shared" si="36"/>
        <v>660.78</v>
      </c>
    </row>
    <row r="1347" spans="1:14">
      <c r="A1347" s="12">
        <v>1346</v>
      </c>
      <c r="B1347" s="1" t="s">
        <v>1793</v>
      </c>
      <c r="C1347" s="42" t="s">
        <v>1794</v>
      </c>
      <c r="D1347" s="42" t="s">
        <v>2214</v>
      </c>
      <c r="E1347" s="42" t="s">
        <v>2076</v>
      </c>
      <c r="F1347" s="4">
        <v>12955.92</v>
      </c>
      <c r="G1347" s="47" t="s">
        <v>570</v>
      </c>
      <c r="H1347" s="12">
        <v>996812</v>
      </c>
      <c r="I1347" s="4">
        <v>988.16</v>
      </c>
      <c r="J1347" s="4">
        <v>988.16</v>
      </c>
      <c r="K1347" s="4">
        <v>0</v>
      </c>
      <c r="L1347" s="4">
        <v>0</v>
      </c>
      <c r="M1347" s="12" t="s">
        <v>571</v>
      </c>
      <c r="N1347" s="13">
        <f t="shared" si="36"/>
        <v>1976.32</v>
      </c>
    </row>
    <row r="1348" spans="1:14">
      <c r="A1348" s="12">
        <v>1347</v>
      </c>
      <c r="B1348" s="1" t="s">
        <v>1793</v>
      </c>
      <c r="C1348" s="42" t="s">
        <v>1794</v>
      </c>
      <c r="D1348" s="42" t="s">
        <v>2215</v>
      </c>
      <c r="E1348" s="42" t="s">
        <v>2076</v>
      </c>
      <c r="F1348" s="4">
        <v>3497.27</v>
      </c>
      <c r="G1348" s="47" t="s">
        <v>570</v>
      </c>
      <c r="H1348" s="12">
        <v>996812</v>
      </c>
      <c r="I1348" s="4">
        <v>266.74</v>
      </c>
      <c r="J1348" s="4">
        <v>266.74</v>
      </c>
      <c r="K1348" s="4">
        <v>0</v>
      </c>
      <c r="L1348" s="4">
        <v>0</v>
      </c>
      <c r="M1348" s="12" t="s">
        <v>571</v>
      </c>
      <c r="N1348" s="13">
        <f t="shared" si="36"/>
        <v>533.48</v>
      </c>
    </row>
    <row r="1349" spans="1:14">
      <c r="A1349" s="12">
        <v>1348</v>
      </c>
      <c r="B1349" s="1" t="s">
        <v>1793</v>
      </c>
      <c r="C1349" s="42" t="s">
        <v>1794</v>
      </c>
      <c r="D1349" s="42" t="s">
        <v>2216</v>
      </c>
      <c r="E1349" s="42" t="s">
        <v>2076</v>
      </c>
      <c r="F1349" s="4">
        <v>42766.74</v>
      </c>
      <c r="G1349" s="47" t="s">
        <v>570</v>
      </c>
      <c r="H1349" s="12">
        <v>996812</v>
      </c>
      <c r="I1349" s="4">
        <v>0</v>
      </c>
      <c r="J1349" s="4">
        <v>0</v>
      </c>
      <c r="K1349" s="4">
        <v>6523.74</v>
      </c>
      <c r="L1349" s="4">
        <v>0</v>
      </c>
      <c r="M1349" s="12" t="s">
        <v>571</v>
      </c>
      <c r="N1349" s="13">
        <f t="shared" si="36"/>
        <v>6523.74</v>
      </c>
    </row>
    <row r="1350" spans="1:14">
      <c r="A1350" s="12">
        <v>1349</v>
      </c>
      <c r="B1350" s="1" t="s">
        <v>1869</v>
      </c>
      <c r="C1350" s="42" t="s">
        <v>1870</v>
      </c>
      <c r="D1350" s="42" t="s">
        <v>2217</v>
      </c>
      <c r="E1350" s="42" t="s">
        <v>2076</v>
      </c>
      <c r="F1350" s="4">
        <v>22891.48</v>
      </c>
      <c r="G1350" s="47" t="s">
        <v>570</v>
      </c>
      <c r="H1350" s="12">
        <v>996812</v>
      </c>
      <c r="I1350" s="4">
        <v>1745.96</v>
      </c>
      <c r="J1350" s="4">
        <v>1745.96</v>
      </c>
      <c r="K1350" s="4">
        <v>0</v>
      </c>
      <c r="L1350" s="4">
        <v>0</v>
      </c>
      <c r="M1350" s="12" t="s">
        <v>571</v>
      </c>
      <c r="N1350" s="13">
        <f t="shared" si="36"/>
        <v>3491.92</v>
      </c>
    </row>
    <row r="1351" spans="1:14">
      <c r="A1351" s="12">
        <v>1350</v>
      </c>
      <c r="B1351" s="1" t="s">
        <v>1747</v>
      </c>
      <c r="C1351" s="42" t="s">
        <v>1748</v>
      </c>
      <c r="D1351" s="42" t="s">
        <v>2218</v>
      </c>
      <c r="E1351" s="42" t="s">
        <v>2190</v>
      </c>
      <c r="F1351" s="4">
        <v>20580</v>
      </c>
      <c r="G1351" s="47" t="s">
        <v>60</v>
      </c>
      <c r="H1351" s="29" t="s">
        <v>1700</v>
      </c>
      <c r="I1351" s="4">
        <v>0</v>
      </c>
      <c r="J1351" s="4">
        <v>0</v>
      </c>
      <c r="K1351" s="4">
        <v>980</v>
      </c>
      <c r="L1351" s="4">
        <v>0</v>
      </c>
      <c r="M1351" s="12" t="s">
        <v>571</v>
      </c>
      <c r="N1351" s="13">
        <f t="shared" si="36"/>
        <v>980</v>
      </c>
    </row>
    <row r="1352" spans="1:14">
      <c r="A1352" s="12">
        <v>1351</v>
      </c>
      <c r="B1352" s="1" t="s">
        <v>1753</v>
      </c>
      <c r="C1352" s="42" t="s">
        <v>1754</v>
      </c>
      <c r="D1352" s="42" t="s">
        <v>2219</v>
      </c>
      <c r="E1352" s="42" t="s">
        <v>2220</v>
      </c>
      <c r="F1352" s="4">
        <v>32543.22</v>
      </c>
      <c r="G1352" s="47" t="s">
        <v>60</v>
      </c>
      <c r="H1352" s="12">
        <v>4821</v>
      </c>
      <c r="I1352" s="4">
        <v>2482.11</v>
      </c>
      <c r="J1352" s="4">
        <v>2482.11</v>
      </c>
      <c r="K1352" s="4">
        <v>0</v>
      </c>
      <c r="L1352" s="4">
        <v>0</v>
      </c>
      <c r="M1352" s="12" t="s">
        <v>571</v>
      </c>
      <c r="N1352" s="13">
        <f t="shared" si="36"/>
        <v>4964.22</v>
      </c>
    </row>
    <row r="1353" spans="1:14">
      <c r="A1353" s="12">
        <v>1352</v>
      </c>
      <c r="B1353" s="1" t="s">
        <v>1753</v>
      </c>
      <c r="C1353" s="42" t="s">
        <v>1754</v>
      </c>
      <c r="D1353" s="42" t="s">
        <v>2221</v>
      </c>
      <c r="E1353" s="42" t="s">
        <v>2220</v>
      </c>
      <c r="F1353" s="4">
        <v>27621.439999999999</v>
      </c>
      <c r="G1353" s="47" t="s">
        <v>60</v>
      </c>
      <c r="H1353" s="12">
        <v>4911</v>
      </c>
      <c r="I1353" s="4">
        <v>2106.7199999999998</v>
      </c>
      <c r="J1353" s="4">
        <v>2106.7199999999998</v>
      </c>
      <c r="K1353" s="4">
        <v>0</v>
      </c>
      <c r="L1353" s="4">
        <v>0</v>
      </c>
      <c r="M1353" s="12" t="s">
        <v>571</v>
      </c>
      <c r="N1353" s="13">
        <f t="shared" si="36"/>
        <v>4213.4399999999996</v>
      </c>
    </row>
    <row r="1354" spans="1:14">
      <c r="A1354" s="12">
        <v>1353</v>
      </c>
      <c r="B1354" s="1" t="s">
        <v>1773</v>
      </c>
      <c r="C1354" s="42" t="s">
        <v>1774</v>
      </c>
      <c r="D1354" s="42" t="s">
        <v>2222</v>
      </c>
      <c r="E1354" s="42" t="s">
        <v>2076</v>
      </c>
      <c r="F1354" s="4">
        <v>4027.08</v>
      </c>
      <c r="G1354" s="47" t="s">
        <v>570</v>
      </c>
      <c r="H1354" s="12">
        <v>997159</v>
      </c>
      <c r="I1354" s="4">
        <v>307.14999999999998</v>
      </c>
      <c r="J1354" s="4">
        <v>307.14999999999998</v>
      </c>
      <c r="K1354" s="4">
        <v>0</v>
      </c>
      <c r="L1354" s="4">
        <v>0</v>
      </c>
      <c r="M1354" s="12" t="s">
        <v>571</v>
      </c>
      <c r="N1354" s="13">
        <f t="shared" si="36"/>
        <v>614.29999999999995</v>
      </c>
    </row>
    <row r="1355" spans="1:14">
      <c r="A1355" s="12">
        <v>1354</v>
      </c>
      <c r="B1355" s="1" t="s">
        <v>1876</v>
      </c>
      <c r="C1355" s="42" t="s">
        <v>1877</v>
      </c>
      <c r="D1355" s="42" t="s">
        <v>2223</v>
      </c>
      <c r="E1355" s="42" t="s">
        <v>2081</v>
      </c>
      <c r="F1355" s="4">
        <v>15576</v>
      </c>
      <c r="G1355" s="47" t="s">
        <v>570</v>
      </c>
      <c r="H1355" s="12">
        <v>3923</v>
      </c>
      <c r="I1355" s="4">
        <v>0</v>
      </c>
      <c r="J1355" s="4">
        <v>0</v>
      </c>
      <c r="K1355" s="4">
        <v>2376</v>
      </c>
      <c r="L1355" s="4">
        <v>0</v>
      </c>
      <c r="M1355" s="12" t="s">
        <v>571</v>
      </c>
      <c r="N1355" s="13">
        <f t="shared" si="36"/>
        <v>2376</v>
      </c>
    </row>
    <row r="1356" spans="1:14">
      <c r="A1356" s="12">
        <v>1355</v>
      </c>
      <c r="B1356" s="1" t="s">
        <v>1876</v>
      </c>
      <c r="C1356" s="42" t="s">
        <v>1877</v>
      </c>
      <c r="D1356" s="42" t="s">
        <v>2224</v>
      </c>
      <c r="E1356" s="42" t="s">
        <v>2081</v>
      </c>
      <c r="F1356" s="4">
        <v>5264</v>
      </c>
      <c r="G1356" s="47" t="s">
        <v>570</v>
      </c>
      <c r="H1356" s="12">
        <v>3923</v>
      </c>
      <c r="I1356" s="4">
        <v>401.49</v>
      </c>
      <c r="J1356" s="4">
        <v>401.49</v>
      </c>
      <c r="K1356" s="4">
        <v>0</v>
      </c>
      <c r="L1356" s="4">
        <v>0</v>
      </c>
      <c r="M1356" s="12" t="s">
        <v>571</v>
      </c>
      <c r="N1356" s="13">
        <f t="shared" si="36"/>
        <v>802.98</v>
      </c>
    </row>
    <row r="1357" spans="1:14">
      <c r="A1357" s="12">
        <v>1356</v>
      </c>
      <c r="B1357" s="1" t="s">
        <v>1876</v>
      </c>
      <c r="C1357" s="42" t="s">
        <v>1877</v>
      </c>
      <c r="D1357" s="42" t="s">
        <v>2225</v>
      </c>
      <c r="E1357" s="42" t="s">
        <v>2091</v>
      </c>
      <c r="F1357" s="4">
        <v>1180</v>
      </c>
      <c r="G1357" s="47" t="s">
        <v>570</v>
      </c>
      <c r="H1357" s="12">
        <v>3923</v>
      </c>
      <c r="I1357" s="4">
        <v>90</v>
      </c>
      <c r="J1357" s="4">
        <v>90</v>
      </c>
      <c r="K1357" s="4">
        <v>0</v>
      </c>
      <c r="L1357" s="4">
        <v>0</v>
      </c>
      <c r="M1357" s="12" t="s">
        <v>571</v>
      </c>
      <c r="N1357" s="13">
        <f t="shared" si="36"/>
        <v>180</v>
      </c>
    </row>
    <row r="1358" spans="1:14">
      <c r="A1358" s="12">
        <v>1357</v>
      </c>
      <c r="B1358" s="1" t="s">
        <v>1776</v>
      </c>
      <c r="C1358" s="42" t="s">
        <v>1777</v>
      </c>
      <c r="D1358" s="42" t="s">
        <v>2226</v>
      </c>
      <c r="E1358" s="42" t="s">
        <v>2111</v>
      </c>
      <c r="F1358" s="4">
        <v>2159.4</v>
      </c>
      <c r="G1358" s="47" t="s">
        <v>570</v>
      </c>
      <c r="H1358" s="12">
        <v>3923</v>
      </c>
      <c r="I1358" s="4">
        <v>164.7</v>
      </c>
      <c r="J1358" s="4">
        <v>164.7</v>
      </c>
      <c r="K1358" s="4">
        <v>0</v>
      </c>
      <c r="L1358" s="4">
        <v>0</v>
      </c>
      <c r="M1358" s="12" t="s">
        <v>571</v>
      </c>
      <c r="N1358" s="13">
        <f t="shared" si="36"/>
        <v>329.4</v>
      </c>
    </row>
    <row r="1359" spans="1:14">
      <c r="A1359" s="12">
        <v>1358</v>
      </c>
      <c r="B1359" s="1" t="s">
        <v>1776</v>
      </c>
      <c r="C1359" s="42" t="s">
        <v>1777</v>
      </c>
      <c r="D1359" s="42" t="s">
        <v>2227</v>
      </c>
      <c r="E1359" s="42" t="s">
        <v>2106</v>
      </c>
      <c r="F1359" s="4">
        <v>2625.5</v>
      </c>
      <c r="G1359" s="47" t="s">
        <v>570</v>
      </c>
      <c r="H1359" s="12">
        <v>3923</v>
      </c>
      <c r="I1359" s="4">
        <v>200.25</v>
      </c>
      <c r="J1359" s="4">
        <v>200.25</v>
      </c>
      <c r="K1359" s="4">
        <v>0</v>
      </c>
      <c r="L1359" s="4">
        <v>0</v>
      </c>
      <c r="M1359" s="12" t="s">
        <v>571</v>
      </c>
      <c r="N1359" s="13">
        <f t="shared" si="36"/>
        <v>400.5</v>
      </c>
    </row>
    <row r="1360" spans="1:14">
      <c r="A1360" s="12">
        <v>1359</v>
      </c>
      <c r="B1360" s="1" t="s">
        <v>1776</v>
      </c>
      <c r="C1360" s="42" t="s">
        <v>1777</v>
      </c>
      <c r="D1360" s="42" t="s">
        <v>2228</v>
      </c>
      <c r="E1360" s="42" t="s">
        <v>2089</v>
      </c>
      <c r="F1360" s="4">
        <v>1303.9000000000001</v>
      </c>
      <c r="G1360" s="47" t="s">
        <v>570</v>
      </c>
      <c r="H1360" s="12">
        <v>3923</v>
      </c>
      <c r="I1360" s="4">
        <v>99.45</v>
      </c>
      <c r="J1360" s="4">
        <v>99.45</v>
      </c>
      <c r="K1360" s="4">
        <v>0</v>
      </c>
      <c r="L1360" s="4">
        <v>0</v>
      </c>
      <c r="M1360" s="12" t="s">
        <v>571</v>
      </c>
      <c r="N1360" s="13">
        <f t="shared" si="36"/>
        <v>198.9</v>
      </c>
    </row>
    <row r="1361" spans="1:14">
      <c r="A1361" s="12">
        <v>1360</v>
      </c>
      <c r="B1361" s="1" t="s">
        <v>1776</v>
      </c>
      <c r="C1361" s="42" t="s">
        <v>1777</v>
      </c>
      <c r="D1361" s="42" t="s">
        <v>2229</v>
      </c>
      <c r="E1361" s="42" t="s">
        <v>2184</v>
      </c>
      <c r="F1361" s="4">
        <v>7078.82</v>
      </c>
      <c r="G1361" s="47" t="s">
        <v>570</v>
      </c>
      <c r="H1361" s="12">
        <v>3923</v>
      </c>
      <c r="I1361" s="4">
        <v>539.91</v>
      </c>
      <c r="J1361" s="4">
        <v>539.91</v>
      </c>
      <c r="K1361" s="4">
        <v>0</v>
      </c>
      <c r="L1361" s="4">
        <v>0</v>
      </c>
      <c r="M1361" s="12" t="s">
        <v>571</v>
      </c>
      <c r="N1361" s="13">
        <f t="shared" si="36"/>
        <v>1079.82</v>
      </c>
    </row>
    <row r="1362" spans="1:14">
      <c r="A1362" s="12">
        <v>1361</v>
      </c>
      <c r="B1362" s="1" t="s">
        <v>1776</v>
      </c>
      <c r="C1362" s="42" t="s">
        <v>1777</v>
      </c>
      <c r="D1362" s="42" t="s">
        <v>2230</v>
      </c>
      <c r="E1362" s="42" t="s">
        <v>2091</v>
      </c>
      <c r="F1362" s="4">
        <v>7398.6</v>
      </c>
      <c r="G1362" s="47" t="s">
        <v>570</v>
      </c>
      <c r="H1362" s="12">
        <v>3923</v>
      </c>
      <c r="I1362" s="4">
        <v>564.29999999999995</v>
      </c>
      <c r="J1362" s="4">
        <v>564.29999999999995</v>
      </c>
      <c r="K1362" s="4">
        <v>0</v>
      </c>
      <c r="L1362" s="4">
        <v>0</v>
      </c>
      <c r="M1362" s="12" t="s">
        <v>571</v>
      </c>
      <c r="N1362" s="13">
        <f t="shared" si="36"/>
        <v>1128.5999999999999</v>
      </c>
    </row>
    <row r="1363" spans="1:14">
      <c r="A1363" s="12">
        <v>1362</v>
      </c>
      <c r="B1363" s="1" t="s">
        <v>1776</v>
      </c>
      <c r="C1363" s="42" t="s">
        <v>1777</v>
      </c>
      <c r="D1363" s="42" t="s">
        <v>2231</v>
      </c>
      <c r="E1363" s="42" t="s">
        <v>2091</v>
      </c>
      <c r="F1363" s="4">
        <v>4796.7</v>
      </c>
      <c r="G1363" s="47" t="s">
        <v>570</v>
      </c>
      <c r="H1363" s="12">
        <v>3923</v>
      </c>
      <c r="I1363" s="4">
        <v>365.85</v>
      </c>
      <c r="J1363" s="4">
        <v>365.85</v>
      </c>
      <c r="K1363" s="4">
        <v>0</v>
      </c>
      <c r="L1363" s="4">
        <v>0</v>
      </c>
      <c r="M1363" s="12" t="s">
        <v>571</v>
      </c>
      <c r="N1363" s="13">
        <f t="shared" si="36"/>
        <v>731.7</v>
      </c>
    </row>
    <row r="1364" spans="1:14">
      <c r="A1364" s="12">
        <v>1363</v>
      </c>
      <c r="B1364" s="1" t="s">
        <v>1776</v>
      </c>
      <c r="C1364" s="42" t="s">
        <v>1777</v>
      </c>
      <c r="D1364" s="42" t="s">
        <v>2232</v>
      </c>
      <c r="E1364" s="42" t="s">
        <v>2091</v>
      </c>
      <c r="F1364" s="4">
        <v>1209.5</v>
      </c>
      <c r="G1364" s="47" t="s">
        <v>570</v>
      </c>
      <c r="H1364" s="12">
        <v>3923</v>
      </c>
      <c r="I1364" s="4">
        <v>92.25</v>
      </c>
      <c r="J1364" s="4">
        <v>92.25</v>
      </c>
      <c r="K1364" s="4">
        <v>0</v>
      </c>
      <c r="L1364" s="4">
        <v>0</v>
      </c>
      <c r="M1364" s="12" t="s">
        <v>571</v>
      </c>
      <c r="N1364" s="13">
        <f t="shared" si="36"/>
        <v>184.5</v>
      </c>
    </row>
    <row r="1365" spans="1:14">
      <c r="A1365" s="12">
        <v>1364</v>
      </c>
      <c r="B1365" s="1" t="s">
        <v>1776</v>
      </c>
      <c r="C1365" s="42" t="s">
        <v>1777</v>
      </c>
      <c r="D1365" s="42" t="s">
        <v>2233</v>
      </c>
      <c r="E1365" s="42" t="s">
        <v>2091</v>
      </c>
      <c r="F1365" s="4">
        <v>1398.3</v>
      </c>
      <c r="G1365" s="47" t="s">
        <v>570</v>
      </c>
      <c r="H1365" s="12">
        <v>3923</v>
      </c>
      <c r="I1365" s="4">
        <v>106.65</v>
      </c>
      <c r="J1365" s="4">
        <v>106.65</v>
      </c>
      <c r="K1365" s="4">
        <v>0</v>
      </c>
      <c r="L1365" s="4">
        <v>0</v>
      </c>
      <c r="M1365" s="12" t="s">
        <v>571</v>
      </c>
      <c r="N1365" s="13">
        <f t="shared" si="36"/>
        <v>213.3</v>
      </c>
    </row>
    <row r="1366" spans="1:14">
      <c r="A1366" s="12">
        <v>1365</v>
      </c>
      <c r="B1366" s="1" t="s">
        <v>2040</v>
      </c>
      <c r="C1366" s="42" t="s">
        <v>2041</v>
      </c>
      <c r="D1366" s="42" t="s">
        <v>2234</v>
      </c>
      <c r="E1366" s="42" t="s">
        <v>2184</v>
      </c>
      <c r="F1366" s="4">
        <v>736</v>
      </c>
      <c r="G1366" s="47" t="s">
        <v>570</v>
      </c>
      <c r="H1366" s="12">
        <v>998346</v>
      </c>
      <c r="I1366" s="4">
        <v>0</v>
      </c>
      <c r="J1366" s="4">
        <v>0</v>
      </c>
      <c r="K1366" s="4">
        <v>3</v>
      </c>
      <c r="L1366" s="4">
        <v>0</v>
      </c>
      <c r="M1366" s="12" t="s">
        <v>571</v>
      </c>
      <c r="N1366" s="13">
        <f t="shared" si="36"/>
        <v>3</v>
      </c>
    </row>
    <row r="1367" spans="1:14">
      <c r="A1367" s="12">
        <v>1366</v>
      </c>
      <c r="B1367" s="1" t="s">
        <v>2040</v>
      </c>
      <c r="C1367" s="42" t="s">
        <v>2041</v>
      </c>
      <c r="D1367" s="42" t="s">
        <v>2234</v>
      </c>
      <c r="E1367" s="42" t="s">
        <v>2184</v>
      </c>
      <c r="F1367" s="4">
        <v>736</v>
      </c>
      <c r="G1367" s="47" t="s">
        <v>570</v>
      </c>
      <c r="H1367" s="12">
        <v>998346</v>
      </c>
      <c r="I1367" s="4">
        <v>0</v>
      </c>
      <c r="J1367" s="4">
        <v>0</v>
      </c>
      <c r="K1367" s="4">
        <v>108</v>
      </c>
      <c r="L1367" s="4">
        <v>0</v>
      </c>
      <c r="M1367" s="12" t="s">
        <v>571</v>
      </c>
      <c r="N1367" s="13">
        <f t="shared" si="36"/>
        <v>108</v>
      </c>
    </row>
    <row r="1368" spans="1:14">
      <c r="A1368" s="12">
        <v>1367</v>
      </c>
      <c r="B1368" s="1" t="s">
        <v>1799</v>
      </c>
      <c r="C1368" s="42" t="s">
        <v>1800</v>
      </c>
      <c r="D1368" s="42" t="s">
        <v>2235</v>
      </c>
      <c r="E1368" s="42" t="s">
        <v>2076</v>
      </c>
      <c r="F1368" s="12">
        <v>-51.92</v>
      </c>
      <c r="G1368" s="47" t="s">
        <v>570</v>
      </c>
      <c r="H1368" s="12">
        <v>997159</v>
      </c>
      <c r="I1368" s="12">
        <v>-3.96</v>
      </c>
      <c r="J1368" s="12">
        <v>-3.96</v>
      </c>
      <c r="K1368" s="12">
        <v>0</v>
      </c>
      <c r="L1368" s="4">
        <v>0</v>
      </c>
      <c r="M1368" s="12" t="s">
        <v>571</v>
      </c>
      <c r="N1368" s="13">
        <f t="shared" si="36"/>
        <v>-7.92</v>
      </c>
    </row>
    <row r="1369" spans="1:14">
      <c r="A1369" s="12">
        <v>1368</v>
      </c>
      <c r="B1369" s="1" t="s">
        <v>557</v>
      </c>
      <c r="C1369" s="42" t="s">
        <v>558</v>
      </c>
      <c r="D1369" s="42" t="s">
        <v>2236</v>
      </c>
      <c r="E1369" s="42" t="s">
        <v>2116</v>
      </c>
      <c r="F1369" s="12">
        <v>-0.01</v>
      </c>
      <c r="G1369" s="47" t="s">
        <v>570</v>
      </c>
      <c r="H1369" s="12">
        <v>998361</v>
      </c>
      <c r="I1369" s="12">
        <v>0</v>
      </c>
      <c r="J1369" s="12">
        <v>0</v>
      </c>
      <c r="K1369" s="12">
        <v>0</v>
      </c>
      <c r="L1369" s="4">
        <v>0</v>
      </c>
      <c r="M1369" s="12" t="s">
        <v>571</v>
      </c>
      <c r="N1369" s="13">
        <f t="shared" si="36"/>
        <v>0</v>
      </c>
    </row>
    <row r="1370" spans="1:14">
      <c r="A1370" s="12">
        <v>1369</v>
      </c>
      <c r="B1370" s="1" t="s">
        <v>1824</v>
      </c>
      <c r="C1370" s="42" t="s">
        <v>1825</v>
      </c>
      <c r="D1370" s="42" t="s">
        <v>2237</v>
      </c>
      <c r="E1370" s="42" t="s">
        <v>2190</v>
      </c>
      <c r="F1370" s="12">
        <v>-734.3</v>
      </c>
      <c r="G1370" s="47" t="s">
        <v>570</v>
      </c>
      <c r="H1370" s="12">
        <v>997159</v>
      </c>
      <c r="I1370" s="12">
        <v>0</v>
      </c>
      <c r="J1370" s="12">
        <v>0</v>
      </c>
      <c r="K1370" s="12">
        <v>-112.01</v>
      </c>
      <c r="L1370" s="4">
        <v>0</v>
      </c>
      <c r="M1370" s="12" t="s">
        <v>571</v>
      </c>
      <c r="N1370" s="13">
        <f t="shared" si="36"/>
        <v>-112.01</v>
      </c>
    </row>
    <row r="1371" spans="1:14">
      <c r="A1371" s="12">
        <v>1370</v>
      </c>
      <c r="B1371" s="1" t="s">
        <v>1824</v>
      </c>
      <c r="C1371" s="42" t="s">
        <v>1825</v>
      </c>
      <c r="D1371" s="42" t="s">
        <v>2238</v>
      </c>
      <c r="E1371" s="42" t="s">
        <v>2076</v>
      </c>
      <c r="F1371" s="12">
        <v>-160.83000000000001</v>
      </c>
      <c r="G1371" s="47" t="s">
        <v>570</v>
      </c>
      <c r="H1371" s="12">
        <v>997159</v>
      </c>
      <c r="I1371" s="12">
        <v>0</v>
      </c>
      <c r="J1371" s="12">
        <v>0</v>
      </c>
      <c r="K1371" s="12">
        <v>-24.51</v>
      </c>
      <c r="L1371" s="4">
        <v>0</v>
      </c>
      <c r="M1371" s="12" t="s">
        <v>571</v>
      </c>
      <c r="N1371" s="13">
        <f t="shared" si="36"/>
        <v>-24.51</v>
      </c>
    </row>
    <row r="1372" spans="1:14">
      <c r="A1372" s="12">
        <v>1371</v>
      </c>
      <c r="B1372" s="1" t="s">
        <v>2239</v>
      </c>
      <c r="C1372" s="42" t="s">
        <v>2240</v>
      </c>
      <c r="D1372" s="42" t="s">
        <v>2241</v>
      </c>
      <c r="E1372" s="42" t="s">
        <v>2242</v>
      </c>
      <c r="F1372" s="4">
        <v>10993</v>
      </c>
      <c r="G1372" s="47" t="s">
        <v>2046</v>
      </c>
      <c r="H1372" s="12">
        <v>440181</v>
      </c>
      <c r="I1372" s="4">
        <v>2.02</v>
      </c>
      <c r="J1372" s="4">
        <v>2.02</v>
      </c>
      <c r="K1372" s="4">
        <v>0</v>
      </c>
      <c r="L1372" s="4">
        <v>0</v>
      </c>
      <c r="M1372" s="14" t="s">
        <v>157</v>
      </c>
      <c r="N1372" s="15" t="s">
        <v>202</v>
      </c>
    </row>
    <row r="1373" spans="1:14">
      <c r="A1373" s="12">
        <v>1372</v>
      </c>
      <c r="B1373" s="1" t="s">
        <v>2239</v>
      </c>
      <c r="C1373" s="42" t="s">
        <v>2240</v>
      </c>
      <c r="D1373" s="42" t="s">
        <v>2241</v>
      </c>
      <c r="E1373" s="42" t="s">
        <v>2242</v>
      </c>
      <c r="F1373" s="4">
        <v>10993</v>
      </c>
      <c r="G1373" s="47" t="s">
        <v>2046</v>
      </c>
      <c r="H1373" s="12">
        <v>440181</v>
      </c>
      <c r="I1373" s="4">
        <v>831.97</v>
      </c>
      <c r="J1373" s="4">
        <v>831.97</v>
      </c>
      <c r="K1373" s="4">
        <v>0</v>
      </c>
      <c r="L1373" s="4">
        <v>0</v>
      </c>
      <c r="M1373" s="14" t="s">
        <v>157</v>
      </c>
      <c r="N1373" s="15" t="s">
        <v>202</v>
      </c>
    </row>
    <row r="1374" spans="1:14">
      <c r="A1374" s="12">
        <v>1373</v>
      </c>
      <c r="B1374" s="1" t="s">
        <v>2243</v>
      </c>
      <c r="C1374" s="42" t="s">
        <v>2244</v>
      </c>
      <c r="D1374" s="42" t="s">
        <v>2245</v>
      </c>
      <c r="E1374" s="42" t="s">
        <v>2246</v>
      </c>
      <c r="F1374" s="4">
        <v>8850</v>
      </c>
      <c r="G1374" s="47" t="s">
        <v>570</v>
      </c>
      <c r="H1374" s="12">
        <v>998311</v>
      </c>
      <c r="I1374" s="4">
        <v>675</v>
      </c>
      <c r="J1374" s="4">
        <v>675</v>
      </c>
      <c r="K1374" s="4">
        <v>0</v>
      </c>
      <c r="L1374" s="4">
        <v>0</v>
      </c>
      <c r="M1374" s="12" t="s">
        <v>571</v>
      </c>
      <c r="N1374" s="13">
        <f t="shared" ref="N1374:N1376" si="37">SUM(I1374:K1374)</f>
        <v>1350</v>
      </c>
    </row>
    <row r="1375" spans="1:14">
      <c r="A1375" s="12">
        <v>1374</v>
      </c>
      <c r="B1375" s="1" t="s">
        <v>1766</v>
      </c>
      <c r="C1375" s="42" t="s">
        <v>1767</v>
      </c>
      <c r="D1375" s="42" t="s">
        <v>2247</v>
      </c>
      <c r="E1375" s="42" t="s">
        <v>2248</v>
      </c>
      <c r="F1375" s="4">
        <v>8317</v>
      </c>
      <c r="G1375" s="47" t="s">
        <v>570</v>
      </c>
      <c r="H1375" s="12">
        <v>996511</v>
      </c>
      <c r="I1375" s="4">
        <v>0</v>
      </c>
      <c r="J1375" s="4">
        <v>0</v>
      </c>
      <c r="K1375" s="4">
        <v>1268.6500000000001</v>
      </c>
      <c r="L1375" s="4">
        <v>0</v>
      </c>
      <c r="M1375" s="12" t="s">
        <v>571</v>
      </c>
      <c r="N1375" s="13">
        <f t="shared" si="37"/>
        <v>1268.6500000000001</v>
      </c>
    </row>
    <row r="1376" spans="1:14">
      <c r="A1376" s="12">
        <v>1375</v>
      </c>
      <c r="B1376" s="1" t="s">
        <v>1766</v>
      </c>
      <c r="C1376" s="42" t="s">
        <v>1767</v>
      </c>
      <c r="D1376" s="42" t="s">
        <v>2249</v>
      </c>
      <c r="E1376" s="42" t="s">
        <v>2248</v>
      </c>
      <c r="F1376" s="4">
        <v>149.22999999999999</v>
      </c>
      <c r="G1376" s="47" t="s">
        <v>570</v>
      </c>
      <c r="H1376" s="12">
        <v>996511</v>
      </c>
      <c r="I1376" s="4">
        <v>0</v>
      </c>
      <c r="J1376" s="4">
        <v>0</v>
      </c>
      <c r="K1376" s="4">
        <v>22.76</v>
      </c>
      <c r="L1376" s="4">
        <v>0</v>
      </c>
      <c r="M1376" s="12" t="s">
        <v>571</v>
      </c>
      <c r="N1376" s="13">
        <f t="shared" si="37"/>
        <v>22.76</v>
      </c>
    </row>
    <row r="1377" spans="1:14">
      <c r="A1377" s="12">
        <v>1376</v>
      </c>
      <c r="B1377" s="1" t="s">
        <v>2250</v>
      </c>
      <c r="C1377" s="42" t="s">
        <v>2251</v>
      </c>
      <c r="D1377" s="42" t="s">
        <v>2252</v>
      </c>
      <c r="E1377" s="42" t="s">
        <v>2152</v>
      </c>
      <c r="F1377" s="4">
        <v>321.60000000000002</v>
      </c>
      <c r="G1377" s="47" t="s">
        <v>1772</v>
      </c>
      <c r="H1377" s="12">
        <v>6208</v>
      </c>
      <c r="I1377" s="4">
        <v>0</v>
      </c>
      <c r="J1377" s="4">
        <v>0</v>
      </c>
      <c r="K1377" s="4">
        <v>34.46</v>
      </c>
      <c r="L1377" s="4">
        <v>0</v>
      </c>
      <c r="M1377" s="14" t="s">
        <v>157</v>
      </c>
      <c r="N1377" s="15" t="s">
        <v>202</v>
      </c>
    </row>
    <row r="1378" spans="1:14">
      <c r="A1378" s="12">
        <v>1377</v>
      </c>
      <c r="B1378" s="1" t="s">
        <v>1799</v>
      </c>
      <c r="C1378" s="42" t="s">
        <v>1800</v>
      </c>
      <c r="D1378" s="42" t="s">
        <v>2253</v>
      </c>
      <c r="E1378" s="42" t="s">
        <v>2254</v>
      </c>
      <c r="F1378" s="4">
        <v>1809.5</v>
      </c>
      <c r="G1378" s="47" t="s">
        <v>570</v>
      </c>
      <c r="H1378" s="12">
        <v>997159</v>
      </c>
      <c r="I1378" s="4">
        <v>138.01</v>
      </c>
      <c r="J1378" s="4">
        <v>138.01</v>
      </c>
      <c r="K1378" s="4">
        <v>0</v>
      </c>
      <c r="L1378" s="4">
        <v>0</v>
      </c>
      <c r="M1378" s="12" t="s">
        <v>571</v>
      </c>
      <c r="N1378" s="13">
        <f t="shared" ref="N1378:N1409" si="38">SUM(I1378:K1378)</f>
        <v>276.02</v>
      </c>
    </row>
    <row r="1379" spans="1:14">
      <c r="A1379" s="12">
        <v>1378</v>
      </c>
      <c r="B1379" s="1" t="s">
        <v>2255</v>
      </c>
      <c r="C1379" s="42" t="s">
        <v>2256</v>
      </c>
      <c r="D1379" s="42" t="s">
        <v>2257</v>
      </c>
      <c r="E1379" s="42" t="s">
        <v>2258</v>
      </c>
      <c r="F1379" s="4">
        <v>8121</v>
      </c>
      <c r="G1379" s="47" t="s">
        <v>60</v>
      </c>
      <c r="H1379" s="12">
        <v>3923</v>
      </c>
      <c r="I1379" s="4">
        <v>619.38</v>
      </c>
      <c r="J1379" s="4">
        <v>619.62</v>
      </c>
      <c r="K1379" s="4">
        <v>0</v>
      </c>
      <c r="L1379" s="4">
        <v>0</v>
      </c>
      <c r="M1379" s="12" t="s">
        <v>571</v>
      </c>
      <c r="N1379" s="13">
        <f t="shared" si="38"/>
        <v>1239</v>
      </c>
    </row>
    <row r="1380" spans="1:14">
      <c r="A1380" s="12">
        <v>1379</v>
      </c>
      <c r="B1380" s="1" t="s">
        <v>1793</v>
      </c>
      <c r="C1380" s="42" t="s">
        <v>1794</v>
      </c>
      <c r="D1380" s="42" t="s">
        <v>2259</v>
      </c>
      <c r="E1380" s="42" t="s">
        <v>2254</v>
      </c>
      <c r="F1380" s="4">
        <v>53907.6</v>
      </c>
      <c r="G1380" s="47" t="s">
        <v>570</v>
      </c>
      <c r="H1380" s="12">
        <v>996812</v>
      </c>
      <c r="I1380" s="4">
        <v>4111.6000000000004</v>
      </c>
      <c r="J1380" s="4">
        <v>4111.6000000000004</v>
      </c>
      <c r="K1380" s="4">
        <v>0</v>
      </c>
      <c r="L1380" s="4">
        <v>0</v>
      </c>
      <c r="M1380" s="12" t="s">
        <v>571</v>
      </c>
      <c r="N1380" s="13">
        <f t="shared" si="38"/>
        <v>8223.2000000000007</v>
      </c>
    </row>
    <row r="1381" spans="1:14">
      <c r="A1381" s="12">
        <v>1380</v>
      </c>
      <c r="B1381" s="1" t="s">
        <v>1793</v>
      </c>
      <c r="C1381" s="42" t="s">
        <v>1794</v>
      </c>
      <c r="D1381" s="42" t="s">
        <v>2260</v>
      </c>
      <c r="E1381" s="42" t="s">
        <v>2254</v>
      </c>
      <c r="F1381" s="4">
        <v>2964.15</v>
      </c>
      <c r="G1381" s="47" t="s">
        <v>570</v>
      </c>
      <c r="H1381" s="12">
        <v>996812</v>
      </c>
      <c r="I1381" s="4">
        <v>226.08</v>
      </c>
      <c r="J1381" s="4">
        <v>226.08</v>
      </c>
      <c r="K1381" s="4">
        <v>0</v>
      </c>
      <c r="L1381" s="4">
        <v>0</v>
      </c>
      <c r="M1381" s="12" t="s">
        <v>571</v>
      </c>
      <c r="N1381" s="13">
        <f t="shared" si="38"/>
        <v>452.16</v>
      </c>
    </row>
    <row r="1382" spans="1:14">
      <c r="A1382" s="12">
        <v>1381</v>
      </c>
      <c r="B1382" s="1" t="s">
        <v>1793</v>
      </c>
      <c r="C1382" s="42" t="s">
        <v>1794</v>
      </c>
      <c r="D1382" s="42" t="s">
        <v>2261</v>
      </c>
      <c r="E1382" s="42" t="s">
        <v>2254</v>
      </c>
      <c r="F1382" s="4">
        <v>107807.67</v>
      </c>
      <c r="G1382" s="47" t="s">
        <v>570</v>
      </c>
      <c r="H1382" s="12">
        <v>996812</v>
      </c>
      <c r="I1382" s="4">
        <v>0</v>
      </c>
      <c r="J1382" s="4">
        <v>0</v>
      </c>
      <c r="K1382" s="4">
        <v>16445.240000000002</v>
      </c>
      <c r="L1382" s="4">
        <v>0</v>
      </c>
      <c r="M1382" s="12" t="s">
        <v>571</v>
      </c>
      <c r="N1382" s="13">
        <f t="shared" si="38"/>
        <v>16445.240000000002</v>
      </c>
    </row>
    <row r="1383" spans="1:14">
      <c r="A1383" s="12">
        <v>1382</v>
      </c>
      <c r="B1383" s="1" t="s">
        <v>1844</v>
      </c>
      <c r="C1383" s="42" t="s">
        <v>1845</v>
      </c>
      <c r="D1383" s="42" t="s">
        <v>2262</v>
      </c>
      <c r="E1383" s="42" t="s">
        <v>2254</v>
      </c>
      <c r="F1383" s="4">
        <v>506.56</v>
      </c>
      <c r="G1383" s="47" t="s">
        <v>570</v>
      </c>
      <c r="H1383" s="12">
        <v>997158</v>
      </c>
      <c r="I1383" s="4">
        <v>0</v>
      </c>
      <c r="J1383" s="4">
        <v>0</v>
      </c>
      <c r="K1383" s="4">
        <v>0</v>
      </c>
      <c r="L1383" s="4">
        <v>0</v>
      </c>
      <c r="M1383" s="12" t="s">
        <v>571</v>
      </c>
      <c r="N1383" s="13">
        <f t="shared" si="38"/>
        <v>0</v>
      </c>
    </row>
    <row r="1384" spans="1:14">
      <c r="A1384" s="12">
        <v>1383</v>
      </c>
      <c r="B1384" s="1" t="s">
        <v>1844</v>
      </c>
      <c r="C1384" s="42" t="s">
        <v>1845</v>
      </c>
      <c r="D1384" s="42" t="s">
        <v>2262</v>
      </c>
      <c r="E1384" s="42" t="s">
        <v>2254</v>
      </c>
      <c r="F1384" s="4">
        <v>506.56</v>
      </c>
      <c r="G1384" s="47" t="s">
        <v>570</v>
      </c>
      <c r="H1384" s="12">
        <v>997158</v>
      </c>
      <c r="I1384" s="4">
        <v>0</v>
      </c>
      <c r="J1384" s="4">
        <v>0</v>
      </c>
      <c r="K1384" s="4">
        <v>67.95</v>
      </c>
      <c r="L1384" s="4">
        <v>0</v>
      </c>
      <c r="M1384" s="12" t="s">
        <v>571</v>
      </c>
      <c r="N1384" s="13">
        <f t="shared" si="38"/>
        <v>67.95</v>
      </c>
    </row>
    <row r="1385" spans="1:14">
      <c r="A1385" s="12">
        <v>1384</v>
      </c>
      <c r="B1385" s="1" t="s">
        <v>1832</v>
      </c>
      <c r="C1385" s="42" t="s">
        <v>1833</v>
      </c>
      <c r="D1385" s="42" t="s">
        <v>2263</v>
      </c>
      <c r="E1385" s="42" t="s">
        <v>2264</v>
      </c>
      <c r="F1385" s="4">
        <v>15372</v>
      </c>
      <c r="G1385" s="47" t="s">
        <v>60</v>
      </c>
      <c r="H1385" s="29" t="s">
        <v>1835</v>
      </c>
      <c r="I1385" s="4">
        <v>366</v>
      </c>
      <c r="J1385" s="4">
        <v>366</v>
      </c>
      <c r="K1385" s="4">
        <v>0</v>
      </c>
      <c r="L1385" s="4">
        <v>0</v>
      </c>
      <c r="M1385" s="12" t="s">
        <v>571</v>
      </c>
      <c r="N1385" s="13">
        <f t="shared" si="38"/>
        <v>732</v>
      </c>
    </row>
    <row r="1386" spans="1:14">
      <c r="A1386" s="12">
        <v>1385</v>
      </c>
      <c r="B1386" s="1" t="s">
        <v>1832</v>
      </c>
      <c r="C1386" s="42" t="s">
        <v>1833</v>
      </c>
      <c r="D1386" s="42" t="s">
        <v>2265</v>
      </c>
      <c r="E1386" s="42" t="s">
        <v>2264</v>
      </c>
      <c r="F1386" s="4">
        <v>11239</v>
      </c>
      <c r="G1386" s="47" t="s">
        <v>60</v>
      </c>
      <c r="H1386" s="29" t="s">
        <v>1835</v>
      </c>
      <c r="I1386" s="4">
        <v>267.60000000000002</v>
      </c>
      <c r="J1386" s="4">
        <v>267.60000000000002</v>
      </c>
      <c r="K1386" s="4">
        <v>0</v>
      </c>
      <c r="L1386" s="4">
        <v>0</v>
      </c>
      <c r="M1386" s="12" t="s">
        <v>571</v>
      </c>
      <c r="N1386" s="13">
        <f t="shared" si="38"/>
        <v>535.20000000000005</v>
      </c>
    </row>
    <row r="1387" spans="1:14">
      <c r="A1387" s="12">
        <v>1386</v>
      </c>
      <c r="B1387" s="1" t="s">
        <v>1687</v>
      </c>
      <c r="C1387" s="42" t="s">
        <v>1688</v>
      </c>
      <c r="D1387" s="42" t="s">
        <v>2266</v>
      </c>
      <c r="E1387" s="42" t="s">
        <v>2267</v>
      </c>
      <c r="F1387" s="4">
        <v>35736</v>
      </c>
      <c r="G1387" s="47" t="s">
        <v>60</v>
      </c>
      <c r="H1387" s="29" t="s">
        <v>1641</v>
      </c>
      <c r="I1387" s="4">
        <v>850.85</v>
      </c>
      <c r="J1387" s="4">
        <v>850.85</v>
      </c>
      <c r="K1387" s="4">
        <v>0</v>
      </c>
      <c r="L1387" s="4">
        <v>0</v>
      </c>
      <c r="M1387" s="12" t="s">
        <v>571</v>
      </c>
      <c r="N1387" s="13">
        <f t="shared" si="38"/>
        <v>1701.7</v>
      </c>
    </row>
    <row r="1388" spans="1:14">
      <c r="A1388" s="12">
        <v>1387</v>
      </c>
      <c r="B1388" s="1" t="s">
        <v>1691</v>
      </c>
      <c r="C1388" s="42" t="s">
        <v>1692</v>
      </c>
      <c r="D1388" s="42" t="s">
        <v>2268</v>
      </c>
      <c r="E1388" s="42" t="s">
        <v>2254</v>
      </c>
      <c r="F1388" s="4">
        <v>885</v>
      </c>
      <c r="G1388" s="47" t="s">
        <v>570</v>
      </c>
      <c r="H1388" s="12">
        <v>997159</v>
      </c>
      <c r="I1388" s="4">
        <v>0</v>
      </c>
      <c r="J1388" s="4">
        <v>0</v>
      </c>
      <c r="K1388" s="4">
        <v>135</v>
      </c>
      <c r="L1388" s="4">
        <v>0</v>
      </c>
      <c r="M1388" s="12" t="s">
        <v>571</v>
      </c>
      <c r="N1388" s="13">
        <f t="shared" si="38"/>
        <v>135</v>
      </c>
    </row>
    <row r="1389" spans="1:14">
      <c r="A1389" s="12">
        <v>1388</v>
      </c>
      <c r="B1389" s="1" t="s">
        <v>2269</v>
      </c>
      <c r="C1389" s="42" t="s">
        <v>2270</v>
      </c>
      <c r="D1389" s="42" t="s">
        <v>2271</v>
      </c>
      <c r="E1389" s="42" t="s">
        <v>2272</v>
      </c>
      <c r="F1389" s="4">
        <v>2336</v>
      </c>
      <c r="G1389" s="47" t="s">
        <v>60</v>
      </c>
      <c r="H1389" s="12">
        <v>7418</v>
      </c>
      <c r="I1389" s="4">
        <v>178.2</v>
      </c>
      <c r="J1389" s="4">
        <v>178.2</v>
      </c>
      <c r="K1389" s="4">
        <v>0</v>
      </c>
      <c r="L1389" s="4">
        <v>0</v>
      </c>
      <c r="M1389" s="12" t="s">
        <v>571</v>
      </c>
      <c r="N1389" s="13">
        <f t="shared" si="38"/>
        <v>356.4</v>
      </c>
    </row>
    <row r="1390" spans="1:14">
      <c r="A1390" s="12">
        <v>1389</v>
      </c>
      <c r="B1390" s="1" t="s">
        <v>2273</v>
      </c>
      <c r="C1390" s="42" t="s">
        <v>2274</v>
      </c>
      <c r="D1390" s="42" t="s">
        <v>2275</v>
      </c>
      <c r="E1390" s="42" t="s">
        <v>2276</v>
      </c>
      <c r="F1390" s="4">
        <v>40789</v>
      </c>
      <c r="G1390" s="47" t="s">
        <v>570</v>
      </c>
      <c r="H1390" s="12">
        <v>996713</v>
      </c>
      <c r="I1390" s="4">
        <v>0</v>
      </c>
      <c r="J1390" s="4">
        <v>0</v>
      </c>
      <c r="K1390" s="4">
        <v>6222.06</v>
      </c>
      <c r="L1390" s="4">
        <v>0</v>
      </c>
      <c r="M1390" s="12" t="s">
        <v>571</v>
      </c>
      <c r="N1390" s="13">
        <f t="shared" si="38"/>
        <v>6222.06</v>
      </c>
    </row>
    <row r="1391" spans="1:14">
      <c r="A1391" s="12">
        <v>1390</v>
      </c>
      <c r="B1391" s="1" t="s">
        <v>2273</v>
      </c>
      <c r="C1391" s="42" t="s">
        <v>2274</v>
      </c>
      <c r="D1391" s="42" t="s">
        <v>2277</v>
      </c>
      <c r="E1391" s="42" t="s">
        <v>2276</v>
      </c>
      <c r="F1391" s="4">
        <v>9770</v>
      </c>
      <c r="G1391" s="47" t="s">
        <v>570</v>
      </c>
      <c r="H1391" s="12">
        <v>996713</v>
      </c>
      <c r="I1391" s="4">
        <v>0</v>
      </c>
      <c r="J1391" s="4">
        <v>0</v>
      </c>
      <c r="K1391" s="4">
        <v>1490.4</v>
      </c>
      <c r="L1391" s="4">
        <v>0</v>
      </c>
      <c r="M1391" s="12" t="s">
        <v>571</v>
      </c>
      <c r="N1391" s="13">
        <f t="shared" si="38"/>
        <v>1490.4</v>
      </c>
    </row>
    <row r="1392" spans="1:14">
      <c r="A1392" s="12">
        <v>1391</v>
      </c>
      <c r="B1392" s="1" t="s">
        <v>1620</v>
      </c>
      <c r="C1392" s="42" t="s">
        <v>1621</v>
      </c>
      <c r="D1392" s="42" t="s">
        <v>2278</v>
      </c>
      <c r="E1392" s="42" t="s">
        <v>2276</v>
      </c>
      <c r="F1392" s="4">
        <v>413</v>
      </c>
      <c r="G1392" s="47" t="s">
        <v>570</v>
      </c>
      <c r="H1392" s="12">
        <v>997159</v>
      </c>
      <c r="I1392" s="4">
        <v>0</v>
      </c>
      <c r="J1392" s="4">
        <v>0</v>
      </c>
      <c r="K1392" s="4">
        <v>63</v>
      </c>
      <c r="L1392" s="4">
        <v>0</v>
      </c>
      <c r="M1392" s="12" t="s">
        <v>571</v>
      </c>
      <c r="N1392" s="13">
        <f t="shared" si="38"/>
        <v>63</v>
      </c>
    </row>
    <row r="1393" spans="1:14">
      <c r="A1393" s="12">
        <v>1392</v>
      </c>
      <c r="B1393" s="1" t="s">
        <v>1620</v>
      </c>
      <c r="C1393" s="42" t="s">
        <v>1621</v>
      </c>
      <c r="D1393" s="42" t="s">
        <v>2279</v>
      </c>
      <c r="E1393" s="42" t="s">
        <v>2254</v>
      </c>
      <c r="F1393" s="4">
        <v>4207.51</v>
      </c>
      <c r="G1393" s="47" t="s">
        <v>570</v>
      </c>
      <c r="H1393" s="12">
        <v>997159</v>
      </c>
      <c r="I1393" s="4">
        <v>0</v>
      </c>
      <c r="J1393" s="4">
        <v>0</v>
      </c>
      <c r="K1393" s="4">
        <v>641.82000000000005</v>
      </c>
      <c r="L1393" s="4">
        <v>0</v>
      </c>
      <c r="M1393" s="12" t="s">
        <v>571</v>
      </c>
      <c r="N1393" s="13">
        <f t="shared" si="38"/>
        <v>641.82000000000005</v>
      </c>
    </row>
    <row r="1394" spans="1:14">
      <c r="A1394" s="12">
        <v>1393</v>
      </c>
      <c r="B1394" s="1" t="s">
        <v>2280</v>
      </c>
      <c r="C1394" s="42" t="s">
        <v>2281</v>
      </c>
      <c r="D1394" s="42" t="s">
        <v>2282</v>
      </c>
      <c r="E1394" s="42" t="s">
        <v>2182</v>
      </c>
      <c r="F1394" s="4">
        <v>3452</v>
      </c>
      <c r="G1394" s="47" t="s">
        <v>570</v>
      </c>
      <c r="H1394" s="12">
        <v>998311</v>
      </c>
      <c r="I1394" s="4">
        <v>0</v>
      </c>
      <c r="J1394" s="4">
        <v>0</v>
      </c>
      <c r="K1394" s="4">
        <v>526.5</v>
      </c>
      <c r="L1394" s="4">
        <v>0</v>
      </c>
      <c r="M1394" s="12" t="s">
        <v>571</v>
      </c>
      <c r="N1394" s="13">
        <f t="shared" si="38"/>
        <v>526.5</v>
      </c>
    </row>
    <row r="1395" spans="1:14">
      <c r="A1395" s="12">
        <v>1394</v>
      </c>
      <c r="B1395" s="1" t="s">
        <v>2280</v>
      </c>
      <c r="C1395" s="42" t="s">
        <v>2281</v>
      </c>
      <c r="D1395" s="42" t="s">
        <v>2283</v>
      </c>
      <c r="E1395" s="42" t="s">
        <v>2182</v>
      </c>
      <c r="F1395" s="4">
        <v>2897</v>
      </c>
      <c r="G1395" s="47" t="s">
        <v>570</v>
      </c>
      <c r="H1395" s="12">
        <v>998311</v>
      </c>
      <c r="I1395" s="4">
        <v>0</v>
      </c>
      <c r="J1395" s="4">
        <v>0</v>
      </c>
      <c r="K1395" s="4">
        <v>441.9</v>
      </c>
      <c r="L1395" s="4">
        <v>0</v>
      </c>
      <c r="M1395" s="12" t="s">
        <v>571</v>
      </c>
      <c r="N1395" s="13">
        <f t="shared" si="38"/>
        <v>441.9</v>
      </c>
    </row>
    <row r="1396" spans="1:14">
      <c r="A1396" s="12">
        <v>1395</v>
      </c>
      <c r="B1396" s="1" t="s">
        <v>2024</v>
      </c>
      <c r="C1396" s="42" t="s">
        <v>2025</v>
      </c>
      <c r="D1396" s="42" t="s">
        <v>2284</v>
      </c>
      <c r="E1396" s="42" t="s">
        <v>2285</v>
      </c>
      <c r="F1396" s="4">
        <v>24284</v>
      </c>
      <c r="G1396" s="47" t="s">
        <v>60</v>
      </c>
      <c r="H1396" s="12">
        <v>4514</v>
      </c>
      <c r="I1396" s="4">
        <v>1852.2</v>
      </c>
      <c r="J1396" s="4">
        <v>1852.2</v>
      </c>
      <c r="K1396" s="4">
        <v>0</v>
      </c>
      <c r="L1396" s="4">
        <v>0</v>
      </c>
      <c r="M1396" s="12" t="s">
        <v>571</v>
      </c>
      <c r="N1396" s="13">
        <f t="shared" si="38"/>
        <v>3704.4</v>
      </c>
    </row>
    <row r="1397" spans="1:14">
      <c r="A1397" s="12">
        <v>1396</v>
      </c>
      <c r="B1397" s="1" t="s">
        <v>2024</v>
      </c>
      <c r="C1397" s="42" t="s">
        <v>2025</v>
      </c>
      <c r="D1397" s="42" t="s">
        <v>2286</v>
      </c>
      <c r="E1397" s="42" t="s">
        <v>2287</v>
      </c>
      <c r="F1397" s="4">
        <v>46834</v>
      </c>
      <c r="G1397" s="47" t="s">
        <v>60</v>
      </c>
      <c r="H1397" s="12">
        <v>4514</v>
      </c>
      <c r="I1397" s="4">
        <v>3572.1</v>
      </c>
      <c r="J1397" s="4">
        <v>3572.1</v>
      </c>
      <c r="K1397" s="4">
        <v>0</v>
      </c>
      <c r="L1397" s="4">
        <v>0</v>
      </c>
      <c r="M1397" s="12" t="s">
        <v>571</v>
      </c>
      <c r="N1397" s="13">
        <f t="shared" si="38"/>
        <v>7144.2</v>
      </c>
    </row>
    <row r="1398" spans="1:14">
      <c r="A1398" s="12">
        <v>1397</v>
      </c>
      <c r="B1398" s="1" t="s">
        <v>805</v>
      </c>
      <c r="C1398" s="42" t="s">
        <v>806</v>
      </c>
      <c r="D1398" s="42" t="s">
        <v>2288</v>
      </c>
      <c r="E1398" s="42" t="s">
        <v>2254</v>
      </c>
      <c r="F1398" s="4">
        <v>5265.17</v>
      </c>
      <c r="G1398" s="47" t="s">
        <v>570</v>
      </c>
      <c r="H1398" s="29" t="s">
        <v>847</v>
      </c>
      <c r="I1398" s="4">
        <v>0</v>
      </c>
      <c r="J1398" s="4">
        <v>0</v>
      </c>
      <c r="K1398" s="4">
        <v>803.17</v>
      </c>
      <c r="L1398" s="4">
        <v>0</v>
      </c>
      <c r="M1398" s="12" t="s">
        <v>571</v>
      </c>
      <c r="N1398" s="13">
        <f t="shared" si="38"/>
        <v>803.17</v>
      </c>
    </row>
    <row r="1399" spans="1:14">
      <c r="A1399" s="12">
        <v>1398</v>
      </c>
      <c r="B1399" s="1" t="s">
        <v>1824</v>
      </c>
      <c r="C1399" s="42" t="s">
        <v>1825</v>
      </c>
      <c r="D1399" s="42" t="s">
        <v>2289</v>
      </c>
      <c r="E1399" s="42" t="s">
        <v>2254</v>
      </c>
      <c r="F1399" s="4">
        <v>1440.83</v>
      </c>
      <c r="G1399" s="47" t="s">
        <v>570</v>
      </c>
      <c r="H1399" s="12">
        <v>997159</v>
      </c>
      <c r="I1399" s="4">
        <v>0</v>
      </c>
      <c r="J1399" s="4">
        <v>0</v>
      </c>
      <c r="K1399" s="4">
        <v>219.78</v>
      </c>
      <c r="L1399" s="4">
        <v>0</v>
      </c>
      <c r="M1399" s="12" t="s">
        <v>571</v>
      </c>
      <c r="N1399" s="13">
        <f t="shared" si="38"/>
        <v>219.78</v>
      </c>
    </row>
    <row r="1400" spans="1:14">
      <c r="A1400" s="12">
        <v>1399</v>
      </c>
      <c r="B1400" s="1" t="s">
        <v>1824</v>
      </c>
      <c r="C1400" s="42" t="s">
        <v>1825</v>
      </c>
      <c r="D1400" s="42" t="s">
        <v>2290</v>
      </c>
      <c r="E1400" s="42" t="s">
        <v>2254</v>
      </c>
      <c r="F1400" s="4">
        <v>2858.97</v>
      </c>
      <c r="G1400" s="47" t="s">
        <v>570</v>
      </c>
      <c r="H1400" s="12">
        <v>997159</v>
      </c>
      <c r="I1400" s="4">
        <v>0</v>
      </c>
      <c r="J1400" s="4">
        <v>0</v>
      </c>
      <c r="K1400" s="4">
        <v>436.06</v>
      </c>
      <c r="L1400" s="4">
        <v>0</v>
      </c>
      <c r="M1400" s="12" t="s">
        <v>571</v>
      </c>
      <c r="N1400" s="13">
        <f t="shared" si="38"/>
        <v>436.06</v>
      </c>
    </row>
    <row r="1401" spans="1:14">
      <c r="A1401" s="12">
        <v>1400</v>
      </c>
      <c r="B1401" s="1" t="s">
        <v>1824</v>
      </c>
      <c r="C1401" s="42" t="s">
        <v>1825</v>
      </c>
      <c r="D1401" s="42" t="s">
        <v>2291</v>
      </c>
      <c r="E1401" s="42" t="s">
        <v>2254</v>
      </c>
      <c r="F1401" s="4">
        <v>160.83000000000001</v>
      </c>
      <c r="G1401" s="47" t="s">
        <v>570</v>
      </c>
      <c r="H1401" s="12">
        <v>997159</v>
      </c>
      <c r="I1401" s="4">
        <v>0</v>
      </c>
      <c r="J1401" s="4">
        <v>0</v>
      </c>
      <c r="K1401" s="4">
        <v>24.51</v>
      </c>
      <c r="L1401" s="4">
        <v>0</v>
      </c>
      <c r="M1401" s="12" t="s">
        <v>571</v>
      </c>
      <c r="N1401" s="13">
        <f t="shared" si="38"/>
        <v>24.51</v>
      </c>
    </row>
    <row r="1402" spans="1:14">
      <c r="A1402" s="12">
        <v>1401</v>
      </c>
      <c r="B1402" s="1" t="s">
        <v>2292</v>
      </c>
      <c r="C1402" s="42" t="s">
        <v>2293</v>
      </c>
      <c r="D1402" s="42" t="s">
        <v>2294</v>
      </c>
      <c r="E1402" s="42" t="s">
        <v>2295</v>
      </c>
      <c r="F1402" s="4">
        <v>13545</v>
      </c>
      <c r="G1402" s="47" t="s">
        <v>60</v>
      </c>
      <c r="H1402" s="29" t="s">
        <v>1700</v>
      </c>
      <c r="I1402" s="4">
        <v>322.5</v>
      </c>
      <c r="J1402" s="4">
        <v>322.5</v>
      </c>
      <c r="K1402" s="4">
        <v>0</v>
      </c>
      <c r="L1402" s="4">
        <v>0</v>
      </c>
      <c r="M1402" s="12" t="s">
        <v>571</v>
      </c>
      <c r="N1402" s="13">
        <f t="shared" si="38"/>
        <v>645</v>
      </c>
    </row>
    <row r="1403" spans="1:14">
      <c r="A1403" s="12">
        <v>1402</v>
      </c>
      <c r="B1403" s="1" t="s">
        <v>2296</v>
      </c>
      <c r="C1403" s="42" t="s">
        <v>587</v>
      </c>
      <c r="D1403" s="42" t="s">
        <v>2297</v>
      </c>
      <c r="E1403" s="42" t="s">
        <v>2298</v>
      </c>
      <c r="F1403" s="4">
        <v>7350</v>
      </c>
      <c r="G1403" s="47" t="s">
        <v>570</v>
      </c>
      <c r="H1403" s="12">
        <v>440362</v>
      </c>
      <c r="I1403" s="4">
        <v>0</v>
      </c>
      <c r="J1403" s="4">
        <v>0</v>
      </c>
      <c r="K1403" s="4">
        <v>350</v>
      </c>
      <c r="L1403" s="4">
        <v>0</v>
      </c>
      <c r="M1403" s="12" t="s">
        <v>571</v>
      </c>
      <c r="N1403" s="13">
        <f t="shared" si="38"/>
        <v>350</v>
      </c>
    </row>
    <row r="1404" spans="1:14">
      <c r="A1404" s="12">
        <v>1403</v>
      </c>
      <c r="B1404" s="1" t="s">
        <v>2299</v>
      </c>
      <c r="C1404" s="42" t="s">
        <v>2300</v>
      </c>
      <c r="D1404" s="42" t="s">
        <v>2301</v>
      </c>
      <c r="E1404" s="42" t="s">
        <v>1913</v>
      </c>
      <c r="F1404" s="4">
        <v>28320</v>
      </c>
      <c r="G1404" s="47" t="s">
        <v>60</v>
      </c>
      <c r="H1404" s="12">
        <v>4514</v>
      </c>
      <c r="I1404" s="4">
        <v>0</v>
      </c>
      <c r="J1404" s="4">
        <v>0</v>
      </c>
      <c r="K1404" s="4">
        <v>4320</v>
      </c>
      <c r="L1404" s="4">
        <v>0</v>
      </c>
      <c r="M1404" s="12" t="s">
        <v>571</v>
      </c>
      <c r="N1404" s="13">
        <f t="shared" si="38"/>
        <v>4320</v>
      </c>
    </row>
    <row r="1405" spans="1:14">
      <c r="A1405" s="12">
        <v>1404</v>
      </c>
      <c r="B1405" s="1" t="s">
        <v>2299</v>
      </c>
      <c r="C1405" s="42" t="s">
        <v>2300</v>
      </c>
      <c r="D1405" s="42" t="s">
        <v>2302</v>
      </c>
      <c r="E1405" s="42" t="s">
        <v>2303</v>
      </c>
      <c r="F1405" s="4">
        <v>39317.599999999999</v>
      </c>
      <c r="G1405" s="47" t="s">
        <v>60</v>
      </c>
      <c r="H1405" s="12">
        <v>4514</v>
      </c>
      <c r="I1405" s="4">
        <v>0</v>
      </c>
      <c r="J1405" s="4">
        <v>0</v>
      </c>
      <c r="K1405" s="4">
        <v>5997.6</v>
      </c>
      <c r="L1405" s="4">
        <v>0</v>
      </c>
      <c r="M1405" s="12" t="s">
        <v>571</v>
      </c>
      <c r="N1405" s="13">
        <f t="shared" si="38"/>
        <v>5997.6</v>
      </c>
    </row>
    <row r="1406" spans="1:14">
      <c r="A1406" s="12">
        <v>1405</v>
      </c>
      <c r="B1406" s="1" t="s">
        <v>2299</v>
      </c>
      <c r="C1406" s="42" t="s">
        <v>2300</v>
      </c>
      <c r="D1406" s="42" t="s">
        <v>2304</v>
      </c>
      <c r="E1406" s="42" t="s">
        <v>2305</v>
      </c>
      <c r="F1406" s="4">
        <v>25205</v>
      </c>
      <c r="G1406" s="47" t="s">
        <v>60</v>
      </c>
      <c r="H1406" s="12">
        <v>4514</v>
      </c>
      <c r="I1406" s="4">
        <v>0</v>
      </c>
      <c r="J1406" s="4">
        <v>0</v>
      </c>
      <c r="K1406" s="4">
        <v>3844.8</v>
      </c>
      <c r="L1406" s="4">
        <v>0</v>
      </c>
      <c r="M1406" s="12" t="s">
        <v>571</v>
      </c>
      <c r="N1406" s="13">
        <f t="shared" si="38"/>
        <v>3844.8</v>
      </c>
    </row>
    <row r="1407" spans="1:14">
      <c r="A1407" s="12">
        <v>1406</v>
      </c>
      <c r="B1407" s="1" t="s">
        <v>2299</v>
      </c>
      <c r="C1407" s="42" t="s">
        <v>2300</v>
      </c>
      <c r="D1407" s="42" t="s">
        <v>2306</v>
      </c>
      <c r="E1407" s="42" t="s">
        <v>2307</v>
      </c>
      <c r="F1407" s="4">
        <v>187195</v>
      </c>
      <c r="G1407" s="47" t="s">
        <v>60</v>
      </c>
      <c r="H1407" s="12">
        <v>4514</v>
      </c>
      <c r="I1407" s="4">
        <v>0</v>
      </c>
      <c r="J1407" s="4">
        <v>0</v>
      </c>
      <c r="K1407" s="4">
        <v>28555.200000000001</v>
      </c>
      <c r="L1407" s="4">
        <v>0</v>
      </c>
      <c r="M1407" s="12" t="s">
        <v>571</v>
      </c>
      <c r="N1407" s="13">
        <f t="shared" si="38"/>
        <v>28555.200000000001</v>
      </c>
    </row>
    <row r="1408" spans="1:14">
      <c r="A1408" s="12">
        <v>1407</v>
      </c>
      <c r="B1408" s="1" t="s">
        <v>1630</v>
      </c>
      <c r="C1408" s="42" t="s">
        <v>1631</v>
      </c>
      <c r="D1408" s="42" t="s">
        <v>2308</v>
      </c>
      <c r="E1408" s="42" t="s">
        <v>1909</v>
      </c>
      <c r="F1408" s="4">
        <v>9324</v>
      </c>
      <c r="G1408" s="47" t="s">
        <v>60</v>
      </c>
      <c r="H1408" s="29" t="s">
        <v>1634</v>
      </c>
      <c r="I1408" s="4">
        <v>222</v>
      </c>
      <c r="J1408" s="4">
        <v>222</v>
      </c>
      <c r="K1408" s="4">
        <v>0</v>
      </c>
      <c r="L1408" s="4">
        <v>0</v>
      </c>
      <c r="M1408" s="12" t="s">
        <v>571</v>
      </c>
      <c r="N1408" s="13">
        <f t="shared" si="38"/>
        <v>444</v>
      </c>
    </row>
    <row r="1409" spans="1:14">
      <c r="A1409" s="12">
        <v>1408</v>
      </c>
      <c r="B1409" s="1" t="s">
        <v>1630</v>
      </c>
      <c r="C1409" s="42" t="s">
        <v>1631</v>
      </c>
      <c r="D1409" s="42" t="s">
        <v>2309</v>
      </c>
      <c r="E1409" s="42" t="s">
        <v>2161</v>
      </c>
      <c r="F1409" s="4">
        <v>3528</v>
      </c>
      <c r="G1409" s="47" t="s">
        <v>60</v>
      </c>
      <c r="H1409" s="29" t="s">
        <v>1634</v>
      </c>
      <c r="I1409" s="4">
        <v>84</v>
      </c>
      <c r="J1409" s="4">
        <v>84</v>
      </c>
      <c r="K1409" s="4">
        <v>0</v>
      </c>
      <c r="L1409" s="4">
        <v>0</v>
      </c>
      <c r="M1409" s="12" t="s">
        <v>571</v>
      </c>
      <c r="N1409" s="13">
        <f t="shared" si="38"/>
        <v>168</v>
      </c>
    </row>
    <row r="1410" spans="1:14">
      <c r="A1410" s="12">
        <v>1409</v>
      </c>
      <c r="B1410" s="1" t="s">
        <v>1630</v>
      </c>
      <c r="C1410" s="42" t="s">
        <v>1631</v>
      </c>
      <c r="D1410" s="42" t="s">
        <v>2310</v>
      </c>
      <c r="E1410" s="42" t="s">
        <v>2311</v>
      </c>
      <c r="F1410" s="4">
        <v>8253</v>
      </c>
      <c r="G1410" s="47" t="s">
        <v>60</v>
      </c>
      <c r="H1410" s="29" t="s">
        <v>2312</v>
      </c>
      <c r="I1410" s="4">
        <v>196.5</v>
      </c>
      <c r="J1410" s="4">
        <v>196.5</v>
      </c>
      <c r="K1410" s="4">
        <v>0</v>
      </c>
      <c r="L1410" s="4">
        <v>0</v>
      </c>
      <c r="M1410" s="12" t="s">
        <v>571</v>
      </c>
      <c r="N1410" s="13">
        <f>SUM(I1410:L1410)</f>
        <v>393</v>
      </c>
    </row>
    <row r="1411" spans="1:14">
      <c r="A1411" s="12">
        <v>1410</v>
      </c>
      <c r="B1411" s="1" t="s">
        <v>1630</v>
      </c>
      <c r="C1411" s="42" t="s">
        <v>1631</v>
      </c>
      <c r="D1411" s="42" t="s">
        <v>2313</v>
      </c>
      <c r="E1411" s="42" t="s">
        <v>2314</v>
      </c>
      <c r="F1411" s="4">
        <v>10647</v>
      </c>
      <c r="G1411" s="47" t="s">
        <v>60</v>
      </c>
      <c r="H1411" s="29" t="s">
        <v>2312</v>
      </c>
      <c r="I1411" s="4">
        <v>253.5</v>
      </c>
      <c r="J1411" s="4">
        <v>253.5</v>
      </c>
      <c r="K1411" s="4">
        <v>0</v>
      </c>
      <c r="L1411" s="4">
        <v>0</v>
      </c>
      <c r="M1411" s="12" t="s">
        <v>571</v>
      </c>
      <c r="N1411" s="13">
        <f>SUM(I1411:L1411)</f>
        <v>507</v>
      </c>
    </row>
    <row r="1412" spans="1:14">
      <c r="A1412" s="12">
        <v>1411</v>
      </c>
      <c r="B1412" s="1" t="s">
        <v>1630</v>
      </c>
      <c r="C1412" s="42" t="s">
        <v>1631</v>
      </c>
      <c r="D1412" s="42" t="s">
        <v>2315</v>
      </c>
      <c r="E1412" s="42" t="s">
        <v>2172</v>
      </c>
      <c r="F1412" s="4">
        <v>9450</v>
      </c>
      <c r="G1412" s="47" t="s">
        <v>60</v>
      </c>
      <c r="H1412" s="29" t="s">
        <v>1634</v>
      </c>
      <c r="I1412" s="4">
        <v>225</v>
      </c>
      <c r="J1412" s="4">
        <v>225</v>
      </c>
      <c r="K1412" s="4">
        <v>0</v>
      </c>
      <c r="L1412" s="4">
        <v>0</v>
      </c>
      <c r="M1412" s="12" t="s">
        <v>571</v>
      </c>
      <c r="N1412" s="13">
        <f t="shared" ref="N1412:N1475" si="39">SUM(I1412:K1412)</f>
        <v>450</v>
      </c>
    </row>
    <row r="1413" spans="1:14">
      <c r="A1413" s="12">
        <v>1412</v>
      </c>
      <c r="B1413" s="1" t="s">
        <v>1630</v>
      </c>
      <c r="C1413" s="42" t="s">
        <v>1631</v>
      </c>
      <c r="D1413" s="42" t="s">
        <v>2316</v>
      </c>
      <c r="E1413" s="42" t="s">
        <v>2272</v>
      </c>
      <c r="F1413" s="4">
        <v>9135</v>
      </c>
      <c r="G1413" s="47" t="s">
        <v>60</v>
      </c>
      <c r="H1413" s="29" t="s">
        <v>1634</v>
      </c>
      <c r="I1413" s="4">
        <v>217.5</v>
      </c>
      <c r="J1413" s="4">
        <v>217.5</v>
      </c>
      <c r="K1413" s="4">
        <v>0</v>
      </c>
      <c r="L1413" s="4">
        <v>0</v>
      </c>
      <c r="M1413" s="12" t="s">
        <v>571</v>
      </c>
      <c r="N1413" s="13">
        <f t="shared" si="39"/>
        <v>435</v>
      </c>
    </row>
    <row r="1414" spans="1:14">
      <c r="A1414" s="12">
        <v>1413</v>
      </c>
      <c r="B1414" s="1" t="s">
        <v>1630</v>
      </c>
      <c r="C1414" s="42" t="s">
        <v>1631</v>
      </c>
      <c r="D1414" s="42" t="s">
        <v>2317</v>
      </c>
      <c r="E1414" s="42" t="s">
        <v>2318</v>
      </c>
      <c r="F1414" s="4">
        <v>9765</v>
      </c>
      <c r="G1414" s="47" t="s">
        <v>60</v>
      </c>
      <c r="H1414" s="29" t="s">
        <v>1634</v>
      </c>
      <c r="I1414" s="4">
        <v>232.5</v>
      </c>
      <c r="J1414" s="4">
        <v>232.5</v>
      </c>
      <c r="K1414" s="4">
        <v>0</v>
      </c>
      <c r="L1414" s="4">
        <v>0</v>
      </c>
      <c r="M1414" s="12" t="s">
        <v>571</v>
      </c>
      <c r="N1414" s="13">
        <f t="shared" si="39"/>
        <v>465</v>
      </c>
    </row>
    <row r="1415" spans="1:14">
      <c r="A1415" s="12">
        <v>1414</v>
      </c>
      <c r="B1415" s="1" t="s">
        <v>2319</v>
      </c>
      <c r="C1415" s="42" t="s">
        <v>2320</v>
      </c>
      <c r="D1415" s="42" t="s">
        <v>2321</v>
      </c>
      <c r="E1415" s="42" t="s">
        <v>2303</v>
      </c>
      <c r="F1415" s="4">
        <v>39700</v>
      </c>
      <c r="G1415" s="47" t="s">
        <v>60</v>
      </c>
      <c r="H1415" s="29" t="s">
        <v>1700</v>
      </c>
      <c r="I1415" s="4">
        <v>0</v>
      </c>
      <c r="J1415" s="4">
        <v>0</v>
      </c>
      <c r="K1415" s="4">
        <v>1750</v>
      </c>
      <c r="L1415" s="4">
        <v>0</v>
      </c>
      <c r="M1415" s="12" t="s">
        <v>571</v>
      </c>
      <c r="N1415" s="13">
        <f t="shared" si="39"/>
        <v>1750</v>
      </c>
    </row>
    <row r="1416" spans="1:14">
      <c r="A1416" s="12">
        <v>1415</v>
      </c>
      <c r="B1416" s="1" t="s">
        <v>2319</v>
      </c>
      <c r="C1416" s="42" t="s">
        <v>2320</v>
      </c>
      <c r="D1416" s="42" t="s">
        <v>2321</v>
      </c>
      <c r="E1416" s="42" t="s">
        <v>2303</v>
      </c>
      <c r="F1416" s="4">
        <v>39700</v>
      </c>
      <c r="G1416" s="47" t="s">
        <v>60</v>
      </c>
      <c r="H1416" s="29" t="s">
        <v>1700</v>
      </c>
      <c r="I1416" s="4">
        <v>0</v>
      </c>
      <c r="J1416" s="4">
        <v>0</v>
      </c>
      <c r="K1416" s="4">
        <v>450</v>
      </c>
      <c r="L1416" s="4">
        <v>0</v>
      </c>
      <c r="M1416" s="12" t="s">
        <v>571</v>
      </c>
      <c r="N1416" s="13">
        <f t="shared" si="39"/>
        <v>450</v>
      </c>
    </row>
    <row r="1417" spans="1:14">
      <c r="A1417" s="12">
        <v>1416</v>
      </c>
      <c r="B1417" s="1" t="s">
        <v>1836</v>
      </c>
      <c r="C1417" s="42" t="s">
        <v>1837</v>
      </c>
      <c r="D1417" s="42" t="s">
        <v>2322</v>
      </c>
      <c r="E1417" s="42" t="s">
        <v>2272</v>
      </c>
      <c r="F1417" s="4">
        <v>866.12</v>
      </c>
      <c r="G1417" s="47" t="s">
        <v>570</v>
      </c>
      <c r="H1417" s="29" t="s">
        <v>1839</v>
      </c>
      <c r="I1417" s="4">
        <v>66.06</v>
      </c>
      <c r="J1417" s="4">
        <v>66.06</v>
      </c>
      <c r="K1417" s="4">
        <v>0</v>
      </c>
      <c r="L1417" s="4">
        <v>0</v>
      </c>
      <c r="M1417" s="12" t="s">
        <v>571</v>
      </c>
      <c r="N1417" s="13">
        <f t="shared" si="39"/>
        <v>132.12</v>
      </c>
    </row>
    <row r="1418" spans="1:14">
      <c r="A1418" s="12">
        <v>1417</v>
      </c>
      <c r="B1418" s="1" t="s">
        <v>1836</v>
      </c>
      <c r="C1418" s="42" t="s">
        <v>1837</v>
      </c>
      <c r="D1418" s="42" t="s">
        <v>2323</v>
      </c>
      <c r="E1418" s="42" t="s">
        <v>2254</v>
      </c>
      <c r="F1418" s="4">
        <v>0.02</v>
      </c>
      <c r="G1418" s="47" t="s">
        <v>570</v>
      </c>
      <c r="H1418" s="29" t="s">
        <v>1839</v>
      </c>
      <c r="I1418" s="4">
        <v>0</v>
      </c>
      <c r="J1418" s="4">
        <v>0</v>
      </c>
      <c r="K1418" s="4">
        <v>0</v>
      </c>
      <c r="L1418" s="4">
        <v>0</v>
      </c>
      <c r="M1418" s="12" t="s">
        <v>571</v>
      </c>
      <c r="N1418" s="13">
        <f t="shared" si="39"/>
        <v>0</v>
      </c>
    </row>
    <row r="1419" spans="1:14">
      <c r="A1419" s="12">
        <v>1418</v>
      </c>
      <c r="B1419" s="1" t="s">
        <v>1750</v>
      </c>
      <c r="C1419" s="42" t="s">
        <v>1751</v>
      </c>
      <c r="D1419" s="42" t="s">
        <v>2324</v>
      </c>
      <c r="E1419" s="42" t="s">
        <v>2325</v>
      </c>
      <c r="F1419" s="4">
        <v>30000</v>
      </c>
      <c r="G1419" s="47" t="s">
        <v>60</v>
      </c>
      <c r="H1419" s="12">
        <v>2006</v>
      </c>
      <c r="I1419" s="4">
        <v>0</v>
      </c>
      <c r="J1419" s="4">
        <v>0</v>
      </c>
      <c r="K1419" s="4">
        <v>2904</v>
      </c>
      <c r="L1419" s="4">
        <v>0</v>
      </c>
      <c r="M1419" s="12" t="s">
        <v>571</v>
      </c>
      <c r="N1419" s="13">
        <f t="shared" si="39"/>
        <v>2904</v>
      </c>
    </row>
    <row r="1420" spans="1:14">
      <c r="A1420" s="12">
        <v>1419</v>
      </c>
      <c r="B1420" s="1" t="s">
        <v>1750</v>
      </c>
      <c r="C1420" s="42" t="s">
        <v>1751</v>
      </c>
      <c r="D1420" s="42" t="s">
        <v>2324</v>
      </c>
      <c r="E1420" s="42" t="s">
        <v>2325</v>
      </c>
      <c r="F1420" s="4">
        <v>30000</v>
      </c>
      <c r="G1420" s="47" t="s">
        <v>60</v>
      </c>
      <c r="H1420" s="12">
        <v>2006</v>
      </c>
      <c r="I1420" s="4">
        <v>0</v>
      </c>
      <c r="J1420" s="4">
        <v>0</v>
      </c>
      <c r="K1420" s="4">
        <v>441.72</v>
      </c>
      <c r="L1420" s="4">
        <v>0</v>
      </c>
      <c r="M1420" s="12" t="s">
        <v>571</v>
      </c>
      <c r="N1420" s="13">
        <f t="shared" si="39"/>
        <v>441.72</v>
      </c>
    </row>
    <row r="1421" spans="1:14">
      <c r="A1421" s="12">
        <v>1420</v>
      </c>
      <c r="B1421" s="1" t="s">
        <v>1750</v>
      </c>
      <c r="C1421" s="42" t="s">
        <v>1751</v>
      </c>
      <c r="D1421" s="42" t="s">
        <v>2326</v>
      </c>
      <c r="E1421" s="42" t="s">
        <v>2327</v>
      </c>
      <c r="F1421" s="4">
        <v>21945</v>
      </c>
      <c r="G1421" s="47" t="s">
        <v>60</v>
      </c>
      <c r="H1421" s="29" t="s">
        <v>1700</v>
      </c>
      <c r="I1421" s="4">
        <v>0</v>
      </c>
      <c r="J1421" s="4">
        <v>0</v>
      </c>
      <c r="K1421" s="4">
        <v>80.099999999999994</v>
      </c>
      <c r="L1421" s="4">
        <v>0</v>
      </c>
      <c r="M1421" s="12" t="s">
        <v>571</v>
      </c>
      <c r="N1421" s="13">
        <f t="shared" si="39"/>
        <v>80.099999999999994</v>
      </c>
    </row>
    <row r="1422" spans="1:14">
      <c r="A1422" s="12">
        <v>1421</v>
      </c>
      <c r="B1422" s="1" t="s">
        <v>1750</v>
      </c>
      <c r="C1422" s="42" t="s">
        <v>1751</v>
      </c>
      <c r="D1422" s="42" t="s">
        <v>2326</v>
      </c>
      <c r="E1422" s="42" t="s">
        <v>2327</v>
      </c>
      <c r="F1422" s="4">
        <v>21945</v>
      </c>
      <c r="G1422" s="47" t="s">
        <v>60</v>
      </c>
      <c r="H1422" s="29" t="s">
        <v>1700</v>
      </c>
      <c r="I1422" s="4">
        <v>0</v>
      </c>
      <c r="J1422" s="4">
        <v>0</v>
      </c>
      <c r="K1422" s="4">
        <v>1020</v>
      </c>
      <c r="L1422" s="4">
        <v>0</v>
      </c>
      <c r="M1422" s="12" t="s">
        <v>571</v>
      </c>
      <c r="N1422" s="13">
        <f t="shared" si="39"/>
        <v>1020</v>
      </c>
    </row>
    <row r="1423" spans="1:14">
      <c r="A1423" s="12">
        <v>1422</v>
      </c>
      <c r="B1423" s="1" t="s">
        <v>1637</v>
      </c>
      <c r="C1423" s="42" t="s">
        <v>1638</v>
      </c>
      <c r="D1423" s="42" t="s">
        <v>2328</v>
      </c>
      <c r="E1423" s="42" t="s">
        <v>2154</v>
      </c>
      <c r="F1423" s="4">
        <v>2867.4</v>
      </c>
      <c r="G1423" s="47" t="s">
        <v>60</v>
      </c>
      <c r="H1423" s="12">
        <v>4819</v>
      </c>
      <c r="I1423" s="4">
        <v>0</v>
      </c>
      <c r="J1423" s="4">
        <v>0</v>
      </c>
      <c r="K1423" s="4">
        <v>437.4</v>
      </c>
      <c r="L1423" s="4">
        <v>0</v>
      </c>
      <c r="M1423" s="12" t="s">
        <v>571</v>
      </c>
      <c r="N1423" s="13">
        <f t="shared" si="39"/>
        <v>437.4</v>
      </c>
    </row>
    <row r="1424" spans="1:14">
      <c r="A1424" s="12">
        <v>1423</v>
      </c>
      <c r="B1424" s="1" t="s">
        <v>1637</v>
      </c>
      <c r="C1424" s="42" t="s">
        <v>1638</v>
      </c>
      <c r="D1424" s="42" t="s">
        <v>2329</v>
      </c>
      <c r="E1424" s="42" t="s">
        <v>2154</v>
      </c>
      <c r="F1424" s="4">
        <v>2220.75</v>
      </c>
      <c r="G1424" s="47" t="s">
        <v>60</v>
      </c>
      <c r="H1424" s="29" t="s">
        <v>1641</v>
      </c>
      <c r="I1424" s="4">
        <v>0</v>
      </c>
      <c r="J1424" s="4">
        <v>0</v>
      </c>
      <c r="K1424" s="4">
        <v>105.75</v>
      </c>
      <c r="L1424" s="4">
        <v>0</v>
      </c>
      <c r="M1424" s="12" t="s">
        <v>571</v>
      </c>
      <c r="N1424" s="13">
        <f t="shared" si="39"/>
        <v>105.75</v>
      </c>
    </row>
    <row r="1425" spans="1:14">
      <c r="A1425" s="12">
        <v>1424</v>
      </c>
      <c r="B1425" s="1" t="s">
        <v>1637</v>
      </c>
      <c r="C1425" s="42" t="s">
        <v>1638</v>
      </c>
      <c r="D1425" s="42" t="s">
        <v>2330</v>
      </c>
      <c r="E1425" s="42" t="s">
        <v>2154</v>
      </c>
      <c r="F1425" s="4">
        <v>5076.75</v>
      </c>
      <c r="G1425" s="47" t="s">
        <v>60</v>
      </c>
      <c r="H1425" s="29" t="s">
        <v>1641</v>
      </c>
      <c r="I1425" s="4">
        <v>0</v>
      </c>
      <c r="J1425" s="4">
        <v>0</v>
      </c>
      <c r="K1425" s="4">
        <v>241.75</v>
      </c>
      <c r="L1425" s="4">
        <v>0</v>
      </c>
      <c r="M1425" s="12" t="s">
        <v>571</v>
      </c>
      <c r="N1425" s="13">
        <f t="shared" si="39"/>
        <v>241.75</v>
      </c>
    </row>
    <row r="1426" spans="1:14">
      <c r="A1426" s="12">
        <v>1425</v>
      </c>
      <c r="B1426" s="1" t="s">
        <v>1637</v>
      </c>
      <c r="C1426" s="42" t="s">
        <v>1638</v>
      </c>
      <c r="D1426" s="42" t="s">
        <v>2331</v>
      </c>
      <c r="E1426" s="42" t="s">
        <v>2154</v>
      </c>
      <c r="F1426" s="4">
        <v>1203.5999999999999</v>
      </c>
      <c r="G1426" s="47" t="s">
        <v>60</v>
      </c>
      <c r="H1426" s="12">
        <v>4819</v>
      </c>
      <c r="I1426" s="4">
        <v>0</v>
      </c>
      <c r="J1426" s="4">
        <v>0</v>
      </c>
      <c r="K1426" s="4">
        <v>183.6</v>
      </c>
      <c r="L1426" s="4">
        <v>0</v>
      </c>
      <c r="M1426" s="12" t="s">
        <v>571</v>
      </c>
      <c r="N1426" s="13">
        <f t="shared" si="39"/>
        <v>183.6</v>
      </c>
    </row>
    <row r="1427" spans="1:14">
      <c r="A1427" s="12">
        <v>1426</v>
      </c>
      <c r="B1427" s="1" t="s">
        <v>1637</v>
      </c>
      <c r="C1427" s="42" t="s">
        <v>1638</v>
      </c>
      <c r="D1427" s="42" t="s">
        <v>2332</v>
      </c>
      <c r="E1427" s="42" t="s">
        <v>2154</v>
      </c>
      <c r="F1427" s="4">
        <v>19716.900000000001</v>
      </c>
      <c r="G1427" s="47" t="s">
        <v>60</v>
      </c>
      <c r="H1427" s="29" t="s">
        <v>1641</v>
      </c>
      <c r="I1427" s="4">
        <v>0</v>
      </c>
      <c r="J1427" s="4">
        <v>0</v>
      </c>
      <c r="K1427" s="4">
        <v>938.9</v>
      </c>
      <c r="L1427" s="4">
        <v>0</v>
      </c>
      <c r="M1427" s="12" t="s">
        <v>571</v>
      </c>
      <c r="N1427" s="13">
        <f t="shared" si="39"/>
        <v>938.9</v>
      </c>
    </row>
    <row r="1428" spans="1:14">
      <c r="A1428" s="12">
        <v>1427</v>
      </c>
      <c r="B1428" s="1" t="s">
        <v>1637</v>
      </c>
      <c r="C1428" s="42" t="s">
        <v>1638</v>
      </c>
      <c r="D1428" s="42" t="s">
        <v>2333</v>
      </c>
      <c r="E1428" s="42" t="s">
        <v>2154</v>
      </c>
      <c r="F1428" s="4">
        <v>17171.18</v>
      </c>
      <c r="G1428" s="47" t="s">
        <v>60</v>
      </c>
      <c r="H1428" s="29" t="s">
        <v>1641</v>
      </c>
      <c r="I1428" s="4">
        <v>0</v>
      </c>
      <c r="J1428" s="4">
        <v>0</v>
      </c>
      <c r="K1428" s="4">
        <v>817.68</v>
      </c>
      <c r="L1428" s="4">
        <v>0</v>
      </c>
      <c r="M1428" s="12" t="s">
        <v>571</v>
      </c>
      <c r="N1428" s="13">
        <f t="shared" si="39"/>
        <v>817.68</v>
      </c>
    </row>
    <row r="1429" spans="1:14">
      <c r="A1429" s="12">
        <v>1428</v>
      </c>
      <c r="B1429" s="1" t="s">
        <v>1637</v>
      </c>
      <c r="C1429" s="42" t="s">
        <v>1638</v>
      </c>
      <c r="D1429" s="42" t="s">
        <v>2334</v>
      </c>
      <c r="E1429" s="42" t="s">
        <v>2158</v>
      </c>
      <c r="F1429" s="4">
        <v>47932.5</v>
      </c>
      <c r="G1429" s="47" t="s">
        <v>60</v>
      </c>
      <c r="H1429" s="29" t="s">
        <v>1641</v>
      </c>
      <c r="I1429" s="4">
        <v>0</v>
      </c>
      <c r="J1429" s="4">
        <v>0</v>
      </c>
      <c r="K1429" s="4">
        <v>2282.5</v>
      </c>
      <c r="L1429" s="4">
        <v>0</v>
      </c>
      <c r="M1429" s="12" t="s">
        <v>571</v>
      </c>
      <c r="N1429" s="13">
        <f t="shared" si="39"/>
        <v>2282.5</v>
      </c>
    </row>
    <row r="1430" spans="1:14">
      <c r="A1430" s="12">
        <v>1429</v>
      </c>
      <c r="B1430" s="1" t="s">
        <v>1637</v>
      </c>
      <c r="C1430" s="42" t="s">
        <v>1638</v>
      </c>
      <c r="D1430" s="42" t="s">
        <v>2335</v>
      </c>
      <c r="E1430" s="42" t="s">
        <v>2111</v>
      </c>
      <c r="F1430" s="4">
        <v>16425.599999999999</v>
      </c>
      <c r="G1430" s="47" t="s">
        <v>60</v>
      </c>
      <c r="H1430" s="12">
        <v>7310</v>
      </c>
      <c r="I1430" s="4">
        <v>0</v>
      </c>
      <c r="J1430" s="4">
        <v>0</v>
      </c>
      <c r="K1430" s="4">
        <v>2505.6</v>
      </c>
      <c r="L1430" s="4">
        <v>0</v>
      </c>
      <c r="M1430" s="12" t="s">
        <v>571</v>
      </c>
      <c r="N1430" s="13">
        <f t="shared" si="39"/>
        <v>2505.6</v>
      </c>
    </row>
    <row r="1431" spans="1:14">
      <c r="A1431" s="12">
        <v>1430</v>
      </c>
      <c r="B1431" s="1" t="s">
        <v>1637</v>
      </c>
      <c r="C1431" s="42" t="s">
        <v>1638</v>
      </c>
      <c r="D1431" s="42" t="s">
        <v>2336</v>
      </c>
      <c r="E1431" s="42" t="s">
        <v>2111</v>
      </c>
      <c r="F1431" s="4">
        <v>12432</v>
      </c>
      <c r="G1431" s="47" t="s">
        <v>60</v>
      </c>
      <c r="H1431" s="29" t="s">
        <v>1641</v>
      </c>
      <c r="I1431" s="4">
        <v>0</v>
      </c>
      <c r="J1431" s="4">
        <v>0</v>
      </c>
      <c r="K1431" s="4">
        <v>592</v>
      </c>
      <c r="L1431" s="4">
        <v>0</v>
      </c>
      <c r="M1431" s="12" t="s">
        <v>571</v>
      </c>
      <c r="N1431" s="13">
        <f t="shared" si="39"/>
        <v>592</v>
      </c>
    </row>
    <row r="1432" spans="1:14">
      <c r="A1432" s="12">
        <v>1431</v>
      </c>
      <c r="B1432" s="1" t="s">
        <v>1637</v>
      </c>
      <c r="C1432" s="42" t="s">
        <v>1638</v>
      </c>
      <c r="D1432" s="42" t="s">
        <v>2337</v>
      </c>
      <c r="E1432" s="42" t="s">
        <v>2111</v>
      </c>
      <c r="F1432" s="4">
        <v>19953.8</v>
      </c>
      <c r="G1432" s="47" t="s">
        <v>60</v>
      </c>
      <c r="H1432" s="12">
        <v>7310</v>
      </c>
      <c r="I1432" s="4">
        <v>0</v>
      </c>
      <c r="J1432" s="4">
        <v>0</v>
      </c>
      <c r="K1432" s="4">
        <v>3043.8</v>
      </c>
      <c r="L1432" s="4">
        <v>0</v>
      </c>
      <c r="M1432" s="12" t="s">
        <v>571</v>
      </c>
      <c r="N1432" s="13">
        <f t="shared" si="39"/>
        <v>3043.8</v>
      </c>
    </row>
    <row r="1433" spans="1:14">
      <c r="A1433" s="12">
        <v>1432</v>
      </c>
      <c r="B1433" s="1" t="s">
        <v>1637</v>
      </c>
      <c r="C1433" s="42" t="s">
        <v>1638</v>
      </c>
      <c r="D1433" s="42" t="s">
        <v>2338</v>
      </c>
      <c r="E1433" s="42" t="s">
        <v>2116</v>
      </c>
      <c r="F1433" s="4">
        <v>9157.4699999999993</v>
      </c>
      <c r="G1433" s="47" t="s">
        <v>60</v>
      </c>
      <c r="H1433" s="29" t="s">
        <v>1641</v>
      </c>
      <c r="I1433" s="4">
        <v>0</v>
      </c>
      <c r="J1433" s="4">
        <v>0</v>
      </c>
      <c r="K1433" s="4">
        <v>436.07</v>
      </c>
      <c r="L1433" s="4">
        <v>0</v>
      </c>
      <c r="M1433" s="12" t="s">
        <v>571</v>
      </c>
      <c r="N1433" s="13">
        <f t="shared" si="39"/>
        <v>436.07</v>
      </c>
    </row>
    <row r="1434" spans="1:14">
      <c r="A1434" s="12">
        <v>1433</v>
      </c>
      <c r="B1434" s="1" t="s">
        <v>1637</v>
      </c>
      <c r="C1434" s="42" t="s">
        <v>1638</v>
      </c>
      <c r="D1434" s="42" t="s">
        <v>2339</v>
      </c>
      <c r="E1434" s="42" t="s">
        <v>2116</v>
      </c>
      <c r="F1434" s="4">
        <v>8212.7999999999993</v>
      </c>
      <c r="G1434" s="47" t="s">
        <v>60</v>
      </c>
      <c r="H1434" s="12">
        <v>7310</v>
      </c>
      <c r="I1434" s="4">
        <v>0</v>
      </c>
      <c r="J1434" s="4">
        <v>0</v>
      </c>
      <c r="K1434" s="4">
        <v>1252.8</v>
      </c>
      <c r="L1434" s="4">
        <v>0</v>
      </c>
      <c r="M1434" s="12" t="s">
        <v>571</v>
      </c>
      <c r="N1434" s="13">
        <f t="shared" si="39"/>
        <v>1252.8</v>
      </c>
    </row>
    <row r="1435" spans="1:14">
      <c r="A1435" s="12">
        <v>1434</v>
      </c>
      <c r="B1435" s="1" t="s">
        <v>1637</v>
      </c>
      <c r="C1435" s="42" t="s">
        <v>1638</v>
      </c>
      <c r="D1435" s="42" t="s">
        <v>2340</v>
      </c>
      <c r="E1435" s="42" t="s">
        <v>2116</v>
      </c>
      <c r="F1435" s="4">
        <v>22895.46</v>
      </c>
      <c r="G1435" s="47" t="s">
        <v>60</v>
      </c>
      <c r="H1435" s="29" t="s">
        <v>1641</v>
      </c>
      <c r="I1435" s="4">
        <v>0</v>
      </c>
      <c r="J1435" s="4">
        <v>0</v>
      </c>
      <c r="K1435" s="4">
        <v>1090.26</v>
      </c>
      <c r="L1435" s="4">
        <v>0</v>
      </c>
      <c r="M1435" s="12" t="s">
        <v>571</v>
      </c>
      <c r="N1435" s="13">
        <f t="shared" si="39"/>
        <v>1090.26</v>
      </c>
    </row>
    <row r="1436" spans="1:14">
      <c r="A1436" s="12">
        <v>1435</v>
      </c>
      <c r="B1436" s="1" t="s">
        <v>1637</v>
      </c>
      <c r="C1436" s="42" t="s">
        <v>1638</v>
      </c>
      <c r="D1436" s="42" t="s">
        <v>2341</v>
      </c>
      <c r="E1436" s="42" t="s">
        <v>2164</v>
      </c>
      <c r="F1436" s="4">
        <v>13860</v>
      </c>
      <c r="G1436" s="47" t="s">
        <v>60</v>
      </c>
      <c r="H1436" s="29" t="s">
        <v>1641</v>
      </c>
      <c r="I1436" s="4">
        <v>0</v>
      </c>
      <c r="J1436" s="4">
        <v>0</v>
      </c>
      <c r="K1436" s="4">
        <v>660</v>
      </c>
      <c r="L1436" s="4">
        <v>0</v>
      </c>
      <c r="M1436" s="12" t="s">
        <v>571</v>
      </c>
      <c r="N1436" s="13">
        <f t="shared" si="39"/>
        <v>660</v>
      </c>
    </row>
    <row r="1437" spans="1:14">
      <c r="A1437" s="12">
        <v>1436</v>
      </c>
      <c r="B1437" s="1" t="s">
        <v>1637</v>
      </c>
      <c r="C1437" s="42" t="s">
        <v>1638</v>
      </c>
      <c r="D1437" s="42" t="s">
        <v>2342</v>
      </c>
      <c r="E1437" s="42" t="s">
        <v>2164</v>
      </c>
      <c r="F1437" s="4">
        <v>6537.2</v>
      </c>
      <c r="G1437" s="47" t="s">
        <v>60</v>
      </c>
      <c r="H1437" s="12">
        <v>4819</v>
      </c>
      <c r="I1437" s="4">
        <v>0</v>
      </c>
      <c r="J1437" s="4">
        <v>0</v>
      </c>
      <c r="K1437" s="4">
        <v>997.2</v>
      </c>
      <c r="L1437" s="4">
        <v>0</v>
      </c>
      <c r="M1437" s="12" t="s">
        <v>571</v>
      </c>
      <c r="N1437" s="13">
        <f t="shared" si="39"/>
        <v>997.2</v>
      </c>
    </row>
    <row r="1438" spans="1:14">
      <c r="A1438" s="12">
        <v>1437</v>
      </c>
      <c r="B1438" s="1" t="s">
        <v>1637</v>
      </c>
      <c r="C1438" s="42" t="s">
        <v>1638</v>
      </c>
      <c r="D1438" s="42" t="s">
        <v>2343</v>
      </c>
      <c r="E1438" s="42" t="s">
        <v>2220</v>
      </c>
      <c r="F1438" s="4">
        <v>4755.3999999999996</v>
      </c>
      <c r="G1438" s="47" t="s">
        <v>60</v>
      </c>
      <c r="H1438" s="12">
        <v>3923</v>
      </c>
      <c r="I1438" s="4">
        <v>0</v>
      </c>
      <c r="J1438" s="4">
        <v>0</v>
      </c>
      <c r="K1438" s="4">
        <v>725.4</v>
      </c>
      <c r="L1438" s="4">
        <v>0</v>
      </c>
      <c r="M1438" s="12" t="s">
        <v>571</v>
      </c>
      <c r="N1438" s="13">
        <f t="shared" si="39"/>
        <v>725.4</v>
      </c>
    </row>
    <row r="1439" spans="1:14">
      <c r="A1439" s="12">
        <v>1438</v>
      </c>
      <c r="B1439" s="1" t="s">
        <v>1637</v>
      </c>
      <c r="C1439" s="42" t="s">
        <v>1638</v>
      </c>
      <c r="D1439" s="42" t="s">
        <v>2344</v>
      </c>
      <c r="E1439" s="42" t="s">
        <v>2220</v>
      </c>
      <c r="F1439" s="4">
        <v>3717</v>
      </c>
      <c r="G1439" s="47" t="s">
        <v>60</v>
      </c>
      <c r="H1439" s="29" t="s">
        <v>1641</v>
      </c>
      <c r="I1439" s="4">
        <v>0</v>
      </c>
      <c r="J1439" s="4">
        <v>0</v>
      </c>
      <c r="K1439" s="4">
        <v>177</v>
      </c>
      <c r="L1439" s="4">
        <v>0</v>
      </c>
      <c r="M1439" s="12" t="s">
        <v>571</v>
      </c>
      <c r="N1439" s="13">
        <f t="shared" si="39"/>
        <v>177</v>
      </c>
    </row>
    <row r="1440" spans="1:14">
      <c r="A1440" s="12">
        <v>1439</v>
      </c>
      <c r="B1440" s="1" t="s">
        <v>1637</v>
      </c>
      <c r="C1440" s="42" t="s">
        <v>1638</v>
      </c>
      <c r="D1440" s="42" t="s">
        <v>2345</v>
      </c>
      <c r="E1440" s="42" t="s">
        <v>2220</v>
      </c>
      <c r="F1440" s="4">
        <v>40075.35</v>
      </c>
      <c r="G1440" s="47" t="s">
        <v>60</v>
      </c>
      <c r="H1440" s="29" t="s">
        <v>1641</v>
      </c>
      <c r="I1440" s="4">
        <v>0</v>
      </c>
      <c r="J1440" s="4">
        <v>0</v>
      </c>
      <c r="K1440" s="4">
        <v>1908.35</v>
      </c>
      <c r="L1440" s="4">
        <v>0</v>
      </c>
      <c r="M1440" s="12" t="s">
        <v>571</v>
      </c>
      <c r="N1440" s="13">
        <f t="shared" si="39"/>
        <v>1908.35</v>
      </c>
    </row>
    <row r="1441" spans="1:14">
      <c r="A1441" s="12">
        <v>1440</v>
      </c>
      <c r="B1441" s="1" t="s">
        <v>1637</v>
      </c>
      <c r="C1441" s="42" t="s">
        <v>1638</v>
      </c>
      <c r="D1441" s="42" t="s">
        <v>2346</v>
      </c>
      <c r="E1441" s="42" t="s">
        <v>2106</v>
      </c>
      <c r="F1441" s="4">
        <v>1427.8</v>
      </c>
      <c r="G1441" s="47" t="s">
        <v>60</v>
      </c>
      <c r="H1441" s="12">
        <v>4819</v>
      </c>
      <c r="I1441" s="4">
        <v>0</v>
      </c>
      <c r="J1441" s="4">
        <v>0</v>
      </c>
      <c r="K1441" s="4">
        <v>217.8</v>
      </c>
      <c r="L1441" s="4">
        <v>0</v>
      </c>
      <c r="M1441" s="12" t="s">
        <v>571</v>
      </c>
      <c r="N1441" s="13">
        <f t="shared" si="39"/>
        <v>217.8</v>
      </c>
    </row>
    <row r="1442" spans="1:14">
      <c r="A1442" s="12">
        <v>1441</v>
      </c>
      <c r="B1442" s="1" t="s">
        <v>1637</v>
      </c>
      <c r="C1442" s="42" t="s">
        <v>1638</v>
      </c>
      <c r="D1442" s="42" t="s">
        <v>2347</v>
      </c>
      <c r="E1442" s="42" t="s">
        <v>2106</v>
      </c>
      <c r="F1442" s="4">
        <v>16170</v>
      </c>
      <c r="G1442" s="47" t="s">
        <v>60</v>
      </c>
      <c r="H1442" s="29" t="s">
        <v>1641</v>
      </c>
      <c r="I1442" s="4">
        <v>0</v>
      </c>
      <c r="J1442" s="4">
        <v>0</v>
      </c>
      <c r="K1442" s="4">
        <v>770</v>
      </c>
      <c r="L1442" s="4">
        <v>0</v>
      </c>
      <c r="M1442" s="12" t="s">
        <v>571</v>
      </c>
      <c r="N1442" s="13">
        <f t="shared" si="39"/>
        <v>770</v>
      </c>
    </row>
    <row r="1443" spans="1:14">
      <c r="A1443" s="12">
        <v>1442</v>
      </c>
      <c r="B1443" s="1" t="s">
        <v>1637</v>
      </c>
      <c r="C1443" s="42" t="s">
        <v>1638</v>
      </c>
      <c r="D1443" s="42" t="s">
        <v>2348</v>
      </c>
      <c r="E1443" s="42" t="s">
        <v>2106</v>
      </c>
      <c r="F1443" s="4">
        <v>745.5</v>
      </c>
      <c r="G1443" s="47" t="s">
        <v>60</v>
      </c>
      <c r="H1443" s="29" t="s">
        <v>1641</v>
      </c>
      <c r="I1443" s="4">
        <v>0</v>
      </c>
      <c r="J1443" s="4">
        <v>0</v>
      </c>
      <c r="K1443" s="4">
        <v>35.5</v>
      </c>
      <c r="L1443" s="4">
        <v>0</v>
      </c>
      <c r="M1443" s="12" t="s">
        <v>571</v>
      </c>
      <c r="N1443" s="13">
        <f t="shared" si="39"/>
        <v>35.5</v>
      </c>
    </row>
    <row r="1444" spans="1:14">
      <c r="A1444" s="12">
        <v>1443</v>
      </c>
      <c r="B1444" s="1" t="s">
        <v>1637</v>
      </c>
      <c r="C1444" s="42" t="s">
        <v>1638</v>
      </c>
      <c r="D1444" s="42" t="s">
        <v>2349</v>
      </c>
      <c r="E1444" s="42" t="s">
        <v>2106</v>
      </c>
      <c r="F1444" s="4">
        <v>23839.200000000001</v>
      </c>
      <c r="G1444" s="47" t="s">
        <v>60</v>
      </c>
      <c r="H1444" s="29" t="s">
        <v>1641</v>
      </c>
      <c r="I1444" s="4">
        <v>0</v>
      </c>
      <c r="J1444" s="4">
        <v>0</v>
      </c>
      <c r="K1444" s="4">
        <v>1135.2</v>
      </c>
      <c r="L1444" s="4">
        <v>0</v>
      </c>
      <c r="M1444" s="12" t="s">
        <v>571</v>
      </c>
      <c r="N1444" s="13">
        <f t="shared" si="39"/>
        <v>1135.2</v>
      </c>
    </row>
    <row r="1445" spans="1:14">
      <c r="A1445" s="12">
        <v>1444</v>
      </c>
      <c r="B1445" s="1" t="s">
        <v>1637</v>
      </c>
      <c r="C1445" s="42" t="s">
        <v>1638</v>
      </c>
      <c r="D1445" s="42" t="s">
        <v>2350</v>
      </c>
      <c r="E1445" s="42" t="s">
        <v>2095</v>
      </c>
      <c r="F1445" s="4">
        <v>28843.5</v>
      </c>
      <c r="G1445" s="47" t="s">
        <v>60</v>
      </c>
      <c r="H1445" s="29" t="s">
        <v>1641</v>
      </c>
      <c r="I1445" s="4">
        <v>0</v>
      </c>
      <c r="J1445" s="4">
        <v>0</v>
      </c>
      <c r="K1445" s="4">
        <v>1373.5</v>
      </c>
      <c r="L1445" s="4">
        <v>0</v>
      </c>
      <c r="M1445" s="12" t="s">
        <v>571</v>
      </c>
      <c r="N1445" s="13">
        <f t="shared" si="39"/>
        <v>1373.5</v>
      </c>
    </row>
    <row r="1446" spans="1:14">
      <c r="A1446" s="12">
        <v>1445</v>
      </c>
      <c r="B1446" s="1" t="s">
        <v>1637</v>
      </c>
      <c r="C1446" s="42" t="s">
        <v>1638</v>
      </c>
      <c r="D1446" s="42" t="s">
        <v>2351</v>
      </c>
      <c r="E1446" s="42" t="s">
        <v>2095</v>
      </c>
      <c r="F1446" s="4">
        <v>1829</v>
      </c>
      <c r="G1446" s="47" t="s">
        <v>60</v>
      </c>
      <c r="H1446" s="12">
        <v>3923</v>
      </c>
      <c r="I1446" s="4">
        <v>0</v>
      </c>
      <c r="J1446" s="4">
        <v>0</v>
      </c>
      <c r="K1446" s="4">
        <v>279</v>
      </c>
      <c r="L1446" s="4">
        <v>0</v>
      </c>
      <c r="M1446" s="12" t="s">
        <v>571</v>
      </c>
      <c r="N1446" s="13">
        <f t="shared" si="39"/>
        <v>279</v>
      </c>
    </row>
    <row r="1447" spans="1:14">
      <c r="A1447" s="12">
        <v>1446</v>
      </c>
      <c r="B1447" s="1" t="s">
        <v>1637</v>
      </c>
      <c r="C1447" s="42" t="s">
        <v>1638</v>
      </c>
      <c r="D1447" s="42" t="s">
        <v>2352</v>
      </c>
      <c r="E1447" s="42" t="s">
        <v>2095</v>
      </c>
      <c r="F1447" s="4">
        <v>2419</v>
      </c>
      <c r="G1447" s="47" t="s">
        <v>60</v>
      </c>
      <c r="H1447" s="12">
        <v>3923</v>
      </c>
      <c r="I1447" s="4">
        <v>0</v>
      </c>
      <c r="J1447" s="4">
        <v>0</v>
      </c>
      <c r="K1447" s="4">
        <v>369</v>
      </c>
      <c r="L1447" s="4">
        <v>0</v>
      </c>
      <c r="M1447" s="12" t="s">
        <v>571</v>
      </c>
      <c r="N1447" s="13">
        <f t="shared" si="39"/>
        <v>369</v>
      </c>
    </row>
    <row r="1448" spans="1:14">
      <c r="A1448" s="12">
        <v>1447</v>
      </c>
      <c r="B1448" s="1" t="s">
        <v>1637</v>
      </c>
      <c r="C1448" s="42" t="s">
        <v>1638</v>
      </c>
      <c r="D1448" s="42" t="s">
        <v>2353</v>
      </c>
      <c r="E1448" s="42" t="s">
        <v>2144</v>
      </c>
      <c r="F1448" s="4">
        <v>49995.23</v>
      </c>
      <c r="G1448" s="47" t="s">
        <v>60</v>
      </c>
      <c r="H1448" s="29" t="s">
        <v>1641</v>
      </c>
      <c r="I1448" s="4">
        <v>0</v>
      </c>
      <c r="J1448" s="4">
        <v>0</v>
      </c>
      <c r="K1448" s="4">
        <v>2380.73</v>
      </c>
      <c r="L1448" s="4">
        <v>0</v>
      </c>
      <c r="M1448" s="12" t="s">
        <v>571</v>
      </c>
      <c r="N1448" s="13">
        <f t="shared" si="39"/>
        <v>2380.73</v>
      </c>
    </row>
    <row r="1449" spans="1:14">
      <c r="A1449" s="12">
        <v>1448</v>
      </c>
      <c r="B1449" s="1" t="s">
        <v>1637</v>
      </c>
      <c r="C1449" s="42" t="s">
        <v>1638</v>
      </c>
      <c r="D1449" s="42" t="s">
        <v>2354</v>
      </c>
      <c r="E1449" s="42" t="s">
        <v>2118</v>
      </c>
      <c r="F1449" s="4">
        <v>1408.05</v>
      </c>
      <c r="G1449" s="47" t="s">
        <v>60</v>
      </c>
      <c r="H1449" s="29" t="s">
        <v>1641</v>
      </c>
      <c r="I1449" s="4">
        <v>0</v>
      </c>
      <c r="J1449" s="4">
        <v>0</v>
      </c>
      <c r="K1449" s="4">
        <v>67.05</v>
      </c>
      <c r="L1449" s="4">
        <v>0</v>
      </c>
      <c r="M1449" s="12" t="s">
        <v>571</v>
      </c>
      <c r="N1449" s="13">
        <f t="shared" si="39"/>
        <v>67.05</v>
      </c>
    </row>
    <row r="1450" spans="1:14">
      <c r="A1450" s="12">
        <v>1449</v>
      </c>
      <c r="B1450" s="1" t="s">
        <v>1637</v>
      </c>
      <c r="C1450" s="42" t="s">
        <v>1638</v>
      </c>
      <c r="D1450" s="42" t="s">
        <v>2355</v>
      </c>
      <c r="E1450" s="42" t="s">
        <v>2118</v>
      </c>
      <c r="F1450" s="4">
        <v>6180.84</v>
      </c>
      <c r="G1450" s="47" t="s">
        <v>60</v>
      </c>
      <c r="H1450" s="12">
        <v>4819</v>
      </c>
      <c r="I1450" s="4">
        <v>0</v>
      </c>
      <c r="J1450" s="4">
        <v>0</v>
      </c>
      <c r="K1450" s="4">
        <v>942.84</v>
      </c>
      <c r="L1450" s="4">
        <v>0</v>
      </c>
      <c r="M1450" s="12" t="s">
        <v>571</v>
      </c>
      <c r="N1450" s="13">
        <f t="shared" si="39"/>
        <v>942.84</v>
      </c>
    </row>
    <row r="1451" spans="1:14">
      <c r="A1451" s="12">
        <v>1450</v>
      </c>
      <c r="B1451" s="1" t="s">
        <v>1637</v>
      </c>
      <c r="C1451" s="42" t="s">
        <v>1638</v>
      </c>
      <c r="D1451" s="42" t="s">
        <v>2356</v>
      </c>
      <c r="E1451" s="42" t="s">
        <v>2118</v>
      </c>
      <c r="F1451" s="4">
        <v>40425</v>
      </c>
      <c r="G1451" s="47" t="s">
        <v>60</v>
      </c>
      <c r="H1451" s="29" t="s">
        <v>1641</v>
      </c>
      <c r="I1451" s="4">
        <v>0</v>
      </c>
      <c r="J1451" s="4">
        <v>0</v>
      </c>
      <c r="K1451" s="4">
        <v>1925</v>
      </c>
      <c r="L1451" s="4">
        <v>0</v>
      </c>
      <c r="M1451" s="12" t="s">
        <v>571</v>
      </c>
      <c r="N1451" s="13">
        <f t="shared" si="39"/>
        <v>1925</v>
      </c>
    </row>
    <row r="1452" spans="1:14">
      <c r="A1452" s="12">
        <v>1451</v>
      </c>
      <c r="B1452" s="1" t="s">
        <v>1637</v>
      </c>
      <c r="C1452" s="42" t="s">
        <v>1638</v>
      </c>
      <c r="D1452" s="42" t="s">
        <v>2357</v>
      </c>
      <c r="E1452" s="42" t="s">
        <v>2087</v>
      </c>
      <c r="F1452" s="4">
        <v>46935</v>
      </c>
      <c r="G1452" s="47" t="s">
        <v>60</v>
      </c>
      <c r="H1452" s="29" t="s">
        <v>1641</v>
      </c>
      <c r="I1452" s="4">
        <v>0</v>
      </c>
      <c r="J1452" s="4">
        <v>0</v>
      </c>
      <c r="K1452" s="4">
        <v>2235</v>
      </c>
      <c r="L1452" s="4">
        <v>0</v>
      </c>
      <c r="M1452" s="12" t="s">
        <v>571</v>
      </c>
      <c r="N1452" s="13">
        <f t="shared" si="39"/>
        <v>2235</v>
      </c>
    </row>
    <row r="1453" spans="1:14">
      <c r="A1453" s="12">
        <v>1452</v>
      </c>
      <c r="B1453" s="1" t="s">
        <v>1637</v>
      </c>
      <c r="C1453" s="42" t="s">
        <v>1638</v>
      </c>
      <c r="D1453" s="42" t="s">
        <v>2358</v>
      </c>
      <c r="E1453" s="42" t="s">
        <v>2170</v>
      </c>
      <c r="F1453" s="4">
        <v>49628.25</v>
      </c>
      <c r="G1453" s="47" t="s">
        <v>60</v>
      </c>
      <c r="H1453" s="29" t="s">
        <v>1641</v>
      </c>
      <c r="I1453" s="4">
        <v>0</v>
      </c>
      <c r="J1453" s="4">
        <v>0</v>
      </c>
      <c r="K1453" s="4">
        <v>2363.25</v>
      </c>
      <c r="L1453" s="4">
        <v>0</v>
      </c>
      <c r="M1453" s="12" t="s">
        <v>571</v>
      </c>
      <c r="N1453" s="13">
        <f t="shared" si="39"/>
        <v>2363.25</v>
      </c>
    </row>
    <row r="1454" spans="1:14">
      <c r="A1454" s="12">
        <v>1453</v>
      </c>
      <c r="B1454" s="1" t="s">
        <v>1637</v>
      </c>
      <c r="C1454" s="42" t="s">
        <v>1638</v>
      </c>
      <c r="D1454" s="42" t="s">
        <v>2359</v>
      </c>
      <c r="E1454" s="42" t="s">
        <v>2172</v>
      </c>
      <c r="F1454" s="4">
        <v>8226.75</v>
      </c>
      <c r="G1454" s="47" t="s">
        <v>60</v>
      </c>
      <c r="H1454" s="29" t="s">
        <v>1641</v>
      </c>
      <c r="I1454" s="4">
        <v>0</v>
      </c>
      <c r="J1454" s="4">
        <v>0</v>
      </c>
      <c r="K1454" s="4">
        <v>391.75</v>
      </c>
      <c r="L1454" s="4">
        <v>0</v>
      </c>
      <c r="M1454" s="12" t="s">
        <v>571</v>
      </c>
      <c r="N1454" s="13">
        <f t="shared" si="39"/>
        <v>391.75</v>
      </c>
    </row>
    <row r="1455" spans="1:14">
      <c r="A1455" s="12">
        <v>1454</v>
      </c>
      <c r="B1455" s="1" t="s">
        <v>1637</v>
      </c>
      <c r="C1455" s="42" t="s">
        <v>1638</v>
      </c>
      <c r="D1455" s="42" t="s">
        <v>2360</v>
      </c>
      <c r="E1455" s="42" t="s">
        <v>2172</v>
      </c>
      <c r="F1455" s="4">
        <v>17139.5</v>
      </c>
      <c r="G1455" s="47" t="s">
        <v>60</v>
      </c>
      <c r="H1455" s="12">
        <v>7310</v>
      </c>
      <c r="I1455" s="4">
        <v>0</v>
      </c>
      <c r="J1455" s="4">
        <v>0</v>
      </c>
      <c r="K1455" s="4">
        <v>2614.5</v>
      </c>
      <c r="L1455" s="4">
        <v>0</v>
      </c>
      <c r="M1455" s="12" t="s">
        <v>571</v>
      </c>
      <c r="N1455" s="13">
        <f t="shared" si="39"/>
        <v>2614.5</v>
      </c>
    </row>
    <row r="1456" spans="1:14">
      <c r="A1456" s="12">
        <v>1455</v>
      </c>
      <c r="B1456" s="1" t="s">
        <v>1637</v>
      </c>
      <c r="C1456" s="42" t="s">
        <v>1638</v>
      </c>
      <c r="D1456" s="42" t="s">
        <v>2361</v>
      </c>
      <c r="E1456" s="42" t="s">
        <v>2172</v>
      </c>
      <c r="F1456" s="4">
        <v>24342.16</v>
      </c>
      <c r="G1456" s="47" t="s">
        <v>60</v>
      </c>
      <c r="H1456" s="29" t="s">
        <v>1641</v>
      </c>
      <c r="I1456" s="4">
        <v>0</v>
      </c>
      <c r="J1456" s="4">
        <v>0</v>
      </c>
      <c r="K1456" s="4">
        <v>1159.1500000000001</v>
      </c>
      <c r="L1456" s="4">
        <v>0</v>
      </c>
      <c r="M1456" s="12" t="s">
        <v>571</v>
      </c>
      <c r="N1456" s="13">
        <f t="shared" si="39"/>
        <v>1159.1500000000001</v>
      </c>
    </row>
    <row r="1457" spans="1:14">
      <c r="A1457" s="12">
        <v>1456</v>
      </c>
      <c r="B1457" s="1" t="s">
        <v>1637</v>
      </c>
      <c r="C1457" s="42" t="s">
        <v>1638</v>
      </c>
      <c r="D1457" s="42" t="s">
        <v>2362</v>
      </c>
      <c r="E1457" s="42" t="s">
        <v>2089</v>
      </c>
      <c r="F1457" s="4">
        <v>17432.099999999999</v>
      </c>
      <c r="G1457" s="47" t="s">
        <v>60</v>
      </c>
      <c r="H1457" s="29" t="s">
        <v>1641</v>
      </c>
      <c r="I1457" s="4">
        <v>0</v>
      </c>
      <c r="J1457" s="4">
        <v>0</v>
      </c>
      <c r="K1457" s="4">
        <v>830.1</v>
      </c>
      <c r="L1457" s="4">
        <v>0</v>
      </c>
      <c r="M1457" s="12" t="s">
        <v>571</v>
      </c>
      <c r="N1457" s="13">
        <f t="shared" si="39"/>
        <v>830.1</v>
      </c>
    </row>
    <row r="1458" spans="1:14">
      <c r="A1458" s="12">
        <v>1457</v>
      </c>
      <c r="B1458" s="1" t="s">
        <v>1637</v>
      </c>
      <c r="C1458" s="42" t="s">
        <v>1638</v>
      </c>
      <c r="D1458" s="42" t="s">
        <v>2363</v>
      </c>
      <c r="E1458" s="42" t="s">
        <v>2089</v>
      </c>
      <c r="F1458" s="4">
        <v>31347.75</v>
      </c>
      <c r="G1458" s="47" t="s">
        <v>60</v>
      </c>
      <c r="H1458" s="29" t="s">
        <v>1641</v>
      </c>
      <c r="I1458" s="4">
        <v>0</v>
      </c>
      <c r="J1458" s="4">
        <v>0</v>
      </c>
      <c r="K1458" s="4">
        <v>1492.75</v>
      </c>
      <c r="L1458" s="4">
        <v>0</v>
      </c>
      <c r="M1458" s="12" t="s">
        <v>571</v>
      </c>
      <c r="N1458" s="13">
        <f t="shared" si="39"/>
        <v>1492.75</v>
      </c>
    </row>
    <row r="1459" spans="1:14">
      <c r="A1459" s="12">
        <v>1458</v>
      </c>
      <c r="B1459" s="1" t="s">
        <v>1637</v>
      </c>
      <c r="C1459" s="42" t="s">
        <v>1638</v>
      </c>
      <c r="D1459" s="42" t="s">
        <v>2364</v>
      </c>
      <c r="E1459" s="42" t="s">
        <v>2089</v>
      </c>
      <c r="F1459" s="4">
        <v>944</v>
      </c>
      <c r="G1459" s="47" t="s">
        <v>60</v>
      </c>
      <c r="H1459" s="12">
        <v>4819</v>
      </c>
      <c r="I1459" s="4">
        <v>0</v>
      </c>
      <c r="J1459" s="4">
        <v>0</v>
      </c>
      <c r="K1459" s="4">
        <v>144</v>
      </c>
      <c r="L1459" s="4">
        <v>0</v>
      </c>
      <c r="M1459" s="12" t="s">
        <v>571</v>
      </c>
      <c r="N1459" s="13">
        <f t="shared" si="39"/>
        <v>144</v>
      </c>
    </row>
    <row r="1460" spans="1:14">
      <c r="A1460" s="12">
        <v>1459</v>
      </c>
      <c r="B1460" s="1" t="s">
        <v>1637</v>
      </c>
      <c r="C1460" s="42" t="s">
        <v>1638</v>
      </c>
      <c r="D1460" s="42" t="s">
        <v>2365</v>
      </c>
      <c r="E1460" s="42" t="s">
        <v>2138</v>
      </c>
      <c r="F1460" s="4">
        <v>39102</v>
      </c>
      <c r="G1460" s="47" t="s">
        <v>60</v>
      </c>
      <c r="H1460" s="29" t="s">
        <v>1641</v>
      </c>
      <c r="I1460" s="4">
        <v>0</v>
      </c>
      <c r="J1460" s="4">
        <v>0</v>
      </c>
      <c r="K1460" s="4">
        <v>1862</v>
      </c>
      <c r="L1460" s="4">
        <v>0</v>
      </c>
      <c r="M1460" s="12" t="s">
        <v>571</v>
      </c>
      <c r="N1460" s="13">
        <f t="shared" si="39"/>
        <v>1862</v>
      </c>
    </row>
    <row r="1461" spans="1:14">
      <c r="A1461" s="12">
        <v>1460</v>
      </c>
      <c r="B1461" s="1" t="s">
        <v>1637</v>
      </c>
      <c r="C1461" s="42" t="s">
        <v>1638</v>
      </c>
      <c r="D1461" s="42" t="s">
        <v>2366</v>
      </c>
      <c r="E1461" s="42" t="s">
        <v>2140</v>
      </c>
      <c r="F1461" s="4">
        <v>14508.59</v>
      </c>
      <c r="G1461" s="47" t="s">
        <v>60</v>
      </c>
      <c r="H1461" s="29" t="s">
        <v>1641</v>
      </c>
      <c r="I1461" s="4">
        <v>0</v>
      </c>
      <c r="J1461" s="4">
        <v>0</v>
      </c>
      <c r="K1461" s="4">
        <v>690.89</v>
      </c>
      <c r="L1461" s="4">
        <v>0</v>
      </c>
      <c r="M1461" s="12" t="s">
        <v>571</v>
      </c>
      <c r="N1461" s="13">
        <f t="shared" si="39"/>
        <v>690.89</v>
      </c>
    </row>
    <row r="1462" spans="1:14">
      <c r="A1462" s="12">
        <v>1461</v>
      </c>
      <c r="B1462" s="1" t="s">
        <v>1637</v>
      </c>
      <c r="C1462" s="42" t="s">
        <v>1638</v>
      </c>
      <c r="D1462" s="42" t="s">
        <v>2367</v>
      </c>
      <c r="E1462" s="42" t="s">
        <v>2140</v>
      </c>
      <c r="F1462" s="4">
        <v>21594</v>
      </c>
      <c r="G1462" s="47" t="s">
        <v>60</v>
      </c>
      <c r="H1462" s="12">
        <v>7310</v>
      </c>
      <c r="I1462" s="4">
        <v>0</v>
      </c>
      <c r="J1462" s="4">
        <v>0</v>
      </c>
      <c r="K1462" s="4">
        <v>3294</v>
      </c>
      <c r="L1462" s="4">
        <v>0</v>
      </c>
      <c r="M1462" s="12" t="s">
        <v>571</v>
      </c>
      <c r="N1462" s="13">
        <f t="shared" si="39"/>
        <v>3294</v>
      </c>
    </row>
    <row r="1463" spans="1:14">
      <c r="A1463" s="12">
        <v>1462</v>
      </c>
      <c r="B1463" s="1" t="s">
        <v>1637</v>
      </c>
      <c r="C1463" s="42" t="s">
        <v>1638</v>
      </c>
      <c r="D1463" s="42" t="s">
        <v>2368</v>
      </c>
      <c r="E1463" s="42" t="s">
        <v>2140</v>
      </c>
      <c r="F1463" s="4">
        <v>13303.5</v>
      </c>
      <c r="G1463" s="47" t="s">
        <v>60</v>
      </c>
      <c r="H1463" s="29" t="s">
        <v>1641</v>
      </c>
      <c r="I1463" s="4">
        <v>0</v>
      </c>
      <c r="J1463" s="4">
        <v>0</v>
      </c>
      <c r="K1463" s="4">
        <v>633.5</v>
      </c>
      <c r="L1463" s="4">
        <v>0</v>
      </c>
      <c r="M1463" s="12" t="s">
        <v>571</v>
      </c>
      <c r="N1463" s="13">
        <f t="shared" si="39"/>
        <v>633.5</v>
      </c>
    </row>
    <row r="1464" spans="1:14">
      <c r="A1464" s="12">
        <v>1463</v>
      </c>
      <c r="B1464" s="1" t="s">
        <v>1637</v>
      </c>
      <c r="C1464" s="42" t="s">
        <v>1638</v>
      </c>
      <c r="D1464" s="42" t="s">
        <v>2369</v>
      </c>
      <c r="E1464" s="42" t="s">
        <v>2178</v>
      </c>
      <c r="F1464" s="4">
        <v>25501.35</v>
      </c>
      <c r="G1464" s="47" t="s">
        <v>60</v>
      </c>
      <c r="H1464" s="29" t="s">
        <v>1641</v>
      </c>
      <c r="I1464" s="4">
        <v>0</v>
      </c>
      <c r="J1464" s="4">
        <v>0</v>
      </c>
      <c r="K1464" s="4">
        <v>1214.3499999999999</v>
      </c>
      <c r="L1464" s="4">
        <v>0</v>
      </c>
      <c r="M1464" s="12" t="s">
        <v>571</v>
      </c>
      <c r="N1464" s="13">
        <f t="shared" si="39"/>
        <v>1214.3499999999999</v>
      </c>
    </row>
    <row r="1465" spans="1:14">
      <c r="A1465" s="12">
        <v>1464</v>
      </c>
      <c r="B1465" s="1" t="s">
        <v>1637</v>
      </c>
      <c r="C1465" s="42" t="s">
        <v>1638</v>
      </c>
      <c r="D1465" s="42" t="s">
        <v>2370</v>
      </c>
      <c r="E1465" s="42" t="s">
        <v>2178</v>
      </c>
      <c r="F1465" s="4">
        <v>2133.6</v>
      </c>
      <c r="G1465" s="47" t="s">
        <v>60</v>
      </c>
      <c r="H1465" s="29" t="s">
        <v>1641</v>
      </c>
      <c r="I1465" s="4">
        <v>0</v>
      </c>
      <c r="J1465" s="4">
        <v>0</v>
      </c>
      <c r="K1465" s="4">
        <v>228.6</v>
      </c>
      <c r="L1465" s="4">
        <v>0</v>
      </c>
      <c r="M1465" s="12" t="s">
        <v>571</v>
      </c>
      <c r="N1465" s="13">
        <f t="shared" si="39"/>
        <v>228.6</v>
      </c>
    </row>
    <row r="1466" spans="1:14">
      <c r="A1466" s="12">
        <v>1465</v>
      </c>
      <c r="B1466" s="1" t="s">
        <v>1637</v>
      </c>
      <c r="C1466" s="42" t="s">
        <v>1638</v>
      </c>
      <c r="D1466" s="42" t="s">
        <v>2371</v>
      </c>
      <c r="E1466" s="42" t="s">
        <v>2178</v>
      </c>
      <c r="F1466" s="4">
        <v>15930</v>
      </c>
      <c r="G1466" s="47" t="s">
        <v>60</v>
      </c>
      <c r="H1466" s="12">
        <v>7310</v>
      </c>
      <c r="I1466" s="4">
        <v>0</v>
      </c>
      <c r="J1466" s="4">
        <v>0</v>
      </c>
      <c r="K1466" s="4">
        <v>2430</v>
      </c>
      <c r="L1466" s="4">
        <v>0</v>
      </c>
      <c r="M1466" s="12" t="s">
        <v>571</v>
      </c>
      <c r="N1466" s="13">
        <f t="shared" si="39"/>
        <v>2430</v>
      </c>
    </row>
    <row r="1467" spans="1:14">
      <c r="A1467" s="12">
        <v>1466</v>
      </c>
      <c r="B1467" s="1" t="s">
        <v>1637</v>
      </c>
      <c r="C1467" s="42" t="s">
        <v>1638</v>
      </c>
      <c r="D1467" s="42" t="s">
        <v>2372</v>
      </c>
      <c r="E1467" s="42" t="s">
        <v>2178</v>
      </c>
      <c r="F1467" s="4">
        <v>5365.5</v>
      </c>
      <c r="G1467" s="47" t="s">
        <v>60</v>
      </c>
      <c r="H1467" s="29" t="s">
        <v>1641</v>
      </c>
      <c r="I1467" s="4">
        <v>0</v>
      </c>
      <c r="J1467" s="4">
        <v>0</v>
      </c>
      <c r="K1467" s="4">
        <v>255.5</v>
      </c>
      <c r="L1467" s="4">
        <v>0</v>
      </c>
      <c r="M1467" s="12" t="s">
        <v>571</v>
      </c>
      <c r="N1467" s="13">
        <f t="shared" si="39"/>
        <v>255.5</v>
      </c>
    </row>
    <row r="1468" spans="1:14">
      <c r="A1468" s="12">
        <v>1467</v>
      </c>
      <c r="B1468" s="1" t="s">
        <v>1637</v>
      </c>
      <c r="C1468" s="42" t="s">
        <v>1638</v>
      </c>
      <c r="D1468" s="42" t="s">
        <v>2373</v>
      </c>
      <c r="E1468" s="42" t="s">
        <v>2180</v>
      </c>
      <c r="F1468" s="4">
        <v>2407.1999999999998</v>
      </c>
      <c r="G1468" s="47" t="s">
        <v>60</v>
      </c>
      <c r="H1468" s="12">
        <v>4819</v>
      </c>
      <c r="I1468" s="4">
        <v>0</v>
      </c>
      <c r="J1468" s="4">
        <v>0</v>
      </c>
      <c r="K1468" s="4">
        <v>367.2</v>
      </c>
      <c r="L1468" s="4">
        <v>0</v>
      </c>
      <c r="M1468" s="12" t="s">
        <v>571</v>
      </c>
      <c r="N1468" s="13">
        <f t="shared" si="39"/>
        <v>367.2</v>
      </c>
    </row>
    <row r="1469" spans="1:14">
      <c r="A1469" s="12">
        <v>1468</v>
      </c>
      <c r="B1469" s="1" t="s">
        <v>1637</v>
      </c>
      <c r="C1469" s="42" t="s">
        <v>1638</v>
      </c>
      <c r="D1469" s="42" t="s">
        <v>2374</v>
      </c>
      <c r="E1469" s="42" t="s">
        <v>2180</v>
      </c>
      <c r="F1469" s="4">
        <v>14663.25</v>
      </c>
      <c r="G1469" s="47" t="s">
        <v>60</v>
      </c>
      <c r="H1469" s="29" t="s">
        <v>1641</v>
      </c>
      <c r="I1469" s="4">
        <v>0</v>
      </c>
      <c r="J1469" s="4">
        <v>0</v>
      </c>
      <c r="K1469" s="4">
        <v>698.25</v>
      </c>
      <c r="L1469" s="4">
        <v>0</v>
      </c>
      <c r="M1469" s="12" t="s">
        <v>571</v>
      </c>
      <c r="N1469" s="13">
        <f t="shared" si="39"/>
        <v>698.25</v>
      </c>
    </row>
    <row r="1470" spans="1:14">
      <c r="A1470" s="12">
        <v>1469</v>
      </c>
      <c r="B1470" s="1" t="s">
        <v>1637</v>
      </c>
      <c r="C1470" s="42" t="s">
        <v>1638</v>
      </c>
      <c r="D1470" s="42" t="s">
        <v>2375</v>
      </c>
      <c r="E1470" s="42" t="s">
        <v>2180</v>
      </c>
      <c r="F1470" s="4">
        <v>16687.650000000001</v>
      </c>
      <c r="G1470" s="47" t="s">
        <v>60</v>
      </c>
      <c r="H1470" s="29" t="s">
        <v>1641</v>
      </c>
      <c r="I1470" s="4">
        <v>0</v>
      </c>
      <c r="J1470" s="4">
        <v>0</v>
      </c>
      <c r="K1470" s="4">
        <v>794.65</v>
      </c>
      <c r="L1470" s="4">
        <v>0</v>
      </c>
      <c r="M1470" s="12" t="s">
        <v>571</v>
      </c>
      <c r="N1470" s="13">
        <f t="shared" si="39"/>
        <v>794.65</v>
      </c>
    </row>
    <row r="1471" spans="1:14">
      <c r="A1471" s="12">
        <v>1470</v>
      </c>
      <c r="B1471" s="1" t="s">
        <v>1637</v>
      </c>
      <c r="C1471" s="42" t="s">
        <v>1638</v>
      </c>
      <c r="D1471" s="42" t="s">
        <v>2376</v>
      </c>
      <c r="E1471" s="42" t="s">
        <v>2180</v>
      </c>
      <c r="F1471" s="4">
        <v>15930</v>
      </c>
      <c r="G1471" s="47" t="s">
        <v>60</v>
      </c>
      <c r="H1471" s="12">
        <v>7310</v>
      </c>
      <c r="I1471" s="4">
        <v>0</v>
      </c>
      <c r="J1471" s="4">
        <v>0</v>
      </c>
      <c r="K1471" s="4">
        <v>2430</v>
      </c>
      <c r="L1471" s="4">
        <v>0</v>
      </c>
      <c r="M1471" s="12" t="s">
        <v>571</v>
      </c>
      <c r="N1471" s="13">
        <f t="shared" si="39"/>
        <v>2430</v>
      </c>
    </row>
    <row r="1472" spans="1:14">
      <c r="A1472" s="12">
        <v>1471</v>
      </c>
      <c r="B1472" s="1" t="s">
        <v>1637</v>
      </c>
      <c r="C1472" s="42" t="s">
        <v>1638</v>
      </c>
      <c r="D1472" s="42" t="s">
        <v>2377</v>
      </c>
      <c r="E1472" s="42" t="s">
        <v>2182</v>
      </c>
      <c r="F1472" s="4">
        <v>16520</v>
      </c>
      <c r="G1472" s="47" t="s">
        <v>60</v>
      </c>
      <c r="H1472" s="12">
        <v>7310</v>
      </c>
      <c r="I1472" s="4">
        <v>0</v>
      </c>
      <c r="J1472" s="4">
        <v>0</v>
      </c>
      <c r="K1472" s="4">
        <v>2520</v>
      </c>
      <c r="L1472" s="4">
        <v>0</v>
      </c>
      <c r="M1472" s="12" t="s">
        <v>571</v>
      </c>
      <c r="N1472" s="13">
        <f t="shared" si="39"/>
        <v>2520</v>
      </c>
    </row>
    <row r="1473" spans="1:14">
      <c r="A1473" s="12">
        <v>1472</v>
      </c>
      <c r="B1473" s="1" t="s">
        <v>1637</v>
      </c>
      <c r="C1473" s="42" t="s">
        <v>1638</v>
      </c>
      <c r="D1473" s="42" t="s">
        <v>2378</v>
      </c>
      <c r="E1473" s="42" t="s">
        <v>2182</v>
      </c>
      <c r="F1473" s="4">
        <v>32923.800000000003</v>
      </c>
      <c r="G1473" s="47" t="s">
        <v>60</v>
      </c>
      <c r="H1473" s="29" t="s">
        <v>1641</v>
      </c>
      <c r="I1473" s="4">
        <v>0</v>
      </c>
      <c r="J1473" s="4">
        <v>0</v>
      </c>
      <c r="K1473" s="4">
        <v>1567.8</v>
      </c>
      <c r="L1473" s="4">
        <v>0</v>
      </c>
      <c r="M1473" s="12" t="s">
        <v>571</v>
      </c>
      <c r="N1473" s="13">
        <f t="shared" si="39"/>
        <v>1567.8</v>
      </c>
    </row>
    <row r="1474" spans="1:14">
      <c r="A1474" s="12">
        <v>1473</v>
      </c>
      <c r="B1474" s="1" t="s">
        <v>1637</v>
      </c>
      <c r="C1474" s="42" t="s">
        <v>1638</v>
      </c>
      <c r="D1474" s="42" t="s">
        <v>2379</v>
      </c>
      <c r="E1474" s="42" t="s">
        <v>2184</v>
      </c>
      <c r="F1474" s="4">
        <v>22854.3</v>
      </c>
      <c r="G1474" s="47" t="s">
        <v>60</v>
      </c>
      <c r="H1474" s="29" t="s">
        <v>1641</v>
      </c>
      <c r="I1474" s="4">
        <v>0</v>
      </c>
      <c r="J1474" s="4">
        <v>0</v>
      </c>
      <c r="K1474" s="4">
        <v>1088.3</v>
      </c>
      <c r="L1474" s="4">
        <v>0</v>
      </c>
      <c r="M1474" s="12" t="s">
        <v>571</v>
      </c>
      <c r="N1474" s="13">
        <f t="shared" si="39"/>
        <v>1088.3</v>
      </c>
    </row>
    <row r="1475" spans="1:14">
      <c r="A1475" s="12">
        <v>1474</v>
      </c>
      <c r="B1475" s="1" t="s">
        <v>1637</v>
      </c>
      <c r="C1475" s="42" t="s">
        <v>1638</v>
      </c>
      <c r="D1475" s="42" t="s">
        <v>2380</v>
      </c>
      <c r="E1475" s="42" t="s">
        <v>2184</v>
      </c>
      <c r="F1475" s="4">
        <v>6186.15</v>
      </c>
      <c r="G1475" s="47" t="s">
        <v>60</v>
      </c>
      <c r="H1475" s="12">
        <v>4819</v>
      </c>
      <c r="I1475" s="4">
        <v>0</v>
      </c>
      <c r="J1475" s="4">
        <v>0</v>
      </c>
      <c r="K1475" s="4">
        <v>943.65</v>
      </c>
      <c r="L1475" s="4">
        <v>0</v>
      </c>
      <c r="M1475" s="12" t="s">
        <v>571</v>
      </c>
      <c r="N1475" s="13">
        <f t="shared" si="39"/>
        <v>943.65</v>
      </c>
    </row>
    <row r="1476" spans="1:14">
      <c r="A1476" s="12">
        <v>1475</v>
      </c>
      <c r="B1476" s="1" t="s">
        <v>1637</v>
      </c>
      <c r="C1476" s="42" t="s">
        <v>1638</v>
      </c>
      <c r="D1476" s="42" t="s">
        <v>2381</v>
      </c>
      <c r="E1476" s="42" t="s">
        <v>2184</v>
      </c>
      <c r="F1476" s="4">
        <v>5670</v>
      </c>
      <c r="G1476" s="47" t="s">
        <v>60</v>
      </c>
      <c r="H1476" s="29" t="s">
        <v>1641</v>
      </c>
      <c r="I1476" s="4">
        <v>0</v>
      </c>
      <c r="J1476" s="4">
        <v>0</v>
      </c>
      <c r="K1476" s="4">
        <v>270</v>
      </c>
      <c r="L1476" s="4">
        <v>0</v>
      </c>
      <c r="M1476" s="12" t="s">
        <v>571</v>
      </c>
      <c r="N1476" s="13">
        <f t="shared" ref="N1476:N1539" si="40">SUM(I1476:K1476)</f>
        <v>270</v>
      </c>
    </row>
    <row r="1477" spans="1:14">
      <c r="A1477" s="12">
        <v>1476</v>
      </c>
      <c r="B1477" s="1" t="s">
        <v>1637</v>
      </c>
      <c r="C1477" s="42" t="s">
        <v>1638</v>
      </c>
      <c r="D1477" s="42" t="s">
        <v>2382</v>
      </c>
      <c r="E1477" s="42" t="s">
        <v>2085</v>
      </c>
      <c r="F1477" s="4">
        <v>6100.6</v>
      </c>
      <c r="G1477" s="47" t="s">
        <v>60</v>
      </c>
      <c r="H1477" s="12">
        <v>4819</v>
      </c>
      <c r="I1477" s="4">
        <v>0</v>
      </c>
      <c r="J1477" s="4">
        <v>0</v>
      </c>
      <c r="K1477" s="4">
        <v>930.6</v>
      </c>
      <c r="L1477" s="4">
        <v>0</v>
      </c>
      <c r="M1477" s="12" t="s">
        <v>571</v>
      </c>
      <c r="N1477" s="13">
        <f t="shared" si="40"/>
        <v>930.6</v>
      </c>
    </row>
    <row r="1478" spans="1:14">
      <c r="A1478" s="12">
        <v>1477</v>
      </c>
      <c r="B1478" s="1" t="s">
        <v>1637</v>
      </c>
      <c r="C1478" s="42" t="s">
        <v>1638</v>
      </c>
      <c r="D1478" s="42" t="s">
        <v>2383</v>
      </c>
      <c r="E1478" s="42" t="s">
        <v>2081</v>
      </c>
      <c r="F1478" s="4">
        <v>18952.5</v>
      </c>
      <c r="G1478" s="47" t="s">
        <v>60</v>
      </c>
      <c r="H1478" s="29" t="s">
        <v>1641</v>
      </c>
      <c r="I1478" s="4">
        <v>0</v>
      </c>
      <c r="J1478" s="4">
        <v>0</v>
      </c>
      <c r="K1478" s="4">
        <v>902.5</v>
      </c>
      <c r="L1478" s="4">
        <v>0</v>
      </c>
      <c r="M1478" s="12" t="s">
        <v>571</v>
      </c>
      <c r="N1478" s="13">
        <f t="shared" si="40"/>
        <v>902.5</v>
      </c>
    </row>
    <row r="1479" spans="1:14">
      <c r="A1479" s="12">
        <v>1478</v>
      </c>
      <c r="B1479" s="1" t="s">
        <v>1637</v>
      </c>
      <c r="C1479" s="42" t="s">
        <v>1638</v>
      </c>
      <c r="D1479" s="42" t="s">
        <v>2384</v>
      </c>
      <c r="E1479" s="42" t="s">
        <v>2188</v>
      </c>
      <c r="F1479" s="4">
        <v>49644.53</v>
      </c>
      <c r="G1479" s="47" t="s">
        <v>60</v>
      </c>
      <c r="H1479" s="29" t="s">
        <v>1641</v>
      </c>
      <c r="I1479" s="4">
        <v>0</v>
      </c>
      <c r="J1479" s="4">
        <v>0</v>
      </c>
      <c r="K1479" s="4">
        <v>2364.0300000000002</v>
      </c>
      <c r="L1479" s="4">
        <v>0</v>
      </c>
      <c r="M1479" s="12" t="s">
        <v>571</v>
      </c>
      <c r="N1479" s="13">
        <f t="shared" si="40"/>
        <v>2364.0300000000002</v>
      </c>
    </row>
    <row r="1480" spans="1:14">
      <c r="A1480" s="12">
        <v>1479</v>
      </c>
      <c r="B1480" s="1" t="s">
        <v>1637</v>
      </c>
      <c r="C1480" s="42" t="s">
        <v>1638</v>
      </c>
      <c r="D1480" s="42" t="s">
        <v>2385</v>
      </c>
      <c r="E1480" s="42" t="s">
        <v>2190</v>
      </c>
      <c r="F1480" s="4">
        <v>29664.61</v>
      </c>
      <c r="G1480" s="47" t="s">
        <v>60</v>
      </c>
      <c r="H1480" s="29" t="s">
        <v>1641</v>
      </c>
      <c r="I1480" s="4">
        <v>0</v>
      </c>
      <c r="J1480" s="4">
        <v>0</v>
      </c>
      <c r="K1480" s="4">
        <v>1412.6</v>
      </c>
      <c r="L1480" s="4">
        <v>0</v>
      </c>
      <c r="M1480" s="12" t="s">
        <v>571</v>
      </c>
      <c r="N1480" s="13">
        <f t="shared" si="40"/>
        <v>1412.6</v>
      </c>
    </row>
    <row r="1481" spans="1:14">
      <c r="A1481" s="12">
        <v>1480</v>
      </c>
      <c r="B1481" s="1" t="s">
        <v>1637</v>
      </c>
      <c r="C1481" s="42" t="s">
        <v>1638</v>
      </c>
      <c r="D1481" s="42" t="s">
        <v>2386</v>
      </c>
      <c r="E1481" s="42" t="s">
        <v>2190</v>
      </c>
      <c r="F1481" s="4">
        <v>4389.6000000000004</v>
      </c>
      <c r="G1481" s="47" t="s">
        <v>60</v>
      </c>
      <c r="H1481" s="12">
        <v>7310</v>
      </c>
      <c r="I1481" s="4">
        <v>0</v>
      </c>
      <c r="J1481" s="4">
        <v>0</v>
      </c>
      <c r="K1481" s="4">
        <v>669.6</v>
      </c>
      <c r="L1481" s="4">
        <v>0</v>
      </c>
      <c r="M1481" s="12" t="s">
        <v>571</v>
      </c>
      <c r="N1481" s="13">
        <f t="shared" si="40"/>
        <v>669.6</v>
      </c>
    </row>
    <row r="1482" spans="1:14">
      <c r="A1482" s="12">
        <v>1481</v>
      </c>
      <c r="B1482" s="1" t="s">
        <v>1637</v>
      </c>
      <c r="C1482" s="42" t="s">
        <v>1638</v>
      </c>
      <c r="D1482" s="42" t="s">
        <v>2387</v>
      </c>
      <c r="E1482" s="42" t="s">
        <v>2192</v>
      </c>
      <c r="F1482" s="4">
        <v>15604.68</v>
      </c>
      <c r="G1482" s="47" t="s">
        <v>60</v>
      </c>
      <c r="H1482" s="29" t="s">
        <v>1641</v>
      </c>
      <c r="I1482" s="4">
        <v>0</v>
      </c>
      <c r="J1482" s="4">
        <v>0</v>
      </c>
      <c r="K1482" s="4">
        <v>743.08</v>
      </c>
      <c r="L1482" s="4">
        <v>0</v>
      </c>
      <c r="M1482" s="12" t="s">
        <v>571</v>
      </c>
      <c r="N1482" s="13">
        <f t="shared" si="40"/>
        <v>743.08</v>
      </c>
    </row>
    <row r="1483" spans="1:14">
      <c r="A1483" s="12">
        <v>1482</v>
      </c>
      <c r="B1483" s="1" t="s">
        <v>1637</v>
      </c>
      <c r="C1483" s="42" t="s">
        <v>1638</v>
      </c>
      <c r="D1483" s="42" t="s">
        <v>2388</v>
      </c>
      <c r="E1483" s="42" t="s">
        <v>2192</v>
      </c>
      <c r="F1483" s="4">
        <v>2719.9</v>
      </c>
      <c r="G1483" s="47" t="s">
        <v>60</v>
      </c>
      <c r="H1483" s="12">
        <v>4819</v>
      </c>
      <c r="I1483" s="4">
        <v>0</v>
      </c>
      <c r="J1483" s="4">
        <v>0</v>
      </c>
      <c r="K1483" s="4">
        <v>414.9</v>
      </c>
      <c r="L1483" s="4">
        <v>0</v>
      </c>
      <c r="M1483" s="12" t="s">
        <v>571</v>
      </c>
      <c r="N1483" s="13">
        <f t="shared" si="40"/>
        <v>414.9</v>
      </c>
    </row>
    <row r="1484" spans="1:14">
      <c r="A1484" s="12">
        <v>1483</v>
      </c>
      <c r="B1484" s="1" t="s">
        <v>1637</v>
      </c>
      <c r="C1484" s="42" t="s">
        <v>1638</v>
      </c>
      <c r="D1484" s="42" t="s">
        <v>2389</v>
      </c>
      <c r="E1484" s="42" t="s">
        <v>2192</v>
      </c>
      <c r="F1484" s="4">
        <v>19881.75</v>
      </c>
      <c r="G1484" s="47" t="s">
        <v>60</v>
      </c>
      <c r="H1484" s="29" t="s">
        <v>1641</v>
      </c>
      <c r="I1484" s="4">
        <v>0</v>
      </c>
      <c r="J1484" s="4">
        <v>0</v>
      </c>
      <c r="K1484" s="4">
        <v>946.75</v>
      </c>
      <c r="L1484" s="4">
        <v>0</v>
      </c>
      <c r="M1484" s="12" t="s">
        <v>571</v>
      </c>
      <c r="N1484" s="13">
        <f t="shared" si="40"/>
        <v>946.75</v>
      </c>
    </row>
    <row r="1485" spans="1:14">
      <c r="A1485" s="12">
        <v>1484</v>
      </c>
      <c r="B1485" s="1" t="s">
        <v>1637</v>
      </c>
      <c r="C1485" s="42" t="s">
        <v>1638</v>
      </c>
      <c r="D1485" s="42" t="s">
        <v>2390</v>
      </c>
      <c r="E1485" s="42" t="s">
        <v>2194</v>
      </c>
      <c r="F1485" s="4">
        <v>27604.5</v>
      </c>
      <c r="G1485" s="47" t="s">
        <v>60</v>
      </c>
      <c r="H1485" s="29" t="s">
        <v>1641</v>
      </c>
      <c r="I1485" s="4">
        <v>0</v>
      </c>
      <c r="J1485" s="4">
        <v>0</v>
      </c>
      <c r="K1485" s="4">
        <v>1314.5</v>
      </c>
      <c r="L1485" s="4">
        <v>0</v>
      </c>
      <c r="M1485" s="12" t="s">
        <v>571</v>
      </c>
      <c r="N1485" s="13">
        <f t="shared" si="40"/>
        <v>1314.5</v>
      </c>
    </row>
    <row r="1486" spans="1:14">
      <c r="A1486" s="12">
        <v>1485</v>
      </c>
      <c r="B1486" s="1" t="s">
        <v>1637</v>
      </c>
      <c r="C1486" s="42" t="s">
        <v>1638</v>
      </c>
      <c r="D1486" s="42" t="s">
        <v>2391</v>
      </c>
      <c r="E1486" s="42" t="s">
        <v>2194</v>
      </c>
      <c r="F1486" s="4">
        <v>20020.88</v>
      </c>
      <c r="G1486" s="47" t="s">
        <v>60</v>
      </c>
      <c r="H1486" s="29" t="s">
        <v>1641</v>
      </c>
      <c r="I1486" s="4">
        <v>0</v>
      </c>
      <c r="J1486" s="4">
        <v>0</v>
      </c>
      <c r="K1486" s="4">
        <v>953.38</v>
      </c>
      <c r="L1486" s="4">
        <v>0</v>
      </c>
      <c r="M1486" s="12" t="s">
        <v>571</v>
      </c>
      <c r="N1486" s="13">
        <f t="shared" si="40"/>
        <v>953.38</v>
      </c>
    </row>
    <row r="1487" spans="1:14">
      <c r="A1487" s="12">
        <v>1486</v>
      </c>
      <c r="B1487" s="1" t="s">
        <v>1637</v>
      </c>
      <c r="C1487" s="42" t="s">
        <v>1638</v>
      </c>
      <c r="D1487" s="42" t="s">
        <v>2392</v>
      </c>
      <c r="E1487" s="42" t="s">
        <v>2091</v>
      </c>
      <c r="F1487" s="4">
        <v>43985.13</v>
      </c>
      <c r="G1487" s="47" t="s">
        <v>60</v>
      </c>
      <c r="H1487" s="29" t="s">
        <v>1641</v>
      </c>
      <c r="I1487" s="4">
        <v>0</v>
      </c>
      <c r="J1487" s="4">
        <v>0</v>
      </c>
      <c r="K1487" s="4">
        <v>2094.5300000000002</v>
      </c>
      <c r="L1487" s="4">
        <v>0</v>
      </c>
      <c r="M1487" s="12" t="s">
        <v>571</v>
      </c>
      <c r="N1487" s="13">
        <f t="shared" si="40"/>
        <v>2094.5300000000002</v>
      </c>
    </row>
    <row r="1488" spans="1:14">
      <c r="A1488" s="12">
        <v>1487</v>
      </c>
      <c r="B1488" s="1" t="s">
        <v>1637</v>
      </c>
      <c r="C1488" s="42" t="s">
        <v>1638</v>
      </c>
      <c r="D1488" s="42" t="s">
        <v>2393</v>
      </c>
      <c r="E1488" s="42" t="s">
        <v>2097</v>
      </c>
      <c r="F1488" s="4">
        <v>40724.78</v>
      </c>
      <c r="G1488" s="47" t="s">
        <v>60</v>
      </c>
      <c r="H1488" s="29" t="s">
        <v>1641</v>
      </c>
      <c r="I1488" s="4">
        <v>0</v>
      </c>
      <c r="J1488" s="4">
        <v>0</v>
      </c>
      <c r="K1488" s="4">
        <v>1939.28</v>
      </c>
      <c r="L1488" s="4">
        <v>0</v>
      </c>
      <c r="M1488" s="12" t="s">
        <v>571</v>
      </c>
      <c r="N1488" s="13">
        <f t="shared" si="40"/>
        <v>1939.28</v>
      </c>
    </row>
    <row r="1489" spans="1:14">
      <c r="A1489" s="12">
        <v>1488</v>
      </c>
      <c r="B1489" s="1" t="s">
        <v>1637</v>
      </c>
      <c r="C1489" s="42" t="s">
        <v>1638</v>
      </c>
      <c r="D1489" s="42" t="s">
        <v>2394</v>
      </c>
      <c r="E1489" s="42" t="s">
        <v>2097</v>
      </c>
      <c r="F1489" s="4">
        <v>3911.6</v>
      </c>
      <c r="G1489" s="47" t="s">
        <v>60</v>
      </c>
      <c r="H1489" s="29" t="s">
        <v>1641</v>
      </c>
      <c r="I1489" s="4">
        <v>0</v>
      </c>
      <c r="J1489" s="4">
        <v>0</v>
      </c>
      <c r="K1489" s="4">
        <v>419.1</v>
      </c>
      <c r="L1489" s="4">
        <v>0</v>
      </c>
      <c r="M1489" s="12" t="s">
        <v>571</v>
      </c>
      <c r="N1489" s="13">
        <f t="shared" si="40"/>
        <v>419.1</v>
      </c>
    </row>
    <row r="1490" spans="1:14">
      <c r="A1490" s="12">
        <v>1489</v>
      </c>
      <c r="B1490" s="1" t="s">
        <v>1637</v>
      </c>
      <c r="C1490" s="42" t="s">
        <v>1638</v>
      </c>
      <c r="D1490" s="42" t="s">
        <v>2395</v>
      </c>
      <c r="E1490" s="42" t="s">
        <v>2076</v>
      </c>
      <c r="F1490" s="4">
        <v>12597.38</v>
      </c>
      <c r="G1490" s="47" t="s">
        <v>60</v>
      </c>
      <c r="H1490" s="29" t="s">
        <v>1641</v>
      </c>
      <c r="I1490" s="4">
        <v>0</v>
      </c>
      <c r="J1490" s="4">
        <v>0</v>
      </c>
      <c r="K1490" s="4">
        <v>599.88</v>
      </c>
      <c r="L1490" s="4">
        <v>0</v>
      </c>
      <c r="M1490" s="12" t="s">
        <v>571</v>
      </c>
      <c r="N1490" s="13">
        <f t="shared" si="40"/>
        <v>599.88</v>
      </c>
    </row>
    <row r="1491" spans="1:14">
      <c r="A1491" s="12">
        <v>1490</v>
      </c>
      <c r="B1491" s="1" t="s">
        <v>1637</v>
      </c>
      <c r="C1491" s="42" t="s">
        <v>1638</v>
      </c>
      <c r="D1491" s="42" t="s">
        <v>2396</v>
      </c>
      <c r="E1491" s="42" t="s">
        <v>2272</v>
      </c>
      <c r="F1491" s="4">
        <v>16943.150000000001</v>
      </c>
      <c r="G1491" s="47" t="s">
        <v>60</v>
      </c>
      <c r="H1491" s="29" t="s">
        <v>1641</v>
      </c>
      <c r="I1491" s="4">
        <v>0</v>
      </c>
      <c r="J1491" s="4">
        <v>0</v>
      </c>
      <c r="K1491" s="4">
        <v>806.82</v>
      </c>
      <c r="L1491" s="4">
        <v>0</v>
      </c>
      <c r="M1491" s="12" t="s">
        <v>571</v>
      </c>
      <c r="N1491" s="13">
        <f t="shared" si="40"/>
        <v>806.82</v>
      </c>
    </row>
    <row r="1492" spans="1:14">
      <c r="A1492" s="12">
        <v>1491</v>
      </c>
      <c r="B1492" s="1" t="s">
        <v>1637</v>
      </c>
      <c r="C1492" s="42" t="s">
        <v>1638</v>
      </c>
      <c r="D1492" s="42" t="s">
        <v>2397</v>
      </c>
      <c r="E1492" s="42" t="s">
        <v>2318</v>
      </c>
      <c r="F1492" s="4">
        <v>13605.4</v>
      </c>
      <c r="G1492" s="47" t="s">
        <v>60</v>
      </c>
      <c r="H1492" s="12">
        <v>4819</v>
      </c>
      <c r="I1492" s="4">
        <v>0</v>
      </c>
      <c r="J1492" s="4">
        <v>0</v>
      </c>
      <c r="K1492" s="4">
        <v>2075.4</v>
      </c>
      <c r="L1492" s="4">
        <v>0</v>
      </c>
      <c r="M1492" s="12" t="s">
        <v>571</v>
      </c>
      <c r="N1492" s="13">
        <f t="shared" si="40"/>
        <v>2075.4</v>
      </c>
    </row>
    <row r="1493" spans="1:14">
      <c r="A1493" s="12">
        <v>1492</v>
      </c>
      <c r="B1493" s="1" t="s">
        <v>1637</v>
      </c>
      <c r="C1493" s="42" t="s">
        <v>1638</v>
      </c>
      <c r="D1493" s="42" t="s">
        <v>2398</v>
      </c>
      <c r="E1493" s="42" t="s">
        <v>2399</v>
      </c>
      <c r="F1493" s="4">
        <v>7355.25</v>
      </c>
      <c r="G1493" s="47" t="s">
        <v>60</v>
      </c>
      <c r="H1493" s="29" t="s">
        <v>1641</v>
      </c>
      <c r="I1493" s="4">
        <v>0</v>
      </c>
      <c r="J1493" s="4">
        <v>0</v>
      </c>
      <c r="K1493" s="4">
        <v>350.25</v>
      </c>
      <c r="L1493" s="4">
        <v>0</v>
      </c>
      <c r="M1493" s="12" t="s">
        <v>571</v>
      </c>
      <c r="N1493" s="13">
        <f t="shared" si="40"/>
        <v>350.25</v>
      </c>
    </row>
    <row r="1494" spans="1:14">
      <c r="A1494" s="12">
        <v>1493</v>
      </c>
      <c r="B1494" s="1" t="s">
        <v>1637</v>
      </c>
      <c r="C1494" s="42" t="s">
        <v>1638</v>
      </c>
      <c r="D1494" s="42" t="s">
        <v>2400</v>
      </c>
      <c r="E1494" s="42" t="s">
        <v>2325</v>
      </c>
      <c r="F1494" s="4">
        <v>2737.6</v>
      </c>
      <c r="G1494" s="47" t="s">
        <v>60</v>
      </c>
      <c r="H1494" s="12">
        <v>7310</v>
      </c>
      <c r="I1494" s="4">
        <v>0</v>
      </c>
      <c r="J1494" s="4">
        <v>0</v>
      </c>
      <c r="K1494" s="4">
        <v>417.6</v>
      </c>
      <c r="L1494" s="4">
        <v>0</v>
      </c>
      <c r="M1494" s="12" t="s">
        <v>571</v>
      </c>
      <c r="N1494" s="13">
        <f t="shared" si="40"/>
        <v>417.6</v>
      </c>
    </row>
    <row r="1495" spans="1:14">
      <c r="A1495" s="12">
        <v>1494</v>
      </c>
      <c r="B1495" s="1" t="s">
        <v>1637</v>
      </c>
      <c r="C1495" s="42" t="s">
        <v>1638</v>
      </c>
      <c r="D1495" s="42" t="s">
        <v>2401</v>
      </c>
      <c r="E1495" s="42" t="s">
        <v>2325</v>
      </c>
      <c r="F1495" s="4">
        <v>32314.07</v>
      </c>
      <c r="G1495" s="47" t="s">
        <v>60</v>
      </c>
      <c r="H1495" s="29" t="s">
        <v>1641</v>
      </c>
      <c r="I1495" s="4">
        <v>0</v>
      </c>
      <c r="J1495" s="4">
        <v>0</v>
      </c>
      <c r="K1495" s="4">
        <v>1538.77</v>
      </c>
      <c r="L1495" s="4">
        <v>0</v>
      </c>
      <c r="M1495" s="12" t="s">
        <v>571</v>
      </c>
      <c r="N1495" s="13">
        <f t="shared" si="40"/>
        <v>1538.77</v>
      </c>
    </row>
    <row r="1496" spans="1:14">
      <c r="A1496" s="12">
        <v>1495</v>
      </c>
      <c r="B1496" s="1" t="s">
        <v>1637</v>
      </c>
      <c r="C1496" s="42" t="s">
        <v>1638</v>
      </c>
      <c r="D1496" s="42" t="s">
        <v>2402</v>
      </c>
      <c r="E1496" s="42" t="s">
        <v>2403</v>
      </c>
      <c r="F1496" s="4">
        <v>16708.8</v>
      </c>
      <c r="G1496" s="47" t="s">
        <v>60</v>
      </c>
      <c r="H1496" s="12">
        <v>7310</v>
      </c>
      <c r="I1496" s="4">
        <v>0</v>
      </c>
      <c r="J1496" s="4">
        <v>0</v>
      </c>
      <c r="K1496" s="4">
        <v>2548.8000000000002</v>
      </c>
      <c r="L1496" s="4">
        <v>0</v>
      </c>
      <c r="M1496" s="12" t="s">
        <v>571</v>
      </c>
      <c r="N1496" s="13">
        <f t="shared" si="40"/>
        <v>2548.8000000000002</v>
      </c>
    </row>
    <row r="1497" spans="1:14">
      <c r="A1497" s="12">
        <v>1496</v>
      </c>
      <c r="B1497" s="1" t="s">
        <v>1637</v>
      </c>
      <c r="C1497" s="42" t="s">
        <v>1638</v>
      </c>
      <c r="D1497" s="42" t="s">
        <v>2404</v>
      </c>
      <c r="E1497" s="42" t="s">
        <v>2403</v>
      </c>
      <c r="F1497" s="4">
        <v>19896.45</v>
      </c>
      <c r="G1497" s="47" t="s">
        <v>60</v>
      </c>
      <c r="H1497" s="29" t="s">
        <v>1641</v>
      </c>
      <c r="I1497" s="4">
        <v>0</v>
      </c>
      <c r="J1497" s="4">
        <v>0</v>
      </c>
      <c r="K1497" s="4">
        <v>947.45</v>
      </c>
      <c r="L1497" s="4">
        <v>0</v>
      </c>
      <c r="M1497" s="12" t="s">
        <v>571</v>
      </c>
      <c r="N1497" s="13">
        <f t="shared" si="40"/>
        <v>947.45</v>
      </c>
    </row>
    <row r="1498" spans="1:14">
      <c r="A1498" s="12">
        <v>1497</v>
      </c>
      <c r="B1498" s="1" t="s">
        <v>1637</v>
      </c>
      <c r="C1498" s="42" t="s">
        <v>1638</v>
      </c>
      <c r="D1498" s="42" t="s">
        <v>2405</v>
      </c>
      <c r="E1498" s="42" t="s">
        <v>2258</v>
      </c>
      <c r="F1498" s="4">
        <v>369888.75</v>
      </c>
      <c r="G1498" s="47" t="s">
        <v>60</v>
      </c>
      <c r="H1498" s="29" t="s">
        <v>1641</v>
      </c>
      <c r="I1498" s="4">
        <v>0</v>
      </c>
      <c r="J1498" s="4">
        <v>0</v>
      </c>
      <c r="K1498" s="4">
        <v>17613.75</v>
      </c>
      <c r="L1498" s="4">
        <v>0</v>
      </c>
      <c r="M1498" s="12" t="s">
        <v>571</v>
      </c>
      <c r="N1498" s="13">
        <f t="shared" si="40"/>
        <v>17613.75</v>
      </c>
    </row>
    <row r="1499" spans="1:14">
      <c r="A1499" s="12">
        <v>1498</v>
      </c>
      <c r="B1499" s="1" t="s">
        <v>1637</v>
      </c>
      <c r="C1499" s="42" t="s">
        <v>1638</v>
      </c>
      <c r="D1499" s="42" t="s">
        <v>2406</v>
      </c>
      <c r="E1499" s="42" t="s">
        <v>2407</v>
      </c>
      <c r="F1499" s="4">
        <v>44017.58</v>
      </c>
      <c r="G1499" s="47" t="s">
        <v>60</v>
      </c>
      <c r="H1499" s="29" t="s">
        <v>1641</v>
      </c>
      <c r="I1499" s="4">
        <v>0</v>
      </c>
      <c r="J1499" s="4">
        <v>0</v>
      </c>
      <c r="K1499" s="4">
        <v>2096.08</v>
      </c>
      <c r="L1499" s="4">
        <v>0</v>
      </c>
      <c r="M1499" s="12" t="s">
        <v>571</v>
      </c>
      <c r="N1499" s="13">
        <f t="shared" si="40"/>
        <v>2096.08</v>
      </c>
    </row>
    <row r="1500" spans="1:14">
      <c r="A1500" s="12">
        <v>1499</v>
      </c>
      <c r="B1500" s="1" t="s">
        <v>1637</v>
      </c>
      <c r="C1500" s="42" t="s">
        <v>1638</v>
      </c>
      <c r="D1500" s="42" t="s">
        <v>2408</v>
      </c>
      <c r="E1500" s="42" t="s">
        <v>2409</v>
      </c>
      <c r="F1500" s="4">
        <v>10189.299999999999</v>
      </c>
      <c r="G1500" s="47" t="s">
        <v>60</v>
      </c>
      <c r="H1500" s="12">
        <v>7310</v>
      </c>
      <c r="I1500" s="4">
        <v>0</v>
      </c>
      <c r="J1500" s="4">
        <v>0</v>
      </c>
      <c r="K1500" s="4">
        <v>1554.3</v>
      </c>
      <c r="L1500" s="4">
        <v>0</v>
      </c>
      <c r="M1500" s="12" t="s">
        <v>571</v>
      </c>
      <c r="N1500" s="13">
        <f t="shared" si="40"/>
        <v>1554.3</v>
      </c>
    </row>
    <row r="1501" spans="1:14">
      <c r="A1501" s="12">
        <v>1500</v>
      </c>
      <c r="B1501" s="1" t="s">
        <v>1637</v>
      </c>
      <c r="C1501" s="42" t="s">
        <v>1638</v>
      </c>
      <c r="D1501" s="42" t="s">
        <v>2410</v>
      </c>
      <c r="E1501" s="42" t="s">
        <v>2409</v>
      </c>
      <c r="F1501" s="4">
        <v>35283.57</v>
      </c>
      <c r="G1501" s="47" t="s">
        <v>60</v>
      </c>
      <c r="H1501" s="29" t="s">
        <v>1641</v>
      </c>
      <c r="I1501" s="4">
        <v>0</v>
      </c>
      <c r="J1501" s="4">
        <v>0</v>
      </c>
      <c r="K1501" s="4">
        <v>1680.17</v>
      </c>
      <c r="L1501" s="4">
        <v>0</v>
      </c>
      <c r="M1501" s="12" t="s">
        <v>571</v>
      </c>
      <c r="N1501" s="13">
        <f t="shared" si="40"/>
        <v>1680.17</v>
      </c>
    </row>
    <row r="1502" spans="1:14">
      <c r="A1502" s="12">
        <v>1501</v>
      </c>
      <c r="B1502" s="1" t="s">
        <v>1637</v>
      </c>
      <c r="C1502" s="42" t="s">
        <v>1638</v>
      </c>
      <c r="D1502" s="42" t="s">
        <v>2411</v>
      </c>
      <c r="E1502" s="42" t="s">
        <v>2412</v>
      </c>
      <c r="F1502" s="4">
        <v>21840</v>
      </c>
      <c r="G1502" s="47" t="s">
        <v>60</v>
      </c>
      <c r="H1502" s="29" t="s">
        <v>1641</v>
      </c>
      <c r="I1502" s="4">
        <v>0</v>
      </c>
      <c r="J1502" s="4">
        <v>0</v>
      </c>
      <c r="K1502" s="4">
        <v>1040</v>
      </c>
      <c r="L1502" s="4">
        <v>0</v>
      </c>
      <c r="M1502" s="12" t="s">
        <v>571</v>
      </c>
      <c r="N1502" s="13">
        <f t="shared" si="40"/>
        <v>1040</v>
      </c>
    </row>
    <row r="1503" spans="1:14">
      <c r="A1503" s="12">
        <v>1502</v>
      </c>
      <c r="B1503" s="1" t="s">
        <v>1637</v>
      </c>
      <c r="C1503" s="42" t="s">
        <v>1638</v>
      </c>
      <c r="D1503" s="42" t="s">
        <v>2413</v>
      </c>
      <c r="E1503" s="42" t="s">
        <v>2412</v>
      </c>
      <c r="F1503" s="4">
        <v>9296.0400000000009</v>
      </c>
      <c r="G1503" s="47" t="s">
        <v>60</v>
      </c>
      <c r="H1503" s="12">
        <v>3923</v>
      </c>
      <c r="I1503" s="4">
        <v>0</v>
      </c>
      <c r="J1503" s="4">
        <v>0</v>
      </c>
      <c r="K1503" s="4">
        <v>1418.04</v>
      </c>
      <c r="L1503" s="4">
        <v>0</v>
      </c>
      <c r="M1503" s="12" t="s">
        <v>571</v>
      </c>
      <c r="N1503" s="13">
        <f t="shared" si="40"/>
        <v>1418.04</v>
      </c>
    </row>
    <row r="1504" spans="1:14">
      <c r="A1504" s="12">
        <v>1503</v>
      </c>
      <c r="B1504" s="1" t="s">
        <v>1637</v>
      </c>
      <c r="C1504" s="42" t="s">
        <v>1638</v>
      </c>
      <c r="D1504" s="42" t="s">
        <v>2414</v>
      </c>
      <c r="E1504" s="42" t="s">
        <v>2412</v>
      </c>
      <c r="F1504" s="4">
        <v>11340</v>
      </c>
      <c r="G1504" s="47" t="s">
        <v>60</v>
      </c>
      <c r="H1504" s="29" t="s">
        <v>1641</v>
      </c>
      <c r="I1504" s="4">
        <v>0</v>
      </c>
      <c r="J1504" s="4">
        <v>0</v>
      </c>
      <c r="K1504" s="4">
        <v>540</v>
      </c>
      <c r="L1504" s="4">
        <v>0</v>
      </c>
      <c r="M1504" s="12" t="s">
        <v>571</v>
      </c>
      <c r="N1504" s="13">
        <f t="shared" si="40"/>
        <v>540</v>
      </c>
    </row>
    <row r="1505" spans="1:14">
      <c r="A1505" s="12">
        <v>1504</v>
      </c>
      <c r="B1505" s="1" t="s">
        <v>1637</v>
      </c>
      <c r="C1505" s="42" t="s">
        <v>1638</v>
      </c>
      <c r="D1505" s="42" t="s">
        <v>2415</v>
      </c>
      <c r="E1505" s="42" t="s">
        <v>2412</v>
      </c>
      <c r="F1505" s="4">
        <v>6608</v>
      </c>
      <c r="G1505" s="47" t="s">
        <v>60</v>
      </c>
      <c r="H1505" s="12">
        <v>7310</v>
      </c>
      <c r="I1505" s="4">
        <v>0</v>
      </c>
      <c r="J1505" s="4">
        <v>0</v>
      </c>
      <c r="K1505" s="4">
        <v>1008</v>
      </c>
      <c r="L1505" s="4">
        <v>0</v>
      </c>
      <c r="M1505" s="12" t="s">
        <v>571</v>
      </c>
      <c r="N1505" s="13">
        <f t="shared" si="40"/>
        <v>1008</v>
      </c>
    </row>
    <row r="1506" spans="1:14">
      <c r="A1506" s="12">
        <v>1505</v>
      </c>
      <c r="B1506" s="1" t="s">
        <v>1637</v>
      </c>
      <c r="C1506" s="42" t="s">
        <v>1638</v>
      </c>
      <c r="D1506" s="42" t="s">
        <v>2416</v>
      </c>
      <c r="E1506" s="42" t="s">
        <v>2417</v>
      </c>
      <c r="F1506" s="4">
        <v>2572.5</v>
      </c>
      <c r="G1506" s="47" t="s">
        <v>60</v>
      </c>
      <c r="H1506" s="29" t="s">
        <v>1641</v>
      </c>
      <c r="I1506" s="4">
        <v>0</v>
      </c>
      <c r="J1506" s="4">
        <v>0</v>
      </c>
      <c r="K1506" s="4">
        <v>122.5</v>
      </c>
      <c r="L1506" s="4">
        <v>0</v>
      </c>
      <c r="M1506" s="12" t="s">
        <v>571</v>
      </c>
      <c r="N1506" s="13">
        <f t="shared" si="40"/>
        <v>122.5</v>
      </c>
    </row>
    <row r="1507" spans="1:14">
      <c r="A1507" s="12">
        <v>1506</v>
      </c>
      <c r="B1507" s="1" t="s">
        <v>1637</v>
      </c>
      <c r="C1507" s="42" t="s">
        <v>1638</v>
      </c>
      <c r="D1507" s="42" t="s">
        <v>2418</v>
      </c>
      <c r="E1507" s="42" t="s">
        <v>2417</v>
      </c>
      <c r="F1507" s="4">
        <v>11310.3</v>
      </c>
      <c r="G1507" s="47" t="s">
        <v>60</v>
      </c>
      <c r="H1507" s="12">
        <v>7310</v>
      </c>
      <c r="I1507" s="4">
        <v>0</v>
      </c>
      <c r="J1507" s="4">
        <v>0</v>
      </c>
      <c r="K1507" s="4">
        <v>1725.3</v>
      </c>
      <c r="L1507" s="4">
        <v>0</v>
      </c>
      <c r="M1507" s="12" t="s">
        <v>571</v>
      </c>
      <c r="N1507" s="13">
        <f t="shared" si="40"/>
        <v>1725.3</v>
      </c>
    </row>
    <row r="1508" spans="1:14">
      <c r="A1508" s="12">
        <v>1507</v>
      </c>
      <c r="B1508" s="1" t="s">
        <v>1637</v>
      </c>
      <c r="C1508" s="42" t="s">
        <v>1638</v>
      </c>
      <c r="D1508" s="42" t="s">
        <v>2419</v>
      </c>
      <c r="E1508" s="42" t="s">
        <v>2417</v>
      </c>
      <c r="F1508" s="4">
        <v>25593.75</v>
      </c>
      <c r="G1508" s="47" t="s">
        <v>60</v>
      </c>
      <c r="H1508" s="29" t="s">
        <v>1641</v>
      </c>
      <c r="I1508" s="4">
        <v>0</v>
      </c>
      <c r="J1508" s="4">
        <v>0</v>
      </c>
      <c r="K1508" s="4">
        <v>1218.75</v>
      </c>
      <c r="L1508" s="4">
        <v>0</v>
      </c>
      <c r="M1508" s="12" t="s">
        <v>571</v>
      </c>
      <c r="N1508" s="13">
        <f t="shared" si="40"/>
        <v>1218.75</v>
      </c>
    </row>
    <row r="1509" spans="1:14">
      <c r="A1509" s="12">
        <v>1508</v>
      </c>
      <c r="B1509" s="1" t="s">
        <v>1637</v>
      </c>
      <c r="C1509" s="42" t="s">
        <v>1638</v>
      </c>
      <c r="D1509" s="42" t="s">
        <v>2420</v>
      </c>
      <c r="E1509" s="42" t="s">
        <v>2421</v>
      </c>
      <c r="F1509" s="4">
        <v>43806</v>
      </c>
      <c r="G1509" s="47" t="s">
        <v>60</v>
      </c>
      <c r="H1509" s="29" t="s">
        <v>1641</v>
      </c>
      <c r="I1509" s="4">
        <v>0</v>
      </c>
      <c r="J1509" s="4">
        <v>0</v>
      </c>
      <c r="K1509" s="4">
        <v>2086</v>
      </c>
      <c r="L1509" s="4">
        <v>0</v>
      </c>
      <c r="M1509" s="12" t="s">
        <v>571</v>
      </c>
      <c r="N1509" s="13">
        <f t="shared" si="40"/>
        <v>2086</v>
      </c>
    </row>
    <row r="1510" spans="1:14">
      <c r="A1510" s="12">
        <v>1509</v>
      </c>
      <c r="B1510" s="1" t="s">
        <v>1637</v>
      </c>
      <c r="C1510" s="42" t="s">
        <v>1638</v>
      </c>
      <c r="D1510" s="42" t="s">
        <v>2422</v>
      </c>
      <c r="E1510" s="42" t="s">
        <v>2421</v>
      </c>
      <c r="F1510" s="4">
        <v>3960.08</v>
      </c>
      <c r="G1510" s="47" t="s">
        <v>60</v>
      </c>
      <c r="H1510" s="12">
        <v>3923</v>
      </c>
      <c r="I1510" s="4">
        <v>0</v>
      </c>
      <c r="J1510" s="4">
        <v>0</v>
      </c>
      <c r="K1510" s="4">
        <v>604.08000000000004</v>
      </c>
      <c r="L1510" s="4">
        <v>0</v>
      </c>
      <c r="M1510" s="12" t="s">
        <v>571</v>
      </c>
      <c r="N1510" s="13">
        <f t="shared" si="40"/>
        <v>604.08000000000004</v>
      </c>
    </row>
    <row r="1511" spans="1:14">
      <c r="A1511" s="12">
        <v>1510</v>
      </c>
      <c r="B1511" s="1" t="s">
        <v>1637</v>
      </c>
      <c r="C1511" s="42" t="s">
        <v>1638</v>
      </c>
      <c r="D1511" s="42" t="s">
        <v>2423</v>
      </c>
      <c r="E1511" s="42" t="s">
        <v>2295</v>
      </c>
      <c r="F1511" s="4">
        <v>46446.75</v>
      </c>
      <c r="G1511" s="47" t="s">
        <v>60</v>
      </c>
      <c r="H1511" s="29" t="s">
        <v>1641</v>
      </c>
      <c r="I1511" s="4">
        <v>0</v>
      </c>
      <c r="J1511" s="4">
        <v>0</v>
      </c>
      <c r="K1511" s="4">
        <v>2211.75</v>
      </c>
      <c r="L1511" s="4">
        <v>0</v>
      </c>
      <c r="M1511" s="12" t="s">
        <v>571</v>
      </c>
      <c r="N1511" s="13">
        <f t="shared" si="40"/>
        <v>2211.75</v>
      </c>
    </row>
    <row r="1512" spans="1:14">
      <c r="A1512" s="12">
        <v>1511</v>
      </c>
      <c r="B1512" s="1" t="s">
        <v>1637</v>
      </c>
      <c r="C1512" s="42" t="s">
        <v>1638</v>
      </c>
      <c r="D1512" s="42" t="s">
        <v>2424</v>
      </c>
      <c r="E1512" s="42" t="s">
        <v>2303</v>
      </c>
      <c r="F1512" s="4">
        <v>3628.5</v>
      </c>
      <c r="G1512" s="47" t="s">
        <v>60</v>
      </c>
      <c r="H1512" s="12">
        <v>3923</v>
      </c>
      <c r="I1512" s="4">
        <v>0</v>
      </c>
      <c r="J1512" s="4">
        <v>0</v>
      </c>
      <c r="K1512" s="4">
        <v>553.5</v>
      </c>
      <c r="L1512" s="4">
        <v>0</v>
      </c>
      <c r="M1512" s="12" t="s">
        <v>571</v>
      </c>
      <c r="N1512" s="13">
        <f t="shared" si="40"/>
        <v>553.5</v>
      </c>
    </row>
    <row r="1513" spans="1:14">
      <c r="A1513" s="12">
        <v>1512</v>
      </c>
      <c r="B1513" s="1" t="s">
        <v>1637</v>
      </c>
      <c r="C1513" s="42" t="s">
        <v>1638</v>
      </c>
      <c r="D1513" s="42" t="s">
        <v>2425</v>
      </c>
      <c r="E1513" s="42" t="s">
        <v>2303</v>
      </c>
      <c r="F1513" s="4">
        <v>6195</v>
      </c>
      <c r="G1513" s="47" t="s">
        <v>60</v>
      </c>
      <c r="H1513" s="29" t="s">
        <v>1641</v>
      </c>
      <c r="I1513" s="4">
        <v>0</v>
      </c>
      <c r="J1513" s="4">
        <v>0</v>
      </c>
      <c r="K1513" s="4">
        <v>295</v>
      </c>
      <c r="L1513" s="4">
        <v>0</v>
      </c>
      <c r="M1513" s="12" t="s">
        <v>571</v>
      </c>
      <c r="N1513" s="13">
        <f t="shared" si="40"/>
        <v>295</v>
      </c>
    </row>
    <row r="1514" spans="1:14">
      <c r="A1514" s="12">
        <v>1513</v>
      </c>
      <c r="B1514" s="1" t="s">
        <v>1637</v>
      </c>
      <c r="C1514" s="42" t="s">
        <v>1638</v>
      </c>
      <c r="D1514" s="42" t="s">
        <v>2426</v>
      </c>
      <c r="E1514" s="42" t="s">
        <v>2303</v>
      </c>
      <c r="F1514" s="4">
        <v>8212.7999999999993</v>
      </c>
      <c r="G1514" s="47" t="s">
        <v>60</v>
      </c>
      <c r="H1514" s="12">
        <v>7310</v>
      </c>
      <c r="I1514" s="4">
        <v>0</v>
      </c>
      <c r="J1514" s="4">
        <v>0</v>
      </c>
      <c r="K1514" s="4">
        <v>1252.8</v>
      </c>
      <c r="L1514" s="4">
        <v>0</v>
      </c>
      <c r="M1514" s="12" t="s">
        <v>571</v>
      </c>
      <c r="N1514" s="13">
        <f t="shared" si="40"/>
        <v>1252.8</v>
      </c>
    </row>
    <row r="1515" spans="1:14">
      <c r="A1515" s="12">
        <v>1514</v>
      </c>
      <c r="B1515" s="1" t="s">
        <v>1637</v>
      </c>
      <c r="C1515" s="42" t="s">
        <v>1638</v>
      </c>
      <c r="D1515" s="42" t="s">
        <v>2427</v>
      </c>
      <c r="E1515" s="42" t="s">
        <v>2303</v>
      </c>
      <c r="F1515" s="4">
        <v>27372.19</v>
      </c>
      <c r="G1515" s="47" t="s">
        <v>60</v>
      </c>
      <c r="H1515" s="29" t="s">
        <v>1641</v>
      </c>
      <c r="I1515" s="4">
        <v>0</v>
      </c>
      <c r="J1515" s="4">
        <v>0</v>
      </c>
      <c r="K1515" s="4">
        <v>1303.44</v>
      </c>
      <c r="L1515" s="4">
        <v>0</v>
      </c>
      <c r="M1515" s="12" t="s">
        <v>571</v>
      </c>
      <c r="N1515" s="13">
        <f t="shared" si="40"/>
        <v>1303.44</v>
      </c>
    </row>
    <row r="1516" spans="1:14">
      <c r="A1516" s="12">
        <v>1515</v>
      </c>
      <c r="B1516" s="1" t="s">
        <v>1637</v>
      </c>
      <c r="C1516" s="42" t="s">
        <v>1638</v>
      </c>
      <c r="D1516" s="42" t="s">
        <v>2428</v>
      </c>
      <c r="E1516" s="42" t="s">
        <v>2267</v>
      </c>
      <c r="F1516" s="4">
        <v>19169.060000000001</v>
      </c>
      <c r="G1516" s="47" t="s">
        <v>60</v>
      </c>
      <c r="H1516" s="29" t="s">
        <v>1641</v>
      </c>
      <c r="I1516" s="4">
        <v>0</v>
      </c>
      <c r="J1516" s="4">
        <v>0</v>
      </c>
      <c r="K1516" s="4">
        <v>912.81</v>
      </c>
      <c r="L1516" s="4">
        <v>0</v>
      </c>
      <c r="M1516" s="12" t="s">
        <v>571</v>
      </c>
      <c r="N1516" s="13">
        <f t="shared" si="40"/>
        <v>912.81</v>
      </c>
    </row>
    <row r="1517" spans="1:14">
      <c r="A1517" s="12">
        <v>1516</v>
      </c>
      <c r="B1517" s="1" t="s">
        <v>1637</v>
      </c>
      <c r="C1517" s="42" t="s">
        <v>1638</v>
      </c>
      <c r="D1517" s="42" t="s">
        <v>2429</v>
      </c>
      <c r="E1517" s="42" t="s">
        <v>2267</v>
      </c>
      <c r="F1517" s="4">
        <v>11598.3</v>
      </c>
      <c r="G1517" s="47" t="s">
        <v>60</v>
      </c>
      <c r="H1517" s="29" t="s">
        <v>1641</v>
      </c>
      <c r="I1517" s="4">
        <v>0</v>
      </c>
      <c r="J1517" s="4">
        <v>0</v>
      </c>
      <c r="K1517" s="4">
        <v>552.29999999999995</v>
      </c>
      <c r="L1517" s="4">
        <v>0</v>
      </c>
      <c r="M1517" s="12" t="s">
        <v>571</v>
      </c>
      <c r="N1517" s="13">
        <f t="shared" si="40"/>
        <v>552.29999999999995</v>
      </c>
    </row>
    <row r="1518" spans="1:14">
      <c r="A1518" s="12">
        <v>1517</v>
      </c>
      <c r="B1518" s="1" t="s">
        <v>1637</v>
      </c>
      <c r="C1518" s="42" t="s">
        <v>1638</v>
      </c>
      <c r="D1518" s="42" t="s">
        <v>2430</v>
      </c>
      <c r="E1518" s="42" t="s">
        <v>2267</v>
      </c>
      <c r="F1518" s="4">
        <v>17794.400000000001</v>
      </c>
      <c r="G1518" s="47" t="s">
        <v>60</v>
      </c>
      <c r="H1518" s="12">
        <v>7310</v>
      </c>
      <c r="I1518" s="4">
        <v>0</v>
      </c>
      <c r="J1518" s="4">
        <v>0</v>
      </c>
      <c r="K1518" s="4">
        <v>2714.4</v>
      </c>
      <c r="L1518" s="4">
        <v>0</v>
      </c>
      <c r="M1518" s="12" t="s">
        <v>571</v>
      </c>
      <c r="N1518" s="13">
        <f t="shared" si="40"/>
        <v>2714.4</v>
      </c>
    </row>
    <row r="1519" spans="1:14">
      <c r="A1519" s="12">
        <v>1518</v>
      </c>
      <c r="B1519" s="1" t="s">
        <v>1637</v>
      </c>
      <c r="C1519" s="42" t="s">
        <v>1638</v>
      </c>
      <c r="D1519" s="42" t="s">
        <v>2431</v>
      </c>
      <c r="E1519" s="42" t="s">
        <v>2264</v>
      </c>
      <c r="F1519" s="4">
        <v>5398.5</v>
      </c>
      <c r="G1519" s="47" t="s">
        <v>60</v>
      </c>
      <c r="H1519" s="12">
        <v>4819</v>
      </c>
      <c r="I1519" s="4">
        <v>0</v>
      </c>
      <c r="J1519" s="4">
        <v>0</v>
      </c>
      <c r="K1519" s="4">
        <v>823.5</v>
      </c>
      <c r="L1519" s="4">
        <v>0</v>
      </c>
      <c r="M1519" s="12" t="s">
        <v>571</v>
      </c>
      <c r="N1519" s="13">
        <f t="shared" si="40"/>
        <v>823.5</v>
      </c>
    </row>
    <row r="1520" spans="1:14">
      <c r="A1520" s="12">
        <v>1519</v>
      </c>
      <c r="B1520" s="1" t="s">
        <v>1637</v>
      </c>
      <c r="C1520" s="42" t="s">
        <v>1638</v>
      </c>
      <c r="D1520" s="42" t="s">
        <v>2432</v>
      </c>
      <c r="E1520" s="42" t="s">
        <v>2264</v>
      </c>
      <c r="F1520" s="4">
        <v>2787.75</v>
      </c>
      <c r="G1520" s="47" t="s">
        <v>60</v>
      </c>
      <c r="H1520" s="29" t="s">
        <v>1641</v>
      </c>
      <c r="I1520" s="4">
        <v>0</v>
      </c>
      <c r="J1520" s="4">
        <v>0</v>
      </c>
      <c r="K1520" s="4">
        <v>132.75</v>
      </c>
      <c r="L1520" s="4">
        <v>0</v>
      </c>
      <c r="M1520" s="12" t="s">
        <v>571</v>
      </c>
      <c r="N1520" s="13">
        <f t="shared" si="40"/>
        <v>132.75</v>
      </c>
    </row>
    <row r="1521" spans="1:14">
      <c r="A1521" s="12">
        <v>1520</v>
      </c>
      <c r="B1521" s="1" t="s">
        <v>1637</v>
      </c>
      <c r="C1521" s="42" t="s">
        <v>1638</v>
      </c>
      <c r="D1521" s="42" t="s">
        <v>2433</v>
      </c>
      <c r="E1521" s="42" t="s">
        <v>2264</v>
      </c>
      <c r="F1521" s="4">
        <v>9786</v>
      </c>
      <c r="G1521" s="47" t="s">
        <v>60</v>
      </c>
      <c r="H1521" s="29" t="s">
        <v>1641</v>
      </c>
      <c r="I1521" s="4">
        <v>0</v>
      </c>
      <c r="J1521" s="4">
        <v>0</v>
      </c>
      <c r="K1521" s="4">
        <v>466</v>
      </c>
      <c r="L1521" s="4">
        <v>0</v>
      </c>
      <c r="M1521" s="12" t="s">
        <v>571</v>
      </c>
      <c r="N1521" s="13">
        <f t="shared" si="40"/>
        <v>466</v>
      </c>
    </row>
    <row r="1522" spans="1:14">
      <c r="A1522" s="12">
        <v>1521</v>
      </c>
      <c r="B1522" s="1" t="s">
        <v>1637</v>
      </c>
      <c r="C1522" s="42" t="s">
        <v>1638</v>
      </c>
      <c r="D1522" s="42" t="s">
        <v>2434</v>
      </c>
      <c r="E1522" s="42" t="s">
        <v>2264</v>
      </c>
      <c r="F1522" s="4">
        <v>3280.4</v>
      </c>
      <c r="G1522" s="47" t="s">
        <v>60</v>
      </c>
      <c r="H1522" s="12">
        <v>4819</v>
      </c>
      <c r="I1522" s="4">
        <v>0</v>
      </c>
      <c r="J1522" s="4">
        <v>0</v>
      </c>
      <c r="K1522" s="4">
        <v>500.4</v>
      </c>
      <c r="L1522" s="4">
        <v>0</v>
      </c>
      <c r="M1522" s="12" t="s">
        <v>571</v>
      </c>
      <c r="N1522" s="13">
        <f t="shared" si="40"/>
        <v>500.4</v>
      </c>
    </row>
    <row r="1523" spans="1:14">
      <c r="A1523" s="12">
        <v>1522</v>
      </c>
      <c r="B1523" s="1" t="s">
        <v>1637</v>
      </c>
      <c r="C1523" s="42" t="s">
        <v>1638</v>
      </c>
      <c r="D1523" s="42" t="s">
        <v>2435</v>
      </c>
      <c r="E1523" s="42" t="s">
        <v>2305</v>
      </c>
      <c r="F1523" s="4">
        <v>13545</v>
      </c>
      <c r="G1523" s="47" t="s">
        <v>60</v>
      </c>
      <c r="H1523" s="29" t="s">
        <v>1641</v>
      </c>
      <c r="I1523" s="4">
        <v>0</v>
      </c>
      <c r="J1523" s="4">
        <v>0</v>
      </c>
      <c r="K1523" s="4">
        <v>645</v>
      </c>
      <c r="L1523" s="4">
        <v>0</v>
      </c>
      <c r="M1523" s="12" t="s">
        <v>571</v>
      </c>
      <c r="N1523" s="13">
        <f t="shared" si="40"/>
        <v>645</v>
      </c>
    </row>
    <row r="1524" spans="1:14">
      <c r="A1524" s="12">
        <v>1523</v>
      </c>
      <c r="B1524" s="1" t="s">
        <v>1637</v>
      </c>
      <c r="C1524" s="42" t="s">
        <v>1638</v>
      </c>
      <c r="D1524" s="42" t="s">
        <v>2436</v>
      </c>
      <c r="E1524" s="42" t="s">
        <v>2305</v>
      </c>
      <c r="F1524" s="4">
        <v>33329.42</v>
      </c>
      <c r="G1524" s="47" t="s">
        <v>60</v>
      </c>
      <c r="H1524" s="29" t="s">
        <v>1641</v>
      </c>
      <c r="I1524" s="4">
        <v>0</v>
      </c>
      <c r="J1524" s="4">
        <v>0</v>
      </c>
      <c r="K1524" s="4">
        <v>1587.12</v>
      </c>
      <c r="L1524" s="4">
        <v>0</v>
      </c>
      <c r="M1524" s="12" t="s">
        <v>571</v>
      </c>
      <c r="N1524" s="13">
        <f t="shared" si="40"/>
        <v>1587.12</v>
      </c>
    </row>
    <row r="1525" spans="1:14">
      <c r="A1525" s="12">
        <v>1524</v>
      </c>
      <c r="B1525" s="1" t="s">
        <v>1637</v>
      </c>
      <c r="C1525" s="42" t="s">
        <v>1638</v>
      </c>
      <c r="D1525" s="42" t="s">
        <v>2437</v>
      </c>
      <c r="E1525" s="42" t="s">
        <v>2438</v>
      </c>
      <c r="F1525" s="4">
        <v>25693.5</v>
      </c>
      <c r="G1525" s="47" t="s">
        <v>60</v>
      </c>
      <c r="H1525" s="29" t="s">
        <v>1641</v>
      </c>
      <c r="I1525" s="4">
        <v>0</v>
      </c>
      <c r="J1525" s="4">
        <v>0</v>
      </c>
      <c r="K1525" s="4">
        <v>1223.5</v>
      </c>
      <c r="L1525" s="4">
        <v>0</v>
      </c>
      <c r="M1525" s="12" t="s">
        <v>571</v>
      </c>
      <c r="N1525" s="13">
        <f t="shared" si="40"/>
        <v>1223.5</v>
      </c>
    </row>
    <row r="1526" spans="1:14">
      <c r="A1526" s="12">
        <v>1525</v>
      </c>
      <c r="B1526" s="1" t="s">
        <v>1637</v>
      </c>
      <c r="C1526" s="42" t="s">
        <v>1638</v>
      </c>
      <c r="D1526" s="42" t="s">
        <v>2439</v>
      </c>
      <c r="E1526" s="42" t="s">
        <v>2438</v>
      </c>
      <c r="F1526" s="4">
        <v>17194.38</v>
      </c>
      <c r="G1526" s="47" t="s">
        <v>60</v>
      </c>
      <c r="H1526" s="29" t="s">
        <v>1641</v>
      </c>
      <c r="I1526" s="4">
        <v>0</v>
      </c>
      <c r="J1526" s="4">
        <v>0</v>
      </c>
      <c r="K1526" s="4">
        <v>818.78</v>
      </c>
      <c r="L1526" s="4">
        <v>0</v>
      </c>
      <c r="M1526" s="12" t="s">
        <v>571</v>
      </c>
      <c r="N1526" s="13">
        <f t="shared" si="40"/>
        <v>818.78</v>
      </c>
    </row>
    <row r="1527" spans="1:14">
      <c r="A1527" s="12">
        <v>1526</v>
      </c>
      <c r="B1527" s="1" t="s">
        <v>1637</v>
      </c>
      <c r="C1527" s="42" t="s">
        <v>1638</v>
      </c>
      <c r="D1527" s="42" t="s">
        <v>2440</v>
      </c>
      <c r="E1527" s="42" t="s">
        <v>2438</v>
      </c>
      <c r="F1527" s="4">
        <v>4387.24</v>
      </c>
      <c r="G1527" s="47" t="s">
        <v>60</v>
      </c>
      <c r="H1527" s="12">
        <v>4819</v>
      </c>
      <c r="I1527" s="4">
        <v>0</v>
      </c>
      <c r="J1527" s="4">
        <v>0</v>
      </c>
      <c r="K1527" s="4">
        <v>669.24</v>
      </c>
      <c r="L1527" s="4">
        <v>0</v>
      </c>
      <c r="M1527" s="12" t="s">
        <v>571</v>
      </c>
      <c r="N1527" s="13">
        <f t="shared" si="40"/>
        <v>669.24</v>
      </c>
    </row>
    <row r="1528" spans="1:14">
      <c r="A1528" s="12">
        <v>1527</v>
      </c>
      <c r="B1528" s="1" t="s">
        <v>1637</v>
      </c>
      <c r="C1528" s="42" t="s">
        <v>1638</v>
      </c>
      <c r="D1528" s="42" t="s">
        <v>2441</v>
      </c>
      <c r="E1528" s="42" t="s">
        <v>2442</v>
      </c>
      <c r="F1528" s="4">
        <v>48951</v>
      </c>
      <c r="G1528" s="47" t="s">
        <v>60</v>
      </c>
      <c r="H1528" s="29" t="s">
        <v>1641</v>
      </c>
      <c r="I1528" s="4">
        <v>0</v>
      </c>
      <c r="J1528" s="4">
        <v>0</v>
      </c>
      <c r="K1528" s="4">
        <v>2331</v>
      </c>
      <c r="L1528" s="4">
        <v>0</v>
      </c>
      <c r="M1528" s="12" t="s">
        <v>571</v>
      </c>
      <c r="N1528" s="13">
        <f t="shared" si="40"/>
        <v>2331</v>
      </c>
    </row>
    <row r="1529" spans="1:14">
      <c r="A1529" s="12">
        <v>1528</v>
      </c>
      <c r="B1529" s="1" t="s">
        <v>1637</v>
      </c>
      <c r="C1529" s="42" t="s">
        <v>1638</v>
      </c>
      <c r="D1529" s="42" t="s">
        <v>2443</v>
      </c>
      <c r="E1529" s="42" t="s">
        <v>2307</v>
      </c>
      <c r="F1529" s="4">
        <v>47805.45</v>
      </c>
      <c r="G1529" s="47" t="s">
        <v>60</v>
      </c>
      <c r="H1529" s="29" t="s">
        <v>1641</v>
      </c>
      <c r="I1529" s="4">
        <v>0</v>
      </c>
      <c r="J1529" s="4">
        <v>0</v>
      </c>
      <c r="K1529" s="4">
        <v>2276.4499999999998</v>
      </c>
      <c r="L1529" s="4">
        <v>0</v>
      </c>
      <c r="M1529" s="12" t="s">
        <v>571</v>
      </c>
      <c r="N1529" s="13">
        <f t="shared" si="40"/>
        <v>2276.4499999999998</v>
      </c>
    </row>
    <row r="1530" spans="1:14">
      <c r="A1530" s="12">
        <v>1529</v>
      </c>
      <c r="B1530" s="1" t="s">
        <v>1637</v>
      </c>
      <c r="C1530" s="42" t="s">
        <v>1638</v>
      </c>
      <c r="D1530" s="42" t="s">
        <v>2444</v>
      </c>
      <c r="E1530" s="42" t="s">
        <v>2307</v>
      </c>
      <c r="F1530" s="4">
        <v>1817.2</v>
      </c>
      <c r="G1530" s="47" t="s">
        <v>60</v>
      </c>
      <c r="H1530" s="12">
        <v>4819</v>
      </c>
      <c r="I1530" s="4">
        <v>0</v>
      </c>
      <c r="J1530" s="4">
        <v>0</v>
      </c>
      <c r="K1530" s="4">
        <v>277.2</v>
      </c>
      <c r="L1530" s="4">
        <v>0</v>
      </c>
      <c r="M1530" s="12" t="s">
        <v>571</v>
      </c>
      <c r="N1530" s="13">
        <f t="shared" si="40"/>
        <v>277.2</v>
      </c>
    </row>
    <row r="1531" spans="1:14">
      <c r="A1531" s="12">
        <v>1530</v>
      </c>
      <c r="B1531" s="1" t="s">
        <v>1637</v>
      </c>
      <c r="C1531" s="42" t="s">
        <v>1638</v>
      </c>
      <c r="D1531" s="42" t="s">
        <v>2445</v>
      </c>
      <c r="E1531" s="42" t="s">
        <v>2446</v>
      </c>
      <c r="F1531" s="4">
        <v>44228.1</v>
      </c>
      <c r="G1531" s="47" t="s">
        <v>60</v>
      </c>
      <c r="H1531" s="29" t="s">
        <v>1641</v>
      </c>
      <c r="I1531" s="4">
        <v>0</v>
      </c>
      <c r="J1531" s="4">
        <v>0</v>
      </c>
      <c r="K1531" s="4">
        <v>2106.1</v>
      </c>
      <c r="L1531" s="4">
        <v>0</v>
      </c>
      <c r="M1531" s="12" t="s">
        <v>571</v>
      </c>
      <c r="N1531" s="13">
        <f t="shared" si="40"/>
        <v>2106.1</v>
      </c>
    </row>
    <row r="1532" spans="1:14">
      <c r="A1532" s="12">
        <v>1531</v>
      </c>
      <c r="B1532" s="1" t="s">
        <v>1637</v>
      </c>
      <c r="C1532" s="42" t="s">
        <v>1638</v>
      </c>
      <c r="D1532" s="42" t="s">
        <v>2447</v>
      </c>
      <c r="E1532" s="42" t="s">
        <v>2446</v>
      </c>
      <c r="F1532" s="4">
        <v>4248</v>
      </c>
      <c r="G1532" s="47" t="s">
        <v>60</v>
      </c>
      <c r="H1532" s="12">
        <v>3923</v>
      </c>
      <c r="I1532" s="4">
        <v>0</v>
      </c>
      <c r="J1532" s="4">
        <v>0</v>
      </c>
      <c r="K1532" s="4">
        <v>648</v>
      </c>
      <c r="L1532" s="4">
        <v>0</v>
      </c>
      <c r="M1532" s="12" t="s">
        <v>571</v>
      </c>
      <c r="N1532" s="13">
        <f t="shared" si="40"/>
        <v>648</v>
      </c>
    </row>
    <row r="1533" spans="1:14">
      <c r="A1533" s="12">
        <v>1532</v>
      </c>
      <c r="B1533" s="1" t="s">
        <v>1637</v>
      </c>
      <c r="C1533" s="42" t="s">
        <v>1638</v>
      </c>
      <c r="D1533" s="42" t="s">
        <v>2448</v>
      </c>
      <c r="E1533" s="42" t="s">
        <v>2285</v>
      </c>
      <c r="F1533" s="4">
        <v>4389</v>
      </c>
      <c r="G1533" s="47" t="s">
        <v>60</v>
      </c>
      <c r="H1533" s="29" t="s">
        <v>1641</v>
      </c>
      <c r="I1533" s="4">
        <v>0</v>
      </c>
      <c r="J1533" s="4">
        <v>0</v>
      </c>
      <c r="K1533" s="4">
        <v>209</v>
      </c>
      <c r="L1533" s="4">
        <v>0</v>
      </c>
      <c r="M1533" s="12" t="s">
        <v>571</v>
      </c>
      <c r="N1533" s="13">
        <f t="shared" si="40"/>
        <v>209</v>
      </c>
    </row>
    <row r="1534" spans="1:14">
      <c r="A1534" s="12">
        <v>1533</v>
      </c>
      <c r="B1534" s="1" t="s">
        <v>1637</v>
      </c>
      <c r="C1534" s="42" t="s">
        <v>1638</v>
      </c>
      <c r="D1534" s="42" t="s">
        <v>2449</v>
      </c>
      <c r="E1534" s="42" t="s">
        <v>2285</v>
      </c>
      <c r="F1534" s="4">
        <v>18443.25</v>
      </c>
      <c r="G1534" s="47" t="s">
        <v>60</v>
      </c>
      <c r="H1534" s="29" t="s">
        <v>1641</v>
      </c>
      <c r="I1534" s="4">
        <v>0</v>
      </c>
      <c r="J1534" s="4">
        <v>0</v>
      </c>
      <c r="K1534" s="4">
        <v>878.25</v>
      </c>
      <c r="L1534" s="4">
        <v>0</v>
      </c>
      <c r="M1534" s="12" t="s">
        <v>571</v>
      </c>
      <c r="N1534" s="13">
        <f t="shared" si="40"/>
        <v>878.25</v>
      </c>
    </row>
    <row r="1535" spans="1:14">
      <c r="A1535" s="12">
        <v>1534</v>
      </c>
      <c r="B1535" s="1" t="s">
        <v>1637</v>
      </c>
      <c r="C1535" s="42" t="s">
        <v>1638</v>
      </c>
      <c r="D1535" s="42" t="s">
        <v>2450</v>
      </c>
      <c r="E1535" s="42" t="s">
        <v>2285</v>
      </c>
      <c r="F1535" s="4">
        <v>5274.6</v>
      </c>
      <c r="G1535" s="47" t="s">
        <v>60</v>
      </c>
      <c r="H1535" s="12">
        <v>7323</v>
      </c>
      <c r="I1535" s="4">
        <v>0</v>
      </c>
      <c r="J1535" s="4">
        <v>0</v>
      </c>
      <c r="K1535" s="4">
        <v>804.6</v>
      </c>
      <c r="L1535" s="4">
        <v>0</v>
      </c>
      <c r="M1535" s="12" t="s">
        <v>571</v>
      </c>
      <c r="N1535" s="13">
        <f t="shared" si="40"/>
        <v>804.6</v>
      </c>
    </row>
    <row r="1536" spans="1:14">
      <c r="A1536" s="12">
        <v>1535</v>
      </c>
      <c r="B1536" s="1" t="s">
        <v>1637</v>
      </c>
      <c r="C1536" s="42" t="s">
        <v>1638</v>
      </c>
      <c r="D1536" s="42" t="s">
        <v>2451</v>
      </c>
      <c r="E1536" s="42" t="s">
        <v>2298</v>
      </c>
      <c r="F1536" s="4">
        <v>41779.5</v>
      </c>
      <c r="G1536" s="47" t="s">
        <v>60</v>
      </c>
      <c r="H1536" s="29" t="s">
        <v>1641</v>
      </c>
      <c r="I1536" s="4">
        <v>0</v>
      </c>
      <c r="J1536" s="4">
        <v>0</v>
      </c>
      <c r="K1536" s="4">
        <v>1989.5</v>
      </c>
      <c r="L1536" s="4">
        <v>0</v>
      </c>
      <c r="M1536" s="12" t="s">
        <v>571</v>
      </c>
      <c r="N1536" s="13">
        <f t="shared" si="40"/>
        <v>1989.5</v>
      </c>
    </row>
    <row r="1537" spans="1:14">
      <c r="A1537" s="12">
        <v>1536</v>
      </c>
      <c r="B1537" s="1" t="s">
        <v>1637</v>
      </c>
      <c r="C1537" s="42" t="s">
        <v>1638</v>
      </c>
      <c r="D1537" s="42" t="s">
        <v>2452</v>
      </c>
      <c r="E1537" s="42" t="s">
        <v>2453</v>
      </c>
      <c r="F1537" s="4">
        <v>23741.599999999999</v>
      </c>
      <c r="G1537" s="47" t="s">
        <v>60</v>
      </c>
      <c r="H1537" s="12">
        <v>4819</v>
      </c>
      <c r="I1537" s="4">
        <v>0</v>
      </c>
      <c r="J1537" s="4">
        <v>0</v>
      </c>
      <c r="K1537" s="4">
        <v>3621.6</v>
      </c>
      <c r="L1537" s="4">
        <v>0</v>
      </c>
      <c r="M1537" s="12" t="s">
        <v>571</v>
      </c>
      <c r="N1537" s="13">
        <f t="shared" si="40"/>
        <v>3621.6</v>
      </c>
    </row>
    <row r="1538" spans="1:14">
      <c r="A1538" s="12">
        <v>1537</v>
      </c>
      <c r="B1538" s="1" t="s">
        <v>1637</v>
      </c>
      <c r="C1538" s="42" t="s">
        <v>1638</v>
      </c>
      <c r="D1538" s="42" t="s">
        <v>2454</v>
      </c>
      <c r="E1538" s="42" t="s">
        <v>2453</v>
      </c>
      <c r="F1538" s="4">
        <v>4389</v>
      </c>
      <c r="G1538" s="47" t="s">
        <v>60</v>
      </c>
      <c r="H1538" s="29" t="s">
        <v>1641</v>
      </c>
      <c r="I1538" s="4">
        <v>0</v>
      </c>
      <c r="J1538" s="4">
        <v>0</v>
      </c>
      <c r="K1538" s="4">
        <v>209</v>
      </c>
      <c r="L1538" s="4">
        <v>0</v>
      </c>
      <c r="M1538" s="12" t="s">
        <v>571</v>
      </c>
      <c r="N1538" s="13">
        <f t="shared" si="40"/>
        <v>209</v>
      </c>
    </row>
    <row r="1539" spans="1:14">
      <c r="A1539" s="12">
        <v>1538</v>
      </c>
      <c r="B1539" s="1" t="s">
        <v>1637</v>
      </c>
      <c r="C1539" s="42" t="s">
        <v>1638</v>
      </c>
      <c r="D1539" s="42" t="s">
        <v>2455</v>
      </c>
      <c r="E1539" s="42" t="s">
        <v>2453</v>
      </c>
      <c r="F1539" s="4">
        <v>15969.04</v>
      </c>
      <c r="G1539" s="47" t="s">
        <v>60</v>
      </c>
      <c r="H1539" s="29" t="s">
        <v>1641</v>
      </c>
      <c r="I1539" s="4">
        <v>0</v>
      </c>
      <c r="J1539" s="4">
        <v>0</v>
      </c>
      <c r="K1539" s="4">
        <v>760.43</v>
      </c>
      <c r="L1539" s="4">
        <v>0</v>
      </c>
      <c r="M1539" s="12" t="s">
        <v>571</v>
      </c>
      <c r="N1539" s="13">
        <f t="shared" si="40"/>
        <v>760.43</v>
      </c>
    </row>
    <row r="1540" spans="1:14">
      <c r="A1540" s="12">
        <v>1539</v>
      </c>
      <c r="B1540" s="1" t="s">
        <v>1637</v>
      </c>
      <c r="C1540" s="42" t="s">
        <v>1638</v>
      </c>
      <c r="D1540" s="42" t="s">
        <v>2456</v>
      </c>
      <c r="E1540" s="42" t="s">
        <v>2242</v>
      </c>
      <c r="F1540" s="4">
        <v>57015</v>
      </c>
      <c r="G1540" s="47" t="s">
        <v>60</v>
      </c>
      <c r="H1540" s="29" t="s">
        <v>1641</v>
      </c>
      <c r="I1540" s="4">
        <v>0</v>
      </c>
      <c r="J1540" s="4">
        <v>0</v>
      </c>
      <c r="K1540" s="4">
        <v>2715</v>
      </c>
      <c r="L1540" s="4">
        <v>0</v>
      </c>
      <c r="M1540" s="12" t="s">
        <v>571</v>
      </c>
      <c r="N1540" s="13">
        <f t="shared" ref="N1540:N1603" si="41">SUM(I1540:K1540)</f>
        <v>2715</v>
      </c>
    </row>
    <row r="1541" spans="1:14">
      <c r="A1541" s="12">
        <v>1540</v>
      </c>
      <c r="B1541" s="1" t="s">
        <v>1637</v>
      </c>
      <c r="C1541" s="42" t="s">
        <v>1638</v>
      </c>
      <c r="D1541" s="42" t="s">
        <v>2457</v>
      </c>
      <c r="E1541" s="42" t="s">
        <v>2242</v>
      </c>
      <c r="F1541" s="4">
        <v>74340</v>
      </c>
      <c r="G1541" s="47" t="s">
        <v>60</v>
      </c>
      <c r="H1541" s="29" t="s">
        <v>1641</v>
      </c>
      <c r="I1541" s="4">
        <v>0</v>
      </c>
      <c r="J1541" s="4">
        <v>0</v>
      </c>
      <c r="K1541" s="4">
        <v>3540</v>
      </c>
      <c r="L1541" s="4">
        <v>0</v>
      </c>
      <c r="M1541" s="12" t="s">
        <v>571</v>
      </c>
      <c r="N1541" s="13">
        <f t="shared" si="41"/>
        <v>3540</v>
      </c>
    </row>
    <row r="1542" spans="1:14">
      <c r="A1542" s="12">
        <v>1541</v>
      </c>
      <c r="B1542" s="1" t="s">
        <v>1637</v>
      </c>
      <c r="C1542" s="42" t="s">
        <v>1638</v>
      </c>
      <c r="D1542" s="42" t="s">
        <v>2458</v>
      </c>
      <c r="E1542" s="42" t="s">
        <v>2287</v>
      </c>
      <c r="F1542" s="4">
        <v>8811.65</v>
      </c>
      <c r="G1542" s="47" t="s">
        <v>60</v>
      </c>
      <c r="H1542" s="12">
        <v>4819</v>
      </c>
      <c r="I1542" s="4">
        <v>0</v>
      </c>
      <c r="J1542" s="4">
        <v>0</v>
      </c>
      <c r="K1542" s="4">
        <v>1344.15</v>
      </c>
      <c r="L1542" s="4">
        <v>0</v>
      </c>
      <c r="M1542" s="12" t="s">
        <v>571</v>
      </c>
      <c r="N1542" s="13">
        <f t="shared" si="41"/>
        <v>1344.15</v>
      </c>
    </row>
    <row r="1543" spans="1:14">
      <c r="A1543" s="12">
        <v>1542</v>
      </c>
      <c r="B1543" s="1" t="s">
        <v>1637</v>
      </c>
      <c r="C1543" s="42" t="s">
        <v>1638</v>
      </c>
      <c r="D1543" s="42" t="s">
        <v>2459</v>
      </c>
      <c r="E1543" s="42" t="s">
        <v>2287</v>
      </c>
      <c r="F1543" s="4">
        <v>19116</v>
      </c>
      <c r="G1543" s="47" t="s">
        <v>60</v>
      </c>
      <c r="H1543" s="12">
        <v>7310</v>
      </c>
      <c r="I1543" s="4">
        <v>0</v>
      </c>
      <c r="J1543" s="4">
        <v>0</v>
      </c>
      <c r="K1543" s="4">
        <v>2916</v>
      </c>
      <c r="L1543" s="4">
        <v>0</v>
      </c>
      <c r="M1543" s="12" t="s">
        <v>571</v>
      </c>
      <c r="N1543" s="13">
        <f t="shared" si="41"/>
        <v>2916</v>
      </c>
    </row>
    <row r="1544" spans="1:14">
      <c r="A1544" s="12">
        <v>1543</v>
      </c>
      <c r="B1544" s="1" t="s">
        <v>1637</v>
      </c>
      <c r="C1544" s="42" t="s">
        <v>1638</v>
      </c>
      <c r="D1544" s="42" t="s">
        <v>2460</v>
      </c>
      <c r="E1544" s="42" t="s">
        <v>2287</v>
      </c>
      <c r="F1544" s="4">
        <v>4389</v>
      </c>
      <c r="G1544" s="47" t="s">
        <v>60</v>
      </c>
      <c r="H1544" s="29" t="s">
        <v>1641</v>
      </c>
      <c r="I1544" s="4">
        <v>0</v>
      </c>
      <c r="J1544" s="4">
        <v>0</v>
      </c>
      <c r="K1544" s="4">
        <v>209</v>
      </c>
      <c r="L1544" s="4">
        <v>0</v>
      </c>
      <c r="M1544" s="12" t="s">
        <v>571</v>
      </c>
      <c r="N1544" s="13">
        <f t="shared" si="41"/>
        <v>209</v>
      </c>
    </row>
    <row r="1545" spans="1:14">
      <c r="A1545" s="12">
        <v>1544</v>
      </c>
      <c r="B1545" s="1" t="s">
        <v>1637</v>
      </c>
      <c r="C1545" s="42" t="s">
        <v>1638</v>
      </c>
      <c r="D1545" s="42" t="s">
        <v>2461</v>
      </c>
      <c r="E1545" s="42" t="s">
        <v>2287</v>
      </c>
      <c r="F1545" s="4">
        <v>9686.25</v>
      </c>
      <c r="G1545" s="47" t="s">
        <v>60</v>
      </c>
      <c r="H1545" s="29" t="s">
        <v>1641</v>
      </c>
      <c r="I1545" s="4">
        <v>0</v>
      </c>
      <c r="J1545" s="4">
        <v>0</v>
      </c>
      <c r="K1545" s="4">
        <v>461.25</v>
      </c>
      <c r="L1545" s="4">
        <v>0</v>
      </c>
      <c r="M1545" s="12" t="s">
        <v>571</v>
      </c>
      <c r="N1545" s="13">
        <f t="shared" si="41"/>
        <v>461.25</v>
      </c>
    </row>
    <row r="1546" spans="1:14">
      <c r="A1546" s="12">
        <v>1545</v>
      </c>
      <c r="B1546" s="1" t="s">
        <v>1637</v>
      </c>
      <c r="C1546" s="42" t="s">
        <v>1638</v>
      </c>
      <c r="D1546" s="42" t="s">
        <v>2462</v>
      </c>
      <c r="E1546" s="42" t="s">
        <v>2248</v>
      </c>
      <c r="F1546" s="4">
        <v>236250</v>
      </c>
      <c r="G1546" s="47" t="s">
        <v>60</v>
      </c>
      <c r="H1546" s="29" t="s">
        <v>1641</v>
      </c>
      <c r="I1546" s="4">
        <v>0</v>
      </c>
      <c r="J1546" s="4">
        <v>0</v>
      </c>
      <c r="K1546" s="4">
        <v>11250</v>
      </c>
      <c r="L1546" s="4">
        <v>0</v>
      </c>
      <c r="M1546" s="12" t="s">
        <v>571</v>
      </c>
      <c r="N1546" s="13">
        <f t="shared" si="41"/>
        <v>11250</v>
      </c>
    </row>
    <row r="1547" spans="1:14">
      <c r="A1547" s="12">
        <v>1546</v>
      </c>
      <c r="B1547" s="1" t="s">
        <v>1637</v>
      </c>
      <c r="C1547" s="42" t="s">
        <v>1638</v>
      </c>
      <c r="D1547" s="42" t="s">
        <v>2463</v>
      </c>
      <c r="E1547" s="42" t="s">
        <v>2248</v>
      </c>
      <c r="F1547" s="4">
        <v>13216</v>
      </c>
      <c r="G1547" s="47" t="s">
        <v>60</v>
      </c>
      <c r="H1547" s="12">
        <v>7310</v>
      </c>
      <c r="I1547" s="4">
        <v>0</v>
      </c>
      <c r="J1547" s="4">
        <v>0</v>
      </c>
      <c r="K1547" s="4">
        <v>2016</v>
      </c>
      <c r="L1547" s="4">
        <v>0</v>
      </c>
      <c r="M1547" s="12" t="s">
        <v>571</v>
      </c>
      <c r="N1547" s="13">
        <f t="shared" si="41"/>
        <v>2016</v>
      </c>
    </row>
    <row r="1548" spans="1:14">
      <c r="A1548" s="12">
        <v>1547</v>
      </c>
      <c r="B1548" s="1" t="s">
        <v>1637</v>
      </c>
      <c r="C1548" s="42" t="s">
        <v>1638</v>
      </c>
      <c r="D1548" s="42" t="s">
        <v>2464</v>
      </c>
      <c r="E1548" s="42" t="s">
        <v>2327</v>
      </c>
      <c r="F1548" s="4">
        <v>36654.46</v>
      </c>
      <c r="G1548" s="47" t="s">
        <v>60</v>
      </c>
      <c r="H1548" s="29" t="s">
        <v>1641</v>
      </c>
      <c r="I1548" s="4">
        <v>0</v>
      </c>
      <c r="J1548" s="4">
        <v>0</v>
      </c>
      <c r="K1548" s="4">
        <v>1745.45</v>
      </c>
      <c r="L1548" s="4">
        <v>0</v>
      </c>
      <c r="M1548" s="12" t="s">
        <v>571</v>
      </c>
      <c r="N1548" s="13">
        <f t="shared" si="41"/>
        <v>1745.45</v>
      </c>
    </row>
    <row r="1549" spans="1:14">
      <c r="A1549" s="12">
        <v>1548</v>
      </c>
      <c r="B1549" s="1" t="s">
        <v>1637</v>
      </c>
      <c r="C1549" s="42" t="s">
        <v>1638</v>
      </c>
      <c r="D1549" s="42" t="s">
        <v>2465</v>
      </c>
      <c r="E1549" s="42" t="s">
        <v>2327</v>
      </c>
      <c r="F1549" s="4">
        <v>8968</v>
      </c>
      <c r="G1549" s="47" t="s">
        <v>60</v>
      </c>
      <c r="H1549" s="12">
        <v>7310</v>
      </c>
      <c r="I1549" s="4">
        <v>0</v>
      </c>
      <c r="J1549" s="4">
        <v>0</v>
      </c>
      <c r="K1549" s="4">
        <v>1368</v>
      </c>
      <c r="L1549" s="4">
        <v>0</v>
      </c>
      <c r="M1549" s="12" t="s">
        <v>571</v>
      </c>
      <c r="N1549" s="13">
        <f t="shared" si="41"/>
        <v>1368</v>
      </c>
    </row>
    <row r="1550" spans="1:14">
      <c r="A1550" s="12">
        <v>1549</v>
      </c>
      <c r="B1550" s="1" t="s">
        <v>1637</v>
      </c>
      <c r="C1550" s="42" t="s">
        <v>1638</v>
      </c>
      <c r="D1550" s="42" t="s">
        <v>2466</v>
      </c>
      <c r="E1550" s="42" t="s">
        <v>2254</v>
      </c>
      <c r="F1550" s="4">
        <v>168220.5</v>
      </c>
      <c r="G1550" s="47" t="s">
        <v>60</v>
      </c>
      <c r="H1550" s="29" t="s">
        <v>1641</v>
      </c>
      <c r="I1550" s="4">
        <v>0</v>
      </c>
      <c r="J1550" s="4">
        <v>0</v>
      </c>
      <c r="K1550" s="4">
        <v>8010.5</v>
      </c>
      <c r="L1550" s="4">
        <v>0</v>
      </c>
      <c r="M1550" s="12" t="s">
        <v>571</v>
      </c>
      <c r="N1550" s="13">
        <f t="shared" si="41"/>
        <v>8010.5</v>
      </c>
    </row>
    <row r="1551" spans="1:14">
      <c r="A1551" s="12">
        <v>1550</v>
      </c>
      <c r="B1551" s="1" t="s">
        <v>2467</v>
      </c>
      <c r="C1551" s="42" t="s">
        <v>2468</v>
      </c>
      <c r="D1551" s="42" t="s">
        <v>2469</v>
      </c>
      <c r="E1551" s="42" t="s">
        <v>2267</v>
      </c>
      <c r="F1551" s="4">
        <v>37877</v>
      </c>
      <c r="G1551" s="47" t="s">
        <v>570</v>
      </c>
      <c r="H1551" s="12">
        <v>440229</v>
      </c>
      <c r="I1551" s="4">
        <v>0</v>
      </c>
      <c r="J1551" s="4">
        <v>0</v>
      </c>
      <c r="K1551" s="4">
        <v>5777.82</v>
      </c>
      <c r="L1551" s="4">
        <v>0</v>
      </c>
      <c r="M1551" s="12" t="s">
        <v>571</v>
      </c>
      <c r="N1551" s="13">
        <f t="shared" si="41"/>
        <v>5777.82</v>
      </c>
    </row>
    <row r="1552" spans="1:14">
      <c r="A1552" s="12">
        <v>1551</v>
      </c>
      <c r="B1552" s="1" t="s">
        <v>1773</v>
      </c>
      <c r="C1552" s="42" t="s">
        <v>1774</v>
      </c>
      <c r="D1552" s="42" t="s">
        <v>2470</v>
      </c>
      <c r="E1552" s="42" t="s">
        <v>2254</v>
      </c>
      <c r="F1552" s="4">
        <v>1137.9100000000001</v>
      </c>
      <c r="G1552" s="47" t="s">
        <v>570</v>
      </c>
      <c r="H1552" s="12">
        <v>997159</v>
      </c>
      <c r="I1552" s="4">
        <v>86.79</v>
      </c>
      <c r="J1552" s="4">
        <v>86.79</v>
      </c>
      <c r="K1552" s="4">
        <v>0</v>
      </c>
      <c r="L1552" s="4">
        <v>0</v>
      </c>
      <c r="M1552" s="12" t="s">
        <v>571</v>
      </c>
      <c r="N1552" s="13">
        <f t="shared" si="41"/>
        <v>173.58</v>
      </c>
    </row>
    <row r="1553" spans="1:14">
      <c r="A1553" s="12">
        <v>1552</v>
      </c>
      <c r="B1553" s="1" t="s">
        <v>1776</v>
      </c>
      <c r="C1553" s="42" t="s">
        <v>1777</v>
      </c>
      <c r="D1553" s="42" t="s">
        <v>2471</v>
      </c>
      <c r="E1553" s="42" t="s">
        <v>2403</v>
      </c>
      <c r="F1553" s="4">
        <v>1209.5</v>
      </c>
      <c r="G1553" s="47" t="s">
        <v>570</v>
      </c>
      <c r="H1553" s="12">
        <v>3923</v>
      </c>
      <c r="I1553" s="4">
        <v>92.25</v>
      </c>
      <c r="J1553" s="4">
        <v>92.25</v>
      </c>
      <c r="K1553" s="4">
        <v>0</v>
      </c>
      <c r="L1553" s="4">
        <v>0</v>
      </c>
      <c r="M1553" s="12" t="s">
        <v>571</v>
      </c>
      <c r="N1553" s="13">
        <f t="shared" si="41"/>
        <v>184.5</v>
      </c>
    </row>
    <row r="1554" spans="1:14">
      <c r="A1554" s="12">
        <v>1553</v>
      </c>
      <c r="B1554" s="1" t="s">
        <v>1776</v>
      </c>
      <c r="C1554" s="42" t="s">
        <v>1777</v>
      </c>
      <c r="D1554" s="42" t="s">
        <v>2472</v>
      </c>
      <c r="E1554" s="42" t="s">
        <v>2403</v>
      </c>
      <c r="F1554" s="4">
        <v>5079.8999999999996</v>
      </c>
      <c r="G1554" s="47" t="s">
        <v>570</v>
      </c>
      <c r="H1554" s="12">
        <v>3923</v>
      </c>
      <c r="I1554" s="4">
        <v>387.45</v>
      </c>
      <c r="J1554" s="4">
        <v>387.45</v>
      </c>
      <c r="K1554" s="4">
        <v>0</v>
      </c>
      <c r="L1554" s="4">
        <v>0</v>
      </c>
      <c r="M1554" s="12" t="s">
        <v>571</v>
      </c>
      <c r="N1554" s="13">
        <f t="shared" si="41"/>
        <v>774.9</v>
      </c>
    </row>
    <row r="1555" spans="1:14">
      <c r="A1555" s="12">
        <v>1554</v>
      </c>
      <c r="B1555" s="1" t="s">
        <v>1776</v>
      </c>
      <c r="C1555" s="42" t="s">
        <v>1777</v>
      </c>
      <c r="D1555" s="42" t="s">
        <v>2473</v>
      </c>
      <c r="E1555" s="42" t="s">
        <v>2403</v>
      </c>
      <c r="F1555" s="4">
        <v>1681.5</v>
      </c>
      <c r="G1555" s="47" t="s">
        <v>570</v>
      </c>
      <c r="H1555" s="12">
        <v>3923</v>
      </c>
      <c r="I1555" s="4">
        <v>128.25</v>
      </c>
      <c r="J1555" s="4">
        <v>128.25</v>
      </c>
      <c r="K1555" s="4">
        <v>0</v>
      </c>
      <c r="L1555" s="4">
        <v>0</v>
      </c>
      <c r="M1555" s="12" t="s">
        <v>571</v>
      </c>
      <c r="N1555" s="13">
        <f t="shared" si="41"/>
        <v>256.5</v>
      </c>
    </row>
    <row r="1556" spans="1:14">
      <c r="A1556" s="12">
        <v>1555</v>
      </c>
      <c r="B1556" s="1" t="s">
        <v>1776</v>
      </c>
      <c r="C1556" s="42" t="s">
        <v>1777</v>
      </c>
      <c r="D1556" s="42" t="s">
        <v>2474</v>
      </c>
      <c r="E1556" s="42" t="s">
        <v>2403</v>
      </c>
      <c r="F1556" s="4">
        <v>3663.9</v>
      </c>
      <c r="G1556" s="47" t="s">
        <v>570</v>
      </c>
      <c r="H1556" s="12">
        <v>3923</v>
      </c>
      <c r="I1556" s="4">
        <v>279.45</v>
      </c>
      <c r="J1556" s="4">
        <v>279.45</v>
      </c>
      <c r="K1556" s="4">
        <v>0</v>
      </c>
      <c r="L1556" s="4">
        <v>0</v>
      </c>
      <c r="M1556" s="12" t="s">
        <v>571</v>
      </c>
      <c r="N1556" s="13">
        <f t="shared" si="41"/>
        <v>558.9</v>
      </c>
    </row>
    <row r="1557" spans="1:14">
      <c r="A1557" s="12">
        <v>1556</v>
      </c>
      <c r="B1557" s="1" t="s">
        <v>1776</v>
      </c>
      <c r="C1557" s="42" t="s">
        <v>1777</v>
      </c>
      <c r="D1557" s="42" t="s">
        <v>2475</v>
      </c>
      <c r="E1557" s="42" t="s">
        <v>2421</v>
      </c>
      <c r="F1557" s="4">
        <v>3416.1</v>
      </c>
      <c r="G1557" s="47" t="s">
        <v>570</v>
      </c>
      <c r="H1557" s="12">
        <v>3923</v>
      </c>
      <c r="I1557" s="4">
        <v>260.55</v>
      </c>
      <c r="J1557" s="4">
        <v>260.55</v>
      </c>
      <c r="K1557" s="4">
        <v>0</v>
      </c>
      <c r="L1557" s="4">
        <v>0</v>
      </c>
      <c r="M1557" s="12" t="s">
        <v>571</v>
      </c>
      <c r="N1557" s="13">
        <f t="shared" si="41"/>
        <v>521.1</v>
      </c>
    </row>
    <row r="1558" spans="1:14">
      <c r="A1558" s="12">
        <v>1557</v>
      </c>
      <c r="B1558" s="1" t="s">
        <v>1776</v>
      </c>
      <c r="C1558" s="42" t="s">
        <v>1777</v>
      </c>
      <c r="D1558" s="42" t="s">
        <v>2476</v>
      </c>
      <c r="E1558" s="42" t="s">
        <v>2421</v>
      </c>
      <c r="F1558" s="4">
        <v>3345.3</v>
      </c>
      <c r="G1558" s="47" t="s">
        <v>570</v>
      </c>
      <c r="H1558" s="12">
        <v>3923</v>
      </c>
      <c r="I1558" s="4">
        <v>255.15</v>
      </c>
      <c r="J1558" s="4">
        <v>255.15</v>
      </c>
      <c r="K1558" s="4">
        <v>0</v>
      </c>
      <c r="L1558" s="4">
        <v>0</v>
      </c>
      <c r="M1558" s="12" t="s">
        <v>571</v>
      </c>
      <c r="N1558" s="13">
        <f t="shared" si="41"/>
        <v>510.3</v>
      </c>
    </row>
    <row r="1559" spans="1:14">
      <c r="A1559" s="12">
        <v>1558</v>
      </c>
      <c r="B1559" s="1" t="s">
        <v>1776</v>
      </c>
      <c r="C1559" s="42" t="s">
        <v>1777</v>
      </c>
      <c r="D1559" s="42" t="s">
        <v>2477</v>
      </c>
      <c r="E1559" s="42" t="s">
        <v>2421</v>
      </c>
      <c r="F1559" s="4">
        <v>2153.5</v>
      </c>
      <c r="G1559" s="47" t="s">
        <v>570</v>
      </c>
      <c r="H1559" s="12">
        <v>3923</v>
      </c>
      <c r="I1559" s="4">
        <v>164.25</v>
      </c>
      <c r="J1559" s="4">
        <v>164.25</v>
      </c>
      <c r="K1559" s="4">
        <v>0</v>
      </c>
      <c r="L1559" s="4">
        <v>0</v>
      </c>
      <c r="M1559" s="12" t="s">
        <v>571</v>
      </c>
      <c r="N1559" s="13">
        <f t="shared" si="41"/>
        <v>328.5</v>
      </c>
    </row>
    <row r="1560" spans="1:14">
      <c r="A1560" s="12">
        <v>1559</v>
      </c>
      <c r="B1560" s="1" t="s">
        <v>1776</v>
      </c>
      <c r="C1560" s="42" t="s">
        <v>1777</v>
      </c>
      <c r="D1560" s="42" t="s">
        <v>2478</v>
      </c>
      <c r="E1560" s="42" t="s">
        <v>2442</v>
      </c>
      <c r="F1560" s="4">
        <v>2908.7</v>
      </c>
      <c r="G1560" s="47" t="s">
        <v>570</v>
      </c>
      <c r="H1560" s="12">
        <v>3923</v>
      </c>
      <c r="I1560" s="4">
        <v>221.85</v>
      </c>
      <c r="J1560" s="4">
        <v>221.85</v>
      </c>
      <c r="K1560" s="4">
        <v>0</v>
      </c>
      <c r="L1560" s="4">
        <v>0</v>
      </c>
      <c r="M1560" s="12" t="s">
        <v>571</v>
      </c>
      <c r="N1560" s="13">
        <f t="shared" si="41"/>
        <v>443.7</v>
      </c>
    </row>
    <row r="1561" spans="1:14">
      <c r="A1561" s="12">
        <v>1560</v>
      </c>
      <c r="B1561" s="1" t="s">
        <v>1776</v>
      </c>
      <c r="C1561" s="42" t="s">
        <v>1777</v>
      </c>
      <c r="D1561" s="42" t="s">
        <v>2479</v>
      </c>
      <c r="E1561" s="42" t="s">
        <v>2442</v>
      </c>
      <c r="F1561" s="4">
        <v>1870.3</v>
      </c>
      <c r="G1561" s="47" t="s">
        <v>570</v>
      </c>
      <c r="H1561" s="12">
        <v>3923</v>
      </c>
      <c r="I1561" s="4">
        <v>142.65</v>
      </c>
      <c r="J1561" s="4">
        <v>142.65</v>
      </c>
      <c r="K1561" s="4">
        <v>0</v>
      </c>
      <c r="L1561" s="4">
        <v>0</v>
      </c>
      <c r="M1561" s="12" t="s">
        <v>571</v>
      </c>
      <c r="N1561" s="13">
        <f t="shared" si="41"/>
        <v>285.3</v>
      </c>
    </row>
    <row r="1562" spans="1:14">
      <c r="A1562" s="12">
        <v>1561</v>
      </c>
      <c r="B1562" s="1" t="s">
        <v>528</v>
      </c>
      <c r="C1562" s="42" t="s">
        <v>529</v>
      </c>
      <c r="D1562" s="42" t="s">
        <v>2480</v>
      </c>
      <c r="E1562" s="42" t="s">
        <v>2242</v>
      </c>
      <c r="F1562" s="4">
        <v>1603.49</v>
      </c>
      <c r="G1562" s="47" t="s">
        <v>570</v>
      </c>
      <c r="H1562" s="12">
        <v>998212</v>
      </c>
      <c r="I1562" s="4">
        <v>122.3</v>
      </c>
      <c r="J1562" s="4">
        <v>122.3</v>
      </c>
      <c r="K1562" s="4">
        <v>0</v>
      </c>
      <c r="L1562" s="4">
        <v>0</v>
      </c>
      <c r="M1562" s="12" t="s">
        <v>571</v>
      </c>
      <c r="N1562" s="13">
        <f t="shared" si="41"/>
        <v>244.6</v>
      </c>
    </row>
    <row r="1563" spans="1:14">
      <c r="A1563" s="12">
        <v>1562</v>
      </c>
      <c r="B1563" s="1" t="s">
        <v>528</v>
      </c>
      <c r="C1563" s="42" t="s">
        <v>529</v>
      </c>
      <c r="D1563" s="42" t="s">
        <v>2481</v>
      </c>
      <c r="E1563" s="42" t="s">
        <v>2272</v>
      </c>
      <c r="F1563" s="4">
        <v>4.12</v>
      </c>
      <c r="G1563" s="47" t="s">
        <v>570</v>
      </c>
      <c r="H1563" s="12">
        <v>998212</v>
      </c>
      <c r="I1563" s="4">
        <v>0.31</v>
      </c>
      <c r="J1563" s="4">
        <v>0.31</v>
      </c>
      <c r="K1563" s="4">
        <v>0</v>
      </c>
      <c r="L1563" s="4">
        <v>0</v>
      </c>
      <c r="M1563" s="12" t="s">
        <v>571</v>
      </c>
      <c r="N1563" s="13">
        <f t="shared" si="41"/>
        <v>0.62</v>
      </c>
    </row>
    <row r="1564" spans="1:14">
      <c r="A1564" s="12">
        <v>1563</v>
      </c>
      <c r="B1564" s="1" t="s">
        <v>528</v>
      </c>
      <c r="C1564" s="42" t="s">
        <v>529</v>
      </c>
      <c r="D1564" s="42" t="s">
        <v>2482</v>
      </c>
      <c r="E1564" s="42" t="s">
        <v>2421</v>
      </c>
      <c r="F1564" s="4">
        <v>413</v>
      </c>
      <c r="G1564" s="47" t="s">
        <v>570</v>
      </c>
      <c r="H1564" s="12">
        <v>998212</v>
      </c>
      <c r="I1564" s="4">
        <v>31.5</v>
      </c>
      <c r="J1564" s="4">
        <v>31.5</v>
      </c>
      <c r="K1564" s="4">
        <v>0</v>
      </c>
      <c r="L1564" s="4">
        <v>0</v>
      </c>
      <c r="M1564" s="12" t="s">
        <v>571</v>
      </c>
      <c r="N1564" s="13">
        <f t="shared" si="41"/>
        <v>63</v>
      </c>
    </row>
    <row r="1565" spans="1:14">
      <c r="A1565" s="12">
        <v>1564</v>
      </c>
      <c r="B1565" s="1" t="s">
        <v>528</v>
      </c>
      <c r="C1565" s="42" t="s">
        <v>529</v>
      </c>
      <c r="D1565" s="42" t="s">
        <v>2483</v>
      </c>
      <c r="E1565" s="42" t="s">
        <v>2305</v>
      </c>
      <c r="F1565" s="4">
        <v>413</v>
      </c>
      <c r="G1565" s="47" t="s">
        <v>570</v>
      </c>
      <c r="H1565" s="12">
        <v>998212</v>
      </c>
      <c r="I1565" s="4">
        <v>31.5</v>
      </c>
      <c r="J1565" s="4">
        <v>31.5</v>
      </c>
      <c r="K1565" s="4">
        <v>0</v>
      </c>
      <c r="L1565" s="4">
        <v>0</v>
      </c>
      <c r="M1565" s="12" t="s">
        <v>571</v>
      </c>
      <c r="N1565" s="13">
        <f t="shared" si="41"/>
        <v>63</v>
      </c>
    </row>
    <row r="1566" spans="1:14">
      <c r="A1566" s="12">
        <v>1565</v>
      </c>
      <c r="B1566" s="1" t="s">
        <v>1869</v>
      </c>
      <c r="C1566" s="42" t="s">
        <v>1870</v>
      </c>
      <c r="D1566" s="42" t="s">
        <v>2484</v>
      </c>
      <c r="E1566" s="42" t="s">
        <v>2254</v>
      </c>
      <c r="F1566" s="4">
        <v>471.71</v>
      </c>
      <c r="G1566" s="47" t="s">
        <v>570</v>
      </c>
      <c r="H1566" s="12">
        <v>996812</v>
      </c>
      <c r="I1566" s="4">
        <v>35.979999999999997</v>
      </c>
      <c r="J1566" s="4">
        <v>35.979999999999997</v>
      </c>
      <c r="K1566" s="4">
        <v>0</v>
      </c>
      <c r="L1566" s="4">
        <v>0</v>
      </c>
      <c r="M1566" s="12" t="s">
        <v>571</v>
      </c>
      <c r="N1566" s="13">
        <f t="shared" si="41"/>
        <v>71.959999999999994</v>
      </c>
    </row>
    <row r="1567" spans="1:14">
      <c r="A1567" s="12">
        <v>1566</v>
      </c>
      <c r="B1567" s="1" t="s">
        <v>2485</v>
      </c>
      <c r="C1567" s="42" t="s">
        <v>2486</v>
      </c>
      <c r="D1567" s="42" t="s">
        <v>2487</v>
      </c>
      <c r="E1567" s="42" t="s">
        <v>2116</v>
      </c>
      <c r="F1567" s="4">
        <v>1369</v>
      </c>
      <c r="G1567" s="47" t="s">
        <v>1772</v>
      </c>
      <c r="H1567" s="12">
        <v>9405</v>
      </c>
      <c r="I1567" s="4">
        <v>0</v>
      </c>
      <c r="J1567" s="4">
        <v>0</v>
      </c>
      <c r="K1567" s="4">
        <v>208.83</v>
      </c>
      <c r="L1567" s="4">
        <v>0</v>
      </c>
      <c r="M1567" s="12" t="s">
        <v>571</v>
      </c>
      <c r="N1567" s="13">
        <f t="shared" si="41"/>
        <v>208.83</v>
      </c>
    </row>
    <row r="1568" spans="1:14">
      <c r="A1568" s="12">
        <v>1567</v>
      </c>
      <c r="B1568" s="1" t="s">
        <v>1753</v>
      </c>
      <c r="C1568" s="42" t="s">
        <v>1754</v>
      </c>
      <c r="D1568" s="42" t="s">
        <v>2488</v>
      </c>
      <c r="E1568" s="42" t="s">
        <v>2446</v>
      </c>
      <c r="F1568" s="4">
        <v>38963.599999999999</v>
      </c>
      <c r="G1568" s="47" t="s">
        <v>60</v>
      </c>
      <c r="H1568" s="12">
        <v>4911</v>
      </c>
      <c r="I1568" s="4">
        <v>2971.8</v>
      </c>
      <c r="J1568" s="4">
        <v>2971.8</v>
      </c>
      <c r="K1568" s="4">
        <v>0</v>
      </c>
      <c r="L1568" s="4">
        <v>0</v>
      </c>
      <c r="M1568" s="12" t="s">
        <v>571</v>
      </c>
      <c r="N1568" s="13">
        <f t="shared" si="41"/>
        <v>5943.6</v>
      </c>
    </row>
    <row r="1569" spans="1:14">
      <c r="A1569" s="12">
        <v>1568</v>
      </c>
      <c r="B1569" s="1" t="s">
        <v>1753</v>
      </c>
      <c r="C1569" s="42" t="s">
        <v>1754</v>
      </c>
      <c r="D1569" s="42" t="s">
        <v>2489</v>
      </c>
      <c r="E1569" s="42" t="s">
        <v>2446</v>
      </c>
      <c r="F1569" s="4">
        <v>82859.600000000006</v>
      </c>
      <c r="G1569" s="47" t="s">
        <v>60</v>
      </c>
      <c r="H1569" s="12">
        <v>4819</v>
      </c>
      <c r="I1569" s="4">
        <v>6319.8</v>
      </c>
      <c r="J1569" s="4">
        <v>6319.8</v>
      </c>
      <c r="K1569" s="4">
        <v>0</v>
      </c>
      <c r="L1569" s="4">
        <v>0</v>
      </c>
      <c r="M1569" s="12" t="s">
        <v>571</v>
      </c>
      <c r="N1569" s="13">
        <f t="shared" si="41"/>
        <v>12639.6</v>
      </c>
    </row>
    <row r="1570" spans="1:14">
      <c r="A1570" s="12">
        <v>1569</v>
      </c>
      <c r="B1570" s="1" t="s">
        <v>1753</v>
      </c>
      <c r="C1570" s="42" t="s">
        <v>1754</v>
      </c>
      <c r="D1570" s="42" t="s">
        <v>2490</v>
      </c>
      <c r="E1570" s="42" t="s">
        <v>2446</v>
      </c>
      <c r="F1570" s="4">
        <v>39970.14</v>
      </c>
      <c r="G1570" s="47" t="s">
        <v>60</v>
      </c>
      <c r="H1570" s="12">
        <v>4821</v>
      </c>
      <c r="I1570" s="4">
        <v>3048.57</v>
      </c>
      <c r="J1570" s="4">
        <v>3048.57</v>
      </c>
      <c r="K1570" s="4">
        <v>0</v>
      </c>
      <c r="L1570" s="4">
        <v>0</v>
      </c>
      <c r="M1570" s="12" t="s">
        <v>571</v>
      </c>
      <c r="N1570" s="13">
        <f t="shared" si="41"/>
        <v>6097.14</v>
      </c>
    </row>
    <row r="1571" spans="1:14">
      <c r="A1571" s="12">
        <v>1570</v>
      </c>
      <c r="B1571" s="1" t="s">
        <v>729</v>
      </c>
      <c r="C1571" s="42" t="s">
        <v>730</v>
      </c>
      <c r="D1571" s="42" t="s">
        <v>2491</v>
      </c>
      <c r="E1571" s="42" t="s">
        <v>2446</v>
      </c>
      <c r="F1571" s="4">
        <v>9764</v>
      </c>
      <c r="G1571" s="47" t="s">
        <v>570</v>
      </c>
      <c r="H1571" s="12">
        <v>440362</v>
      </c>
      <c r="I1571" s="4">
        <v>232.5</v>
      </c>
      <c r="J1571" s="4">
        <v>232.5</v>
      </c>
      <c r="K1571" s="4">
        <v>0</v>
      </c>
      <c r="L1571" s="4">
        <v>0</v>
      </c>
      <c r="M1571" s="12" t="s">
        <v>571</v>
      </c>
      <c r="N1571" s="13">
        <f t="shared" si="41"/>
        <v>465</v>
      </c>
    </row>
    <row r="1572" spans="1:14">
      <c r="A1572" s="12">
        <v>1571</v>
      </c>
      <c r="B1572" s="1" t="s">
        <v>2020</v>
      </c>
      <c r="C1572" s="42" t="s">
        <v>2021</v>
      </c>
      <c r="D1572" s="42" t="s">
        <v>2492</v>
      </c>
      <c r="E1572" s="42" t="s">
        <v>2254</v>
      </c>
      <c r="F1572" s="4">
        <v>1940.98</v>
      </c>
      <c r="G1572" s="47" t="s">
        <v>570</v>
      </c>
      <c r="H1572" s="12">
        <v>998311</v>
      </c>
      <c r="I1572" s="4">
        <v>148.04</v>
      </c>
      <c r="J1572" s="4">
        <v>148.04</v>
      </c>
      <c r="K1572" s="4">
        <v>0</v>
      </c>
      <c r="L1572" s="4">
        <v>0</v>
      </c>
      <c r="M1572" s="12" t="s">
        <v>571</v>
      </c>
      <c r="N1572" s="13">
        <f t="shared" si="41"/>
        <v>296.08</v>
      </c>
    </row>
    <row r="1573" spans="1:14">
      <c r="A1573" s="12">
        <v>1572</v>
      </c>
      <c r="B1573" s="1" t="s">
        <v>1811</v>
      </c>
      <c r="C1573" s="42" t="s">
        <v>1812</v>
      </c>
      <c r="D1573" s="42" t="s">
        <v>2493</v>
      </c>
      <c r="E1573" s="42" t="s">
        <v>2254</v>
      </c>
      <c r="F1573" s="4">
        <v>116.82</v>
      </c>
      <c r="G1573" s="47" t="s">
        <v>570</v>
      </c>
      <c r="H1573" s="12">
        <v>997159</v>
      </c>
      <c r="I1573" s="4">
        <v>0</v>
      </c>
      <c r="J1573" s="4">
        <v>0</v>
      </c>
      <c r="K1573" s="4">
        <v>17.82</v>
      </c>
      <c r="L1573" s="4">
        <v>0</v>
      </c>
      <c r="M1573" s="12" t="s">
        <v>571</v>
      </c>
      <c r="N1573" s="13">
        <f t="shared" si="41"/>
        <v>17.82</v>
      </c>
    </row>
    <row r="1574" spans="1:14">
      <c r="A1574" s="12">
        <v>1573</v>
      </c>
      <c r="B1574" s="1" t="s">
        <v>1811</v>
      </c>
      <c r="C1574" s="42" t="s">
        <v>1812</v>
      </c>
      <c r="D1574" s="42" t="s">
        <v>2494</v>
      </c>
      <c r="E1574" s="42" t="s">
        <v>2254</v>
      </c>
      <c r="F1574" s="4">
        <v>588.82000000000005</v>
      </c>
      <c r="G1574" s="47" t="s">
        <v>570</v>
      </c>
      <c r="H1574" s="12">
        <v>997159</v>
      </c>
      <c r="I1574" s="4">
        <v>0</v>
      </c>
      <c r="J1574" s="4">
        <v>0</v>
      </c>
      <c r="K1574" s="4">
        <v>89.82</v>
      </c>
      <c r="L1574" s="4">
        <v>0</v>
      </c>
      <c r="M1574" s="12" t="s">
        <v>571</v>
      </c>
      <c r="N1574" s="13">
        <f t="shared" si="41"/>
        <v>89.82</v>
      </c>
    </row>
    <row r="1575" spans="1:14">
      <c r="A1575" s="12">
        <v>1574</v>
      </c>
      <c r="B1575" s="1" t="s">
        <v>2078</v>
      </c>
      <c r="C1575" s="42" t="s">
        <v>2079</v>
      </c>
      <c r="D1575" s="42" t="s">
        <v>2495</v>
      </c>
      <c r="E1575" s="42" t="s">
        <v>2242</v>
      </c>
      <c r="F1575" s="4">
        <v>38350</v>
      </c>
      <c r="G1575" s="47" t="s">
        <v>570</v>
      </c>
      <c r="H1575" s="12">
        <v>998361</v>
      </c>
      <c r="I1575" s="4">
        <v>0</v>
      </c>
      <c r="J1575" s="4">
        <v>0</v>
      </c>
      <c r="K1575" s="4">
        <v>5850</v>
      </c>
      <c r="L1575" s="4">
        <v>0</v>
      </c>
      <c r="M1575" s="12" t="s">
        <v>571</v>
      </c>
      <c r="N1575" s="13">
        <f t="shared" si="41"/>
        <v>5850</v>
      </c>
    </row>
    <row r="1576" spans="1:14">
      <c r="A1576" s="12">
        <v>1575</v>
      </c>
      <c r="B1576" s="1" t="s">
        <v>1759</v>
      </c>
      <c r="C1576" s="42" t="s">
        <v>1760</v>
      </c>
      <c r="D1576" s="42" t="s">
        <v>2496</v>
      </c>
      <c r="E1576" s="42" t="s">
        <v>2254</v>
      </c>
      <c r="F1576" s="4">
        <v>1239</v>
      </c>
      <c r="G1576" s="47" t="s">
        <v>570</v>
      </c>
      <c r="H1576" s="12">
        <v>997159</v>
      </c>
      <c r="I1576" s="4">
        <v>0</v>
      </c>
      <c r="J1576" s="4">
        <v>0</v>
      </c>
      <c r="K1576" s="4">
        <v>189</v>
      </c>
      <c r="L1576" s="4">
        <v>0</v>
      </c>
      <c r="M1576" s="12" t="s">
        <v>571</v>
      </c>
      <c r="N1576" s="13">
        <f t="shared" si="41"/>
        <v>189</v>
      </c>
    </row>
    <row r="1577" spans="1:14">
      <c r="A1577" s="12">
        <v>1576</v>
      </c>
      <c r="B1577" s="1" t="s">
        <v>1759</v>
      </c>
      <c r="C1577" s="42" t="s">
        <v>1760</v>
      </c>
      <c r="D1577" s="42" t="s">
        <v>2497</v>
      </c>
      <c r="E1577" s="42" t="s">
        <v>2254</v>
      </c>
      <c r="F1577" s="4">
        <v>16663.900000000001</v>
      </c>
      <c r="G1577" s="47" t="s">
        <v>570</v>
      </c>
      <c r="H1577" s="12">
        <v>997159</v>
      </c>
      <c r="I1577" s="4">
        <v>0</v>
      </c>
      <c r="J1577" s="4">
        <v>0</v>
      </c>
      <c r="K1577" s="4">
        <v>2541.9499999999998</v>
      </c>
      <c r="L1577" s="4">
        <v>0</v>
      </c>
      <c r="M1577" s="12" t="s">
        <v>571</v>
      </c>
      <c r="N1577" s="13">
        <f t="shared" si="41"/>
        <v>2541.9499999999998</v>
      </c>
    </row>
    <row r="1578" spans="1:14">
      <c r="A1578" s="12">
        <v>1577</v>
      </c>
      <c r="B1578" s="1" t="s">
        <v>2498</v>
      </c>
      <c r="C1578" s="42" t="s">
        <v>2499</v>
      </c>
      <c r="D1578" s="42" t="s">
        <v>2500</v>
      </c>
      <c r="E1578" s="42" t="s">
        <v>2442</v>
      </c>
      <c r="F1578" s="4">
        <v>22983</v>
      </c>
      <c r="G1578" s="47" t="s">
        <v>60</v>
      </c>
      <c r="H1578" s="12">
        <v>3923</v>
      </c>
      <c r="I1578" s="4">
        <v>0</v>
      </c>
      <c r="J1578" s="4">
        <v>0</v>
      </c>
      <c r="K1578" s="4">
        <v>3505.95</v>
      </c>
      <c r="L1578" s="4">
        <v>0</v>
      </c>
      <c r="M1578" s="12" t="s">
        <v>571</v>
      </c>
      <c r="N1578" s="13">
        <f t="shared" si="41"/>
        <v>3505.95</v>
      </c>
    </row>
    <row r="1579" spans="1:14">
      <c r="A1579" s="12">
        <v>1578</v>
      </c>
      <c r="B1579" s="1" t="s">
        <v>1762</v>
      </c>
      <c r="C1579" s="42" t="s">
        <v>1763</v>
      </c>
      <c r="D1579" s="42" t="s">
        <v>2501</v>
      </c>
      <c r="E1579" s="42" t="s">
        <v>2272</v>
      </c>
      <c r="F1579" s="4">
        <v>3949</v>
      </c>
      <c r="G1579" s="47" t="s">
        <v>570</v>
      </c>
      <c r="H1579" s="12">
        <v>9987</v>
      </c>
      <c r="I1579" s="4">
        <v>301.23</v>
      </c>
      <c r="J1579" s="4">
        <v>301.23</v>
      </c>
      <c r="K1579" s="4">
        <v>0</v>
      </c>
      <c r="L1579" s="4">
        <v>0</v>
      </c>
      <c r="M1579" s="12" t="s">
        <v>571</v>
      </c>
      <c r="N1579" s="13">
        <f t="shared" si="41"/>
        <v>602.46</v>
      </c>
    </row>
    <row r="1580" spans="1:14">
      <c r="A1580" s="12">
        <v>1579</v>
      </c>
      <c r="B1580" s="1" t="s">
        <v>1762</v>
      </c>
      <c r="C1580" s="42" t="s">
        <v>1763</v>
      </c>
      <c r="D1580" s="42" t="s">
        <v>2502</v>
      </c>
      <c r="E1580" s="42" t="s">
        <v>2272</v>
      </c>
      <c r="F1580" s="4">
        <v>7608</v>
      </c>
      <c r="G1580" s="47" t="s">
        <v>570</v>
      </c>
      <c r="H1580" s="12">
        <v>9987</v>
      </c>
      <c r="I1580" s="4">
        <v>580.32000000000005</v>
      </c>
      <c r="J1580" s="4">
        <v>580.32000000000005</v>
      </c>
      <c r="K1580" s="4">
        <v>0</v>
      </c>
      <c r="L1580" s="4">
        <v>0</v>
      </c>
      <c r="M1580" s="12" t="s">
        <v>571</v>
      </c>
      <c r="N1580" s="13">
        <f t="shared" si="41"/>
        <v>1160.6400000000001</v>
      </c>
    </row>
    <row r="1581" spans="1:14">
      <c r="A1581" s="12">
        <v>1580</v>
      </c>
      <c r="B1581" s="1" t="s">
        <v>2503</v>
      </c>
      <c r="C1581" s="42" t="s">
        <v>2504</v>
      </c>
      <c r="D1581" s="42" t="s">
        <v>2505</v>
      </c>
      <c r="E1581" s="42" t="s">
        <v>2091</v>
      </c>
      <c r="F1581" s="4">
        <v>8152</v>
      </c>
      <c r="G1581" s="47" t="s">
        <v>570</v>
      </c>
      <c r="H1581" s="12">
        <v>9985</v>
      </c>
      <c r="I1581" s="4">
        <v>0</v>
      </c>
      <c r="J1581" s="4">
        <v>0</v>
      </c>
      <c r="K1581" s="4">
        <v>0</v>
      </c>
      <c r="L1581" s="4">
        <v>0</v>
      </c>
      <c r="M1581" s="12" t="s">
        <v>571</v>
      </c>
      <c r="N1581" s="13">
        <f t="shared" si="41"/>
        <v>0</v>
      </c>
    </row>
    <row r="1582" spans="1:14">
      <c r="A1582" s="12">
        <v>1581</v>
      </c>
      <c r="B1582" s="1" t="s">
        <v>2503</v>
      </c>
      <c r="C1582" s="42" t="s">
        <v>2504</v>
      </c>
      <c r="D1582" s="42" t="s">
        <v>2505</v>
      </c>
      <c r="E1582" s="42" t="s">
        <v>2091</v>
      </c>
      <c r="F1582" s="4">
        <v>8152</v>
      </c>
      <c r="G1582" s="47" t="s">
        <v>570</v>
      </c>
      <c r="H1582" s="12">
        <v>9985</v>
      </c>
      <c r="I1582" s="4">
        <v>45</v>
      </c>
      <c r="J1582" s="4">
        <v>45</v>
      </c>
      <c r="K1582" s="4">
        <v>0</v>
      </c>
      <c r="L1582" s="4">
        <v>0</v>
      </c>
      <c r="M1582" s="12" t="s">
        <v>571</v>
      </c>
      <c r="N1582" s="13">
        <f t="shared" si="41"/>
        <v>90</v>
      </c>
    </row>
    <row r="1583" spans="1:14">
      <c r="A1583" s="12">
        <v>1582</v>
      </c>
      <c r="B1583" s="1" t="s">
        <v>557</v>
      </c>
      <c r="C1583" s="42" t="s">
        <v>558</v>
      </c>
      <c r="D1583" s="42" t="s">
        <v>2506</v>
      </c>
      <c r="E1583" s="42" t="s">
        <v>2272</v>
      </c>
      <c r="F1583" s="4">
        <v>836.97</v>
      </c>
      <c r="G1583" s="47" t="s">
        <v>570</v>
      </c>
      <c r="H1583" s="12">
        <v>998361</v>
      </c>
      <c r="I1583" s="4">
        <v>0</v>
      </c>
      <c r="J1583" s="4">
        <v>0</v>
      </c>
      <c r="K1583" s="4">
        <v>127.67</v>
      </c>
      <c r="L1583" s="4">
        <v>0</v>
      </c>
      <c r="M1583" s="12" t="s">
        <v>571</v>
      </c>
      <c r="N1583" s="13">
        <f t="shared" si="41"/>
        <v>127.67</v>
      </c>
    </row>
    <row r="1584" spans="1:14">
      <c r="A1584" s="12">
        <v>1583</v>
      </c>
      <c r="B1584" s="1" t="s">
        <v>557</v>
      </c>
      <c r="C1584" s="42" t="s">
        <v>558</v>
      </c>
      <c r="D1584" s="42" t="s">
        <v>2507</v>
      </c>
      <c r="E1584" s="42" t="s">
        <v>2318</v>
      </c>
      <c r="F1584" s="4">
        <v>1129.78</v>
      </c>
      <c r="G1584" s="47" t="s">
        <v>570</v>
      </c>
      <c r="H1584" s="12">
        <v>998361</v>
      </c>
      <c r="I1584" s="4">
        <v>0</v>
      </c>
      <c r="J1584" s="4">
        <v>0</v>
      </c>
      <c r="K1584" s="4">
        <v>172.34</v>
      </c>
      <c r="L1584" s="4">
        <v>0</v>
      </c>
      <c r="M1584" s="12" t="s">
        <v>571</v>
      </c>
      <c r="N1584" s="13">
        <f t="shared" si="41"/>
        <v>172.34</v>
      </c>
    </row>
    <row r="1585" spans="1:14">
      <c r="A1585" s="12">
        <v>1584</v>
      </c>
      <c r="B1585" s="1" t="s">
        <v>557</v>
      </c>
      <c r="C1585" s="42" t="s">
        <v>558</v>
      </c>
      <c r="D1585" s="42" t="s">
        <v>2508</v>
      </c>
      <c r="E1585" s="42" t="s">
        <v>2399</v>
      </c>
      <c r="F1585" s="4">
        <v>1209.43</v>
      </c>
      <c r="G1585" s="47" t="s">
        <v>570</v>
      </c>
      <c r="H1585" s="12">
        <v>998361</v>
      </c>
      <c r="I1585" s="4">
        <v>0</v>
      </c>
      <c r="J1585" s="4">
        <v>0</v>
      </c>
      <c r="K1585" s="4">
        <v>184.49</v>
      </c>
      <c r="L1585" s="4">
        <v>0</v>
      </c>
      <c r="M1585" s="12" t="s">
        <v>571</v>
      </c>
      <c r="N1585" s="13">
        <f t="shared" si="41"/>
        <v>184.49</v>
      </c>
    </row>
    <row r="1586" spans="1:14">
      <c r="A1586" s="12">
        <v>1585</v>
      </c>
      <c r="B1586" s="1" t="s">
        <v>557</v>
      </c>
      <c r="C1586" s="42" t="s">
        <v>558</v>
      </c>
      <c r="D1586" s="42" t="s">
        <v>2509</v>
      </c>
      <c r="E1586" s="42" t="s">
        <v>2325</v>
      </c>
      <c r="F1586" s="4">
        <v>1441.35</v>
      </c>
      <c r="G1586" s="47" t="s">
        <v>570</v>
      </c>
      <c r="H1586" s="12">
        <v>998361</v>
      </c>
      <c r="I1586" s="4">
        <v>0</v>
      </c>
      <c r="J1586" s="4">
        <v>0</v>
      </c>
      <c r="K1586" s="4">
        <v>219.87</v>
      </c>
      <c r="L1586" s="4">
        <v>0</v>
      </c>
      <c r="M1586" s="12" t="s">
        <v>571</v>
      </c>
      <c r="N1586" s="13">
        <f t="shared" si="41"/>
        <v>219.87</v>
      </c>
    </row>
    <row r="1587" spans="1:14">
      <c r="A1587" s="12">
        <v>1586</v>
      </c>
      <c r="B1587" s="1" t="s">
        <v>557</v>
      </c>
      <c r="C1587" s="42" t="s">
        <v>558</v>
      </c>
      <c r="D1587" s="42" t="s">
        <v>2510</v>
      </c>
      <c r="E1587" s="42" t="s">
        <v>2403</v>
      </c>
      <c r="F1587" s="4">
        <v>1869.16</v>
      </c>
      <c r="G1587" s="47" t="s">
        <v>570</v>
      </c>
      <c r="H1587" s="12">
        <v>998361</v>
      </c>
      <c r="I1587" s="4">
        <v>0</v>
      </c>
      <c r="J1587" s="4">
        <v>0</v>
      </c>
      <c r="K1587" s="4">
        <v>285.13</v>
      </c>
      <c r="L1587" s="4">
        <v>0</v>
      </c>
      <c r="M1587" s="12" t="s">
        <v>571</v>
      </c>
      <c r="N1587" s="13">
        <f t="shared" si="41"/>
        <v>285.13</v>
      </c>
    </row>
    <row r="1588" spans="1:14">
      <c r="A1588" s="12">
        <v>1587</v>
      </c>
      <c r="B1588" s="1" t="s">
        <v>557</v>
      </c>
      <c r="C1588" s="42" t="s">
        <v>558</v>
      </c>
      <c r="D1588" s="42" t="s">
        <v>2511</v>
      </c>
      <c r="E1588" s="42" t="s">
        <v>2258</v>
      </c>
      <c r="F1588" s="4">
        <v>1574.14</v>
      </c>
      <c r="G1588" s="47" t="s">
        <v>570</v>
      </c>
      <c r="H1588" s="12">
        <v>998361</v>
      </c>
      <c r="I1588" s="4">
        <v>0</v>
      </c>
      <c r="J1588" s="4">
        <v>0</v>
      </c>
      <c r="K1588" s="4">
        <v>240.12</v>
      </c>
      <c r="L1588" s="4">
        <v>0</v>
      </c>
      <c r="M1588" s="12" t="s">
        <v>571</v>
      </c>
      <c r="N1588" s="13">
        <f t="shared" si="41"/>
        <v>240.12</v>
      </c>
    </row>
    <row r="1589" spans="1:14">
      <c r="A1589" s="12">
        <v>1588</v>
      </c>
      <c r="B1589" s="1" t="s">
        <v>557</v>
      </c>
      <c r="C1589" s="42" t="s">
        <v>558</v>
      </c>
      <c r="D1589" s="42" t="s">
        <v>2512</v>
      </c>
      <c r="E1589" s="42" t="s">
        <v>2407</v>
      </c>
      <c r="F1589" s="4">
        <v>1308.3</v>
      </c>
      <c r="G1589" s="47" t="s">
        <v>570</v>
      </c>
      <c r="H1589" s="12">
        <v>998361</v>
      </c>
      <c r="I1589" s="4">
        <v>0</v>
      </c>
      <c r="J1589" s="4">
        <v>0</v>
      </c>
      <c r="K1589" s="4">
        <v>199.57</v>
      </c>
      <c r="L1589" s="4">
        <v>0</v>
      </c>
      <c r="M1589" s="12" t="s">
        <v>571</v>
      </c>
      <c r="N1589" s="13">
        <f t="shared" si="41"/>
        <v>199.57</v>
      </c>
    </row>
    <row r="1590" spans="1:14">
      <c r="A1590" s="12">
        <v>1589</v>
      </c>
      <c r="B1590" s="1" t="s">
        <v>557</v>
      </c>
      <c r="C1590" s="42" t="s">
        <v>558</v>
      </c>
      <c r="D1590" s="42" t="s">
        <v>2513</v>
      </c>
      <c r="E1590" s="42" t="s">
        <v>2409</v>
      </c>
      <c r="F1590" s="4">
        <v>1285.76</v>
      </c>
      <c r="G1590" s="47" t="s">
        <v>570</v>
      </c>
      <c r="H1590" s="12">
        <v>998361</v>
      </c>
      <c r="I1590" s="4">
        <v>0</v>
      </c>
      <c r="J1590" s="4">
        <v>0</v>
      </c>
      <c r="K1590" s="4">
        <v>196.13</v>
      </c>
      <c r="L1590" s="4">
        <v>0</v>
      </c>
      <c r="M1590" s="12" t="s">
        <v>571</v>
      </c>
      <c r="N1590" s="13">
        <f t="shared" si="41"/>
        <v>196.13</v>
      </c>
    </row>
    <row r="1591" spans="1:14">
      <c r="A1591" s="12">
        <v>1590</v>
      </c>
      <c r="B1591" s="1" t="s">
        <v>557</v>
      </c>
      <c r="C1591" s="42" t="s">
        <v>558</v>
      </c>
      <c r="D1591" s="42" t="s">
        <v>2514</v>
      </c>
      <c r="E1591" s="42" t="s">
        <v>2412</v>
      </c>
      <c r="F1591" s="4">
        <v>1245.8800000000001</v>
      </c>
      <c r="G1591" s="47" t="s">
        <v>570</v>
      </c>
      <c r="H1591" s="12">
        <v>998361</v>
      </c>
      <c r="I1591" s="4">
        <v>0</v>
      </c>
      <c r="J1591" s="4">
        <v>0</v>
      </c>
      <c r="K1591" s="4">
        <v>190.05</v>
      </c>
      <c r="L1591" s="4">
        <v>0</v>
      </c>
      <c r="M1591" s="12" t="s">
        <v>571</v>
      </c>
      <c r="N1591" s="13">
        <f t="shared" si="41"/>
        <v>190.05</v>
      </c>
    </row>
    <row r="1592" spans="1:14">
      <c r="A1592" s="12">
        <v>1591</v>
      </c>
      <c r="B1592" s="1" t="s">
        <v>557</v>
      </c>
      <c r="C1592" s="42" t="s">
        <v>558</v>
      </c>
      <c r="D1592" s="42" t="s">
        <v>2515</v>
      </c>
      <c r="E1592" s="42" t="s">
        <v>2417</v>
      </c>
      <c r="F1592" s="4">
        <v>1314.96</v>
      </c>
      <c r="G1592" s="47" t="s">
        <v>570</v>
      </c>
      <c r="H1592" s="12">
        <v>998361</v>
      </c>
      <c r="I1592" s="4">
        <v>0</v>
      </c>
      <c r="J1592" s="4">
        <v>0</v>
      </c>
      <c r="K1592" s="4">
        <v>200.59</v>
      </c>
      <c r="L1592" s="4">
        <v>0</v>
      </c>
      <c r="M1592" s="12" t="s">
        <v>571</v>
      </c>
      <c r="N1592" s="13">
        <f t="shared" si="41"/>
        <v>200.59</v>
      </c>
    </row>
    <row r="1593" spans="1:14">
      <c r="A1593" s="12">
        <v>1592</v>
      </c>
      <c r="B1593" s="1" t="s">
        <v>557</v>
      </c>
      <c r="C1593" s="42" t="s">
        <v>558</v>
      </c>
      <c r="D1593" s="42" t="s">
        <v>2516</v>
      </c>
      <c r="E1593" s="42" t="s">
        <v>2276</v>
      </c>
      <c r="F1593" s="4">
        <v>1314.64</v>
      </c>
      <c r="G1593" s="47" t="s">
        <v>570</v>
      </c>
      <c r="H1593" s="12">
        <v>998361</v>
      </c>
      <c r="I1593" s="4">
        <v>0</v>
      </c>
      <c r="J1593" s="4">
        <v>0</v>
      </c>
      <c r="K1593" s="4">
        <v>200.54</v>
      </c>
      <c r="L1593" s="4">
        <v>0</v>
      </c>
      <c r="M1593" s="12" t="s">
        <v>571</v>
      </c>
      <c r="N1593" s="13">
        <f t="shared" si="41"/>
        <v>200.54</v>
      </c>
    </row>
    <row r="1594" spans="1:14">
      <c r="A1594" s="12">
        <v>1593</v>
      </c>
      <c r="B1594" s="1" t="s">
        <v>557</v>
      </c>
      <c r="C1594" s="42" t="s">
        <v>558</v>
      </c>
      <c r="D1594" s="42" t="s">
        <v>2517</v>
      </c>
      <c r="E1594" s="42" t="s">
        <v>2421</v>
      </c>
      <c r="F1594" s="4">
        <v>1311.52</v>
      </c>
      <c r="G1594" s="47" t="s">
        <v>570</v>
      </c>
      <c r="H1594" s="12">
        <v>998361</v>
      </c>
      <c r="I1594" s="4">
        <v>0</v>
      </c>
      <c r="J1594" s="4">
        <v>0</v>
      </c>
      <c r="K1594" s="4">
        <v>200.06</v>
      </c>
      <c r="L1594" s="4">
        <v>0</v>
      </c>
      <c r="M1594" s="12" t="s">
        <v>571</v>
      </c>
      <c r="N1594" s="13">
        <f t="shared" si="41"/>
        <v>200.06</v>
      </c>
    </row>
    <row r="1595" spans="1:14">
      <c r="A1595" s="12">
        <v>1594</v>
      </c>
      <c r="B1595" s="1" t="s">
        <v>557</v>
      </c>
      <c r="C1595" s="42" t="s">
        <v>558</v>
      </c>
      <c r="D1595" s="42" t="s">
        <v>2518</v>
      </c>
      <c r="E1595" s="42" t="s">
        <v>2295</v>
      </c>
      <c r="F1595" s="4">
        <v>1308.56</v>
      </c>
      <c r="G1595" s="47" t="s">
        <v>570</v>
      </c>
      <c r="H1595" s="12">
        <v>998361</v>
      </c>
      <c r="I1595" s="4">
        <v>0</v>
      </c>
      <c r="J1595" s="4">
        <v>0</v>
      </c>
      <c r="K1595" s="4">
        <v>199.61</v>
      </c>
      <c r="L1595" s="4">
        <v>0</v>
      </c>
      <c r="M1595" s="12" t="s">
        <v>571</v>
      </c>
      <c r="N1595" s="13">
        <f t="shared" si="41"/>
        <v>199.61</v>
      </c>
    </row>
    <row r="1596" spans="1:14">
      <c r="A1596" s="12">
        <v>1595</v>
      </c>
      <c r="B1596" s="1" t="s">
        <v>557</v>
      </c>
      <c r="C1596" s="42" t="s">
        <v>558</v>
      </c>
      <c r="D1596" s="42" t="s">
        <v>2519</v>
      </c>
      <c r="E1596" s="42" t="s">
        <v>2303</v>
      </c>
      <c r="F1596" s="4">
        <v>1304.6600000000001</v>
      </c>
      <c r="G1596" s="47" t="s">
        <v>570</v>
      </c>
      <c r="H1596" s="12">
        <v>998361</v>
      </c>
      <c r="I1596" s="4">
        <v>0</v>
      </c>
      <c r="J1596" s="4">
        <v>0</v>
      </c>
      <c r="K1596" s="4">
        <v>199.02</v>
      </c>
      <c r="L1596" s="4">
        <v>0</v>
      </c>
      <c r="M1596" s="12" t="s">
        <v>571</v>
      </c>
      <c r="N1596" s="13">
        <f t="shared" si="41"/>
        <v>199.02</v>
      </c>
    </row>
    <row r="1597" spans="1:14">
      <c r="A1597" s="12">
        <v>1596</v>
      </c>
      <c r="B1597" s="1" t="s">
        <v>557</v>
      </c>
      <c r="C1597" s="42" t="s">
        <v>558</v>
      </c>
      <c r="D1597" s="42" t="s">
        <v>2520</v>
      </c>
      <c r="E1597" s="42" t="s">
        <v>2267</v>
      </c>
      <c r="F1597" s="4">
        <v>1304.8599999999999</v>
      </c>
      <c r="G1597" s="47" t="s">
        <v>570</v>
      </c>
      <c r="H1597" s="12">
        <v>998361</v>
      </c>
      <c r="I1597" s="4">
        <v>0</v>
      </c>
      <c r="J1597" s="4">
        <v>0</v>
      </c>
      <c r="K1597" s="4">
        <v>199.05</v>
      </c>
      <c r="L1597" s="4">
        <v>0</v>
      </c>
      <c r="M1597" s="12" t="s">
        <v>571</v>
      </c>
      <c r="N1597" s="13">
        <f t="shared" si="41"/>
        <v>199.05</v>
      </c>
    </row>
    <row r="1598" spans="1:14">
      <c r="A1598" s="12">
        <v>1597</v>
      </c>
      <c r="B1598" s="1" t="s">
        <v>557</v>
      </c>
      <c r="C1598" s="42" t="s">
        <v>558</v>
      </c>
      <c r="D1598" s="42" t="s">
        <v>2521</v>
      </c>
      <c r="E1598" s="42" t="s">
        <v>2264</v>
      </c>
      <c r="F1598" s="4">
        <v>1226.81</v>
      </c>
      <c r="G1598" s="47" t="s">
        <v>570</v>
      </c>
      <c r="H1598" s="12">
        <v>998361</v>
      </c>
      <c r="I1598" s="4">
        <v>0</v>
      </c>
      <c r="J1598" s="4">
        <v>0</v>
      </c>
      <c r="K1598" s="4">
        <v>187.14</v>
      </c>
      <c r="L1598" s="4">
        <v>0</v>
      </c>
      <c r="M1598" s="12" t="s">
        <v>571</v>
      </c>
      <c r="N1598" s="13">
        <f t="shared" si="41"/>
        <v>187.14</v>
      </c>
    </row>
    <row r="1599" spans="1:14">
      <c r="A1599" s="12">
        <v>1598</v>
      </c>
      <c r="B1599" s="1" t="s">
        <v>557</v>
      </c>
      <c r="C1599" s="42" t="s">
        <v>558</v>
      </c>
      <c r="D1599" s="42" t="s">
        <v>2522</v>
      </c>
      <c r="E1599" s="42" t="s">
        <v>2523</v>
      </c>
      <c r="F1599" s="4">
        <v>108.55</v>
      </c>
      <c r="G1599" s="47" t="s">
        <v>570</v>
      </c>
      <c r="H1599" s="12">
        <v>998361</v>
      </c>
      <c r="I1599" s="4">
        <v>0</v>
      </c>
      <c r="J1599" s="4">
        <v>0</v>
      </c>
      <c r="K1599" s="4">
        <v>16.559999999999999</v>
      </c>
      <c r="L1599" s="4">
        <v>0</v>
      </c>
      <c r="M1599" s="12" t="s">
        <v>571</v>
      </c>
      <c r="N1599" s="13">
        <f t="shared" si="41"/>
        <v>16.559999999999999</v>
      </c>
    </row>
    <row r="1600" spans="1:14">
      <c r="A1600" s="12">
        <v>1599</v>
      </c>
      <c r="B1600" s="1" t="s">
        <v>557</v>
      </c>
      <c r="C1600" s="42" t="s">
        <v>558</v>
      </c>
      <c r="D1600" s="42" t="s">
        <v>2524</v>
      </c>
      <c r="E1600" s="42" t="s">
        <v>2305</v>
      </c>
      <c r="F1600" s="4">
        <v>1798.7</v>
      </c>
      <c r="G1600" s="47" t="s">
        <v>570</v>
      </c>
      <c r="H1600" s="12">
        <v>998361</v>
      </c>
      <c r="I1600" s="4">
        <v>0</v>
      </c>
      <c r="J1600" s="4">
        <v>0</v>
      </c>
      <c r="K1600" s="4">
        <v>274.38</v>
      </c>
      <c r="L1600" s="4">
        <v>0</v>
      </c>
      <c r="M1600" s="12" t="s">
        <v>571</v>
      </c>
      <c r="N1600" s="13">
        <f t="shared" si="41"/>
        <v>274.38</v>
      </c>
    </row>
    <row r="1601" spans="1:14">
      <c r="A1601" s="12">
        <v>1600</v>
      </c>
      <c r="B1601" s="1" t="s">
        <v>557</v>
      </c>
      <c r="C1601" s="42" t="s">
        <v>558</v>
      </c>
      <c r="D1601" s="42" t="s">
        <v>2525</v>
      </c>
      <c r="E1601" s="42" t="s">
        <v>2438</v>
      </c>
      <c r="F1601" s="4">
        <v>2108.81</v>
      </c>
      <c r="G1601" s="47" t="s">
        <v>570</v>
      </c>
      <c r="H1601" s="12">
        <v>998361</v>
      </c>
      <c r="I1601" s="4">
        <v>0</v>
      </c>
      <c r="J1601" s="4">
        <v>0</v>
      </c>
      <c r="K1601" s="4">
        <v>321.68</v>
      </c>
      <c r="L1601" s="4">
        <v>0</v>
      </c>
      <c r="M1601" s="12" t="s">
        <v>571</v>
      </c>
      <c r="N1601" s="13">
        <f t="shared" si="41"/>
        <v>321.68</v>
      </c>
    </row>
    <row r="1602" spans="1:14">
      <c r="A1602" s="12">
        <v>1601</v>
      </c>
      <c r="B1602" s="1" t="s">
        <v>557</v>
      </c>
      <c r="C1602" s="42" t="s">
        <v>558</v>
      </c>
      <c r="D1602" s="42" t="s">
        <v>2526</v>
      </c>
      <c r="E1602" s="42" t="s">
        <v>2442</v>
      </c>
      <c r="F1602" s="4">
        <v>2111.14</v>
      </c>
      <c r="G1602" s="47" t="s">
        <v>570</v>
      </c>
      <c r="H1602" s="12">
        <v>998361</v>
      </c>
      <c r="I1602" s="4">
        <v>0</v>
      </c>
      <c r="J1602" s="4">
        <v>0</v>
      </c>
      <c r="K1602" s="4">
        <v>322.04000000000002</v>
      </c>
      <c r="L1602" s="4">
        <v>0</v>
      </c>
      <c r="M1602" s="12" t="s">
        <v>571</v>
      </c>
      <c r="N1602" s="13">
        <f t="shared" si="41"/>
        <v>322.04000000000002</v>
      </c>
    </row>
    <row r="1603" spans="1:14">
      <c r="A1603" s="12">
        <v>1602</v>
      </c>
      <c r="B1603" s="1" t="s">
        <v>557</v>
      </c>
      <c r="C1603" s="42" t="s">
        <v>558</v>
      </c>
      <c r="D1603" s="42" t="s">
        <v>2527</v>
      </c>
      <c r="E1603" s="42" t="s">
        <v>2307</v>
      </c>
      <c r="F1603" s="4">
        <v>2102.98</v>
      </c>
      <c r="G1603" s="47" t="s">
        <v>570</v>
      </c>
      <c r="H1603" s="12">
        <v>998361</v>
      </c>
      <c r="I1603" s="4">
        <v>0</v>
      </c>
      <c r="J1603" s="4">
        <v>0</v>
      </c>
      <c r="K1603" s="4">
        <v>320.79000000000002</v>
      </c>
      <c r="L1603" s="4">
        <v>0</v>
      </c>
      <c r="M1603" s="12" t="s">
        <v>571</v>
      </c>
      <c r="N1603" s="13">
        <f t="shared" si="41"/>
        <v>320.79000000000002</v>
      </c>
    </row>
    <row r="1604" spans="1:14">
      <c r="A1604" s="12">
        <v>1603</v>
      </c>
      <c r="B1604" s="1" t="s">
        <v>557</v>
      </c>
      <c r="C1604" s="42" t="s">
        <v>558</v>
      </c>
      <c r="D1604" s="42" t="s">
        <v>2528</v>
      </c>
      <c r="E1604" s="42" t="s">
        <v>2446</v>
      </c>
      <c r="F1604" s="4">
        <v>2050.1</v>
      </c>
      <c r="G1604" s="47" t="s">
        <v>570</v>
      </c>
      <c r="H1604" s="12">
        <v>998361</v>
      </c>
      <c r="I1604" s="4">
        <v>0</v>
      </c>
      <c r="J1604" s="4">
        <v>0</v>
      </c>
      <c r="K1604" s="4">
        <v>312.73</v>
      </c>
      <c r="L1604" s="4">
        <v>0</v>
      </c>
      <c r="M1604" s="12" t="s">
        <v>571</v>
      </c>
      <c r="N1604" s="13">
        <f t="shared" ref="N1604:N1637" si="42">SUM(I1604:K1604)</f>
        <v>312.73</v>
      </c>
    </row>
    <row r="1605" spans="1:14">
      <c r="A1605" s="12">
        <v>1604</v>
      </c>
      <c r="B1605" s="1" t="s">
        <v>557</v>
      </c>
      <c r="C1605" s="42" t="s">
        <v>558</v>
      </c>
      <c r="D1605" s="42" t="s">
        <v>2529</v>
      </c>
      <c r="E1605" s="42" t="s">
        <v>2285</v>
      </c>
      <c r="F1605" s="4">
        <v>1998.93</v>
      </c>
      <c r="G1605" s="47" t="s">
        <v>570</v>
      </c>
      <c r="H1605" s="12">
        <v>998361</v>
      </c>
      <c r="I1605" s="4">
        <v>0</v>
      </c>
      <c r="J1605" s="4">
        <v>0</v>
      </c>
      <c r="K1605" s="4">
        <v>304.92</v>
      </c>
      <c r="L1605" s="4">
        <v>0</v>
      </c>
      <c r="M1605" s="12" t="s">
        <v>571</v>
      </c>
      <c r="N1605" s="13">
        <f t="shared" si="42"/>
        <v>304.92</v>
      </c>
    </row>
    <row r="1606" spans="1:14">
      <c r="A1606" s="12">
        <v>1605</v>
      </c>
      <c r="B1606" s="1" t="s">
        <v>557</v>
      </c>
      <c r="C1606" s="42" t="s">
        <v>558</v>
      </c>
      <c r="D1606" s="42" t="s">
        <v>2530</v>
      </c>
      <c r="E1606" s="42" t="s">
        <v>2298</v>
      </c>
      <c r="F1606" s="4">
        <v>1940.09</v>
      </c>
      <c r="G1606" s="47" t="s">
        <v>570</v>
      </c>
      <c r="H1606" s="12">
        <v>998361</v>
      </c>
      <c r="I1606" s="4">
        <v>0</v>
      </c>
      <c r="J1606" s="4">
        <v>0</v>
      </c>
      <c r="K1606" s="4">
        <v>295.95</v>
      </c>
      <c r="L1606" s="4">
        <v>0</v>
      </c>
      <c r="M1606" s="12" t="s">
        <v>571</v>
      </c>
      <c r="N1606" s="13">
        <f t="shared" si="42"/>
        <v>295.95</v>
      </c>
    </row>
    <row r="1607" spans="1:14">
      <c r="A1607" s="12">
        <v>1606</v>
      </c>
      <c r="B1607" s="1" t="s">
        <v>557</v>
      </c>
      <c r="C1607" s="42" t="s">
        <v>558</v>
      </c>
      <c r="D1607" s="42" t="s">
        <v>2531</v>
      </c>
      <c r="E1607" s="42" t="s">
        <v>2453</v>
      </c>
      <c r="F1607" s="4">
        <v>907.25</v>
      </c>
      <c r="G1607" s="47" t="s">
        <v>570</v>
      </c>
      <c r="H1607" s="12">
        <v>998361</v>
      </c>
      <c r="I1607" s="4">
        <v>0</v>
      </c>
      <c r="J1607" s="4">
        <v>0</v>
      </c>
      <c r="K1607" s="4">
        <v>138.38999999999999</v>
      </c>
      <c r="L1607" s="4">
        <v>0</v>
      </c>
      <c r="M1607" s="12" t="s">
        <v>571</v>
      </c>
      <c r="N1607" s="13">
        <f t="shared" si="42"/>
        <v>138.38999999999999</v>
      </c>
    </row>
    <row r="1608" spans="1:14">
      <c r="A1608" s="12">
        <v>1607</v>
      </c>
      <c r="B1608" s="1" t="s">
        <v>557</v>
      </c>
      <c r="C1608" s="42" t="s">
        <v>558</v>
      </c>
      <c r="D1608" s="42" t="s">
        <v>2532</v>
      </c>
      <c r="E1608" s="42" t="s">
        <v>2242</v>
      </c>
      <c r="F1608" s="4">
        <v>2035.72</v>
      </c>
      <c r="G1608" s="47" t="s">
        <v>570</v>
      </c>
      <c r="H1608" s="12">
        <v>998361</v>
      </c>
      <c r="I1608" s="4">
        <v>0</v>
      </c>
      <c r="J1608" s="4">
        <v>0</v>
      </c>
      <c r="K1608" s="4">
        <v>310.52999999999997</v>
      </c>
      <c r="L1608" s="4">
        <v>0</v>
      </c>
      <c r="M1608" s="12" t="s">
        <v>571</v>
      </c>
      <c r="N1608" s="13">
        <f t="shared" si="42"/>
        <v>310.52999999999997</v>
      </c>
    </row>
    <row r="1609" spans="1:14">
      <c r="A1609" s="12">
        <v>1608</v>
      </c>
      <c r="B1609" s="1" t="s">
        <v>557</v>
      </c>
      <c r="C1609" s="42" t="s">
        <v>558</v>
      </c>
      <c r="D1609" s="42" t="s">
        <v>2533</v>
      </c>
      <c r="E1609" s="42" t="s">
        <v>2287</v>
      </c>
      <c r="F1609" s="4">
        <v>2122.9</v>
      </c>
      <c r="G1609" s="47" t="s">
        <v>570</v>
      </c>
      <c r="H1609" s="12">
        <v>998361</v>
      </c>
      <c r="I1609" s="4">
        <v>0</v>
      </c>
      <c r="J1609" s="4">
        <v>0</v>
      </c>
      <c r="K1609" s="4">
        <v>323.83</v>
      </c>
      <c r="L1609" s="4">
        <v>0</v>
      </c>
      <c r="M1609" s="12" t="s">
        <v>571</v>
      </c>
      <c r="N1609" s="13">
        <f t="shared" si="42"/>
        <v>323.83</v>
      </c>
    </row>
    <row r="1610" spans="1:14">
      <c r="A1610" s="12">
        <v>1609</v>
      </c>
      <c r="B1610" s="1" t="s">
        <v>557</v>
      </c>
      <c r="C1610" s="42" t="s">
        <v>558</v>
      </c>
      <c r="D1610" s="42" t="s">
        <v>2534</v>
      </c>
      <c r="E1610" s="42" t="s">
        <v>2248</v>
      </c>
      <c r="F1610" s="4">
        <v>2111.54</v>
      </c>
      <c r="G1610" s="47" t="s">
        <v>570</v>
      </c>
      <c r="H1610" s="12">
        <v>998361</v>
      </c>
      <c r="I1610" s="4">
        <v>0</v>
      </c>
      <c r="J1610" s="4">
        <v>0</v>
      </c>
      <c r="K1610" s="4">
        <v>322.10000000000002</v>
      </c>
      <c r="L1610" s="4">
        <v>0</v>
      </c>
      <c r="M1610" s="12" t="s">
        <v>571</v>
      </c>
      <c r="N1610" s="13">
        <f t="shared" si="42"/>
        <v>322.10000000000002</v>
      </c>
    </row>
    <row r="1611" spans="1:14">
      <c r="A1611" s="12">
        <v>1610</v>
      </c>
      <c r="B1611" s="1" t="s">
        <v>557</v>
      </c>
      <c r="C1611" s="42" t="s">
        <v>558</v>
      </c>
      <c r="D1611" s="42" t="s">
        <v>2535</v>
      </c>
      <c r="E1611" s="42" t="s">
        <v>2327</v>
      </c>
      <c r="F1611" s="4">
        <v>2079.5500000000002</v>
      </c>
      <c r="G1611" s="47" t="s">
        <v>570</v>
      </c>
      <c r="H1611" s="12">
        <v>998361</v>
      </c>
      <c r="I1611" s="4">
        <v>0</v>
      </c>
      <c r="J1611" s="4">
        <v>0</v>
      </c>
      <c r="K1611" s="4">
        <v>317.22000000000003</v>
      </c>
      <c r="L1611" s="4">
        <v>0</v>
      </c>
      <c r="M1611" s="12" t="s">
        <v>571</v>
      </c>
      <c r="N1611" s="13">
        <f t="shared" si="42"/>
        <v>317.22000000000003</v>
      </c>
    </row>
    <row r="1612" spans="1:14">
      <c r="A1612" s="12">
        <v>1611</v>
      </c>
      <c r="B1612" s="1" t="s">
        <v>557</v>
      </c>
      <c r="C1612" s="42" t="s">
        <v>558</v>
      </c>
      <c r="D1612" s="42" t="s">
        <v>2536</v>
      </c>
      <c r="E1612" s="42" t="s">
        <v>2254</v>
      </c>
      <c r="F1612" s="4">
        <v>2018.94</v>
      </c>
      <c r="G1612" s="47" t="s">
        <v>570</v>
      </c>
      <c r="H1612" s="12">
        <v>998361</v>
      </c>
      <c r="I1612" s="4">
        <v>0</v>
      </c>
      <c r="J1612" s="4">
        <v>0</v>
      </c>
      <c r="K1612" s="4">
        <v>307.97000000000003</v>
      </c>
      <c r="L1612" s="4">
        <v>0</v>
      </c>
      <c r="M1612" s="12" t="s">
        <v>571</v>
      </c>
      <c r="N1612" s="13">
        <f t="shared" si="42"/>
        <v>307.97000000000003</v>
      </c>
    </row>
    <row r="1613" spans="1:14">
      <c r="A1613" s="12">
        <v>1612</v>
      </c>
      <c r="B1613" s="1" t="s">
        <v>2537</v>
      </c>
      <c r="C1613" s="42" t="s">
        <v>2538</v>
      </c>
      <c r="D1613" s="42" t="s">
        <v>2539</v>
      </c>
      <c r="E1613" s="42" t="s">
        <v>2242</v>
      </c>
      <c r="F1613" s="4">
        <v>4720</v>
      </c>
      <c r="G1613" s="47" t="s">
        <v>570</v>
      </c>
      <c r="H1613" s="12">
        <v>440366</v>
      </c>
      <c r="I1613" s="4">
        <v>360</v>
      </c>
      <c r="J1613" s="4">
        <v>360</v>
      </c>
      <c r="K1613" s="4">
        <v>0</v>
      </c>
      <c r="L1613" s="4">
        <v>0</v>
      </c>
      <c r="M1613" s="12" t="s">
        <v>571</v>
      </c>
      <c r="N1613" s="13">
        <f t="shared" si="42"/>
        <v>720</v>
      </c>
    </row>
    <row r="1614" spans="1:14">
      <c r="A1614" s="12">
        <v>1613</v>
      </c>
      <c r="B1614" s="1" t="s">
        <v>1737</v>
      </c>
      <c r="C1614" s="42" t="s">
        <v>1738</v>
      </c>
      <c r="D1614" s="42" t="s">
        <v>2540</v>
      </c>
      <c r="E1614" s="42" t="s">
        <v>2254</v>
      </c>
      <c r="F1614" s="4">
        <v>20296</v>
      </c>
      <c r="G1614" s="47" t="s">
        <v>60</v>
      </c>
      <c r="H1614" s="12">
        <v>4911</v>
      </c>
      <c r="I1614" s="4">
        <v>1548</v>
      </c>
      <c r="J1614" s="4">
        <v>1548</v>
      </c>
      <c r="K1614" s="4">
        <v>0</v>
      </c>
      <c r="L1614" s="4">
        <v>0</v>
      </c>
      <c r="M1614" s="12" t="s">
        <v>571</v>
      </c>
      <c r="N1614" s="13">
        <f t="shared" si="42"/>
        <v>3096</v>
      </c>
    </row>
    <row r="1615" spans="1:14">
      <c r="A1615" s="12">
        <v>1614</v>
      </c>
      <c r="B1615" s="1" t="s">
        <v>2541</v>
      </c>
      <c r="C1615" s="42" t="s">
        <v>2542</v>
      </c>
      <c r="D1615" s="42" t="s">
        <v>2543</v>
      </c>
      <c r="E1615" s="42" t="s">
        <v>2318</v>
      </c>
      <c r="F1615" s="4">
        <v>41160</v>
      </c>
      <c r="G1615" s="47" t="s">
        <v>60</v>
      </c>
      <c r="H1615" s="29" t="s">
        <v>1700</v>
      </c>
      <c r="I1615" s="4">
        <v>0</v>
      </c>
      <c r="J1615" s="4">
        <v>0</v>
      </c>
      <c r="K1615" s="4">
        <v>1960</v>
      </c>
      <c r="L1615" s="4">
        <v>0</v>
      </c>
      <c r="M1615" s="12" t="s">
        <v>571</v>
      </c>
      <c r="N1615" s="13">
        <f t="shared" si="42"/>
        <v>1960</v>
      </c>
    </row>
    <row r="1616" spans="1:14">
      <c r="A1616" s="12">
        <v>1615</v>
      </c>
      <c r="B1616" s="1" t="s">
        <v>2541</v>
      </c>
      <c r="C1616" s="42" t="s">
        <v>2542</v>
      </c>
      <c r="D1616" s="42" t="s">
        <v>2544</v>
      </c>
      <c r="E1616" s="42" t="s">
        <v>2258</v>
      </c>
      <c r="F1616" s="4">
        <v>24570</v>
      </c>
      <c r="G1616" s="47" t="s">
        <v>60</v>
      </c>
      <c r="H1616" s="29" t="s">
        <v>1700</v>
      </c>
      <c r="I1616" s="4">
        <v>0</v>
      </c>
      <c r="J1616" s="4">
        <v>0</v>
      </c>
      <c r="K1616" s="4">
        <v>1170</v>
      </c>
      <c r="L1616" s="4">
        <v>0</v>
      </c>
      <c r="M1616" s="12" t="s">
        <v>571</v>
      </c>
      <c r="N1616" s="13">
        <f t="shared" si="42"/>
        <v>1170</v>
      </c>
    </row>
    <row r="1617" spans="1:14">
      <c r="A1617" s="12">
        <v>1616</v>
      </c>
      <c r="B1617" s="1" t="s">
        <v>2003</v>
      </c>
      <c r="C1617" s="42" t="s">
        <v>2004</v>
      </c>
      <c r="D1617" s="42" t="s">
        <v>2545</v>
      </c>
      <c r="E1617" s="42" t="s">
        <v>2267</v>
      </c>
      <c r="F1617" s="4">
        <v>2227</v>
      </c>
      <c r="G1617" s="47" t="s">
        <v>570</v>
      </c>
      <c r="H1617" s="12">
        <v>9983</v>
      </c>
      <c r="I1617" s="4">
        <v>169.86</v>
      </c>
      <c r="J1617" s="4">
        <v>169.86</v>
      </c>
      <c r="K1617" s="4">
        <v>0</v>
      </c>
      <c r="L1617" s="4">
        <v>0</v>
      </c>
      <c r="M1617" s="12" t="s">
        <v>571</v>
      </c>
      <c r="N1617" s="13">
        <f t="shared" si="42"/>
        <v>339.72</v>
      </c>
    </row>
    <row r="1618" spans="1:14">
      <c r="A1618" s="12">
        <v>1617</v>
      </c>
      <c r="B1618" s="1" t="s">
        <v>1740</v>
      </c>
      <c r="C1618" s="42" t="s">
        <v>1741</v>
      </c>
      <c r="D1618" s="42" t="s">
        <v>2546</v>
      </c>
      <c r="E1618" s="42" t="s">
        <v>2403</v>
      </c>
      <c r="F1618" s="4">
        <v>14990</v>
      </c>
      <c r="G1618" s="47" t="s">
        <v>60</v>
      </c>
      <c r="H1618" s="29" t="s">
        <v>1700</v>
      </c>
      <c r="I1618" s="4">
        <v>0</v>
      </c>
      <c r="J1618" s="4">
        <v>0</v>
      </c>
      <c r="K1618" s="4">
        <v>690</v>
      </c>
      <c r="L1618" s="4">
        <v>0</v>
      </c>
      <c r="M1618" s="12" t="s">
        <v>571</v>
      </c>
      <c r="N1618" s="13">
        <f t="shared" si="42"/>
        <v>690</v>
      </c>
    </row>
    <row r="1619" spans="1:14">
      <c r="A1619" s="12">
        <v>1618</v>
      </c>
      <c r="B1619" s="1" t="s">
        <v>1740</v>
      </c>
      <c r="C1619" s="42" t="s">
        <v>1741</v>
      </c>
      <c r="D1619" s="42" t="s">
        <v>2547</v>
      </c>
      <c r="E1619" s="42" t="s">
        <v>2442</v>
      </c>
      <c r="F1619" s="4">
        <v>13511</v>
      </c>
      <c r="G1619" s="47" t="s">
        <v>60</v>
      </c>
      <c r="H1619" s="29" t="s">
        <v>1700</v>
      </c>
      <c r="I1619" s="4">
        <v>0</v>
      </c>
      <c r="J1619" s="4">
        <v>0</v>
      </c>
      <c r="K1619" s="4">
        <v>606.25</v>
      </c>
      <c r="L1619" s="4">
        <v>0</v>
      </c>
      <c r="M1619" s="12" t="s">
        <v>571</v>
      </c>
      <c r="N1619" s="13">
        <f t="shared" si="42"/>
        <v>606.25</v>
      </c>
    </row>
    <row r="1620" spans="1:14">
      <c r="A1620" s="12">
        <v>1619</v>
      </c>
      <c r="B1620" s="1" t="s">
        <v>2296</v>
      </c>
      <c r="C1620" s="42" t="s">
        <v>587</v>
      </c>
      <c r="D1620" s="42" t="s">
        <v>2548</v>
      </c>
      <c r="E1620" s="42" t="s">
        <v>2298</v>
      </c>
      <c r="F1620" s="12">
        <v>-210</v>
      </c>
      <c r="G1620" s="47" t="s">
        <v>570</v>
      </c>
      <c r="H1620" s="12">
        <v>440362</v>
      </c>
      <c r="I1620" s="12">
        <v>0</v>
      </c>
      <c r="J1620" s="12">
        <v>0</v>
      </c>
      <c r="K1620" s="12">
        <v>-10</v>
      </c>
      <c r="L1620" s="4">
        <v>0</v>
      </c>
      <c r="M1620" s="12" t="s">
        <v>571</v>
      </c>
      <c r="N1620" s="13">
        <f t="shared" si="42"/>
        <v>-10</v>
      </c>
    </row>
    <row r="1621" spans="1:14">
      <c r="A1621" s="12">
        <v>1620</v>
      </c>
      <c r="B1621" s="1" t="s">
        <v>2299</v>
      </c>
      <c r="C1621" s="42" t="s">
        <v>2300</v>
      </c>
      <c r="D1621" s="42" t="s">
        <v>1101</v>
      </c>
      <c r="E1621" s="42" t="s">
        <v>2248</v>
      </c>
      <c r="F1621" s="12">
        <v>-12586</v>
      </c>
      <c r="G1621" s="47" t="s">
        <v>60</v>
      </c>
      <c r="H1621" s="12">
        <v>4514</v>
      </c>
      <c r="I1621" s="12">
        <v>0</v>
      </c>
      <c r="J1621" s="12">
        <v>0</v>
      </c>
      <c r="K1621" s="12">
        <v>-1919.88</v>
      </c>
      <c r="L1621" s="4">
        <v>0</v>
      </c>
      <c r="M1621" s="12" t="s">
        <v>571</v>
      </c>
      <c r="N1621" s="13">
        <f t="shared" si="42"/>
        <v>-1919.88</v>
      </c>
    </row>
    <row r="1622" spans="1:14">
      <c r="A1622" s="12">
        <v>1621</v>
      </c>
      <c r="B1622" s="1" t="s">
        <v>2299</v>
      </c>
      <c r="C1622" s="42" t="s">
        <v>2300</v>
      </c>
      <c r="D1622" s="42" t="s">
        <v>2549</v>
      </c>
      <c r="E1622" s="42" t="s">
        <v>2248</v>
      </c>
      <c r="F1622" s="12">
        <v>-12584</v>
      </c>
      <c r="G1622" s="47" t="s">
        <v>60</v>
      </c>
      <c r="H1622" s="12">
        <v>4514</v>
      </c>
      <c r="I1622" s="12">
        <v>0</v>
      </c>
      <c r="J1622" s="12">
        <v>0</v>
      </c>
      <c r="K1622" s="12">
        <v>-1919.88</v>
      </c>
      <c r="L1622" s="4">
        <v>0</v>
      </c>
      <c r="M1622" s="12" t="s">
        <v>571</v>
      </c>
      <c r="N1622" s="13">
        <f t="shared" si="42"/>
        <v>-1919.88</v>
      </c>
    </row>
    <row r="1623" spans="1:14">
      <c r="A1623" s="12">
        <v>1622</v>
      </c>
      <c r="B1623" s="1" t="s">
        <v>1807</v>
      </c>
      <c r="C1623" s="42" t="s">
        <v>1808</v>
      </c>
      <c r="D1623" s="42" t="s">
        <v>294</v>
      </c>
      <c r="E1623" s="42" t="s">
        <v>2327</v>
      </c>
      <c r="F1623" s="12">
        <v>-890</v>
      </c>
      <c r="G1623" s="47" t="s">
        <v>60</v>
      </c>
      <c r="H1623" s="29" t="s">
        <v>1810</v>
      </c>
      <c r="I1623" s="12">
        <v>-21.19</v>
      </c>
      <c r="J1623" s="12">
        <v>-21.19</v>
      </c>
      <c r="K1623" s="12">
        <v>0</v>
      </c>
      <c r="L1623" s="4">
        <v>0</v>
      </c>
      <c r="M1623" s="12" t="s">
        <v>571</v>
      </c>
      <c r="N1623" s="13">
        <f t="shared" si="42"/>
        <v>-42.38</v>
      </c>
    </row>
    <row r="1624" spans="1:14">
      <c r="A1624" s="12">
        <v>1623</v>
      </c>
      <c r="B1624" s="1" t="s">
        <v>2550</v>
      </c>
      <c r="C1624" s="42" t="s">
        <v>2551</v>
      </c>
      <c r="D1624" s="42" t="s">
        <v>2552</v>
      </c>
      <c r="E1624" s="42" t="s">
        <v>2307</v>
      </c>
      <c r="F1624" s="12">
        <v>-708</v>
      </c>
      <c r="G1624" s="47" t="s">
        <v>570</v>
      </c>
      <c r="H1624" s="12">
        <v>998319</v>
      </c>
      <c r="I1624" s="12">
        <v>0</v>
      </c>
      <c r="J1624" s="12">
        <v>0</v>
      </c>
      <c r="K1624" s="12">
        <v>-108</v>
      </c>
      <c r="L1624" s="4">
        <v>0</v>
      </c>
      <c r="M1624" s="12" t="s">
        <v>571</v>
      </c>
      <c r="N1624" s="13">
        <f t="shared" si="42"/>
        <v>-108</v>
      </c>
    </row>
    <row r="1625" spans="1:14">
      <c r="A1625" s="12">
        <v>1624</v>
      </c>
      <c r="B1625" s="1" t="s">
        <v>1824</v>
      </c>
      <c r="C1625" s="42" t="s">
        <v>1825</v>
      </c>
      <c r="D1625" s="42" t="s">
        <v>2553</v>
      </c>
      <c r="E1625" s="42" t="s">
        <v>2295</v>
      </c>
      <c r="F1625" s="12">
        <v>-376.08</v>
      </c>
      <c r="G1625" s="47" t="s">
        <v>570</v>
      </c>
      <c r="H1625" s="12">
        <v>997159</v>
      </c>
      <c r="I1625" s="12">
        <v>0</v>
      </c>
      <c r="J1625" s="12">
        <v>0</v>
      </c>
      <c r="K1625" s="12">
        <v>-57.36</v>
      </c>
      <c r="L1625" s="4">
        <v>0</v>
      </c>
      <c r="M1625" s="12" t="s">
        <v>571</v>
      </c>
      <c r="N1625" s="13">
        <f t="shared" si="42"/>
        <v>-57.36</v>
      </c>
    </row>
    <row r="1626" spans="1:14">
      <c r="A1626" s="12">
        <v>1625</v>
      </c>
      <c r="B1626" s="1" t="s">
        <v>1824</v>
      </c>
      <c r="C1626" s="42" t="s">
        <v>1825</v>
      </c>
      <c r="D1626" s="42" t="s">
        <v>2554</v>
      </c>
      <c r="E1626" s="42" t="s">
        <v>2285</v>
      </c>
      <c r="F1626" s="12">
        <v>-562.86</v>
      </c>
      <c r="G1626" s="47" t="s">
        <v>570</v>
      </c>
      <c r="H1626" s="12">
        <v>997159</v>
      </c>
      <c r="I1626" s="12">
        <v>0</v>
      </c>
      <c r="J1626" s="12">
        <v>0</v>
      </c>
      <c r="K1626" s="12">
        <v>-85.86</v>
      </c>
      <c r="L1626" s="4">
        <v>0</v>
      </c>
      <c r="M1626" s="12" t="s">
        <v>571</v>
      </c>
      <c r="N1626" s="13">
        <f t="shared" si="42"/>
        <v>-85.86</v>
      </c>
    </row>
    <row r="1627" spans="1:14">
      <c r="A1627" s="12">
        <v>1626</v>
      </c>
      <c r="B1627" s="1" t="s">
        <v>1824</v>
      </c>
      <c r="C1627" s="42" t="s">
        <v>1825</v>
      </c>
      <c r="D1627" s="42" t="s">
        <v>2555</v>
      </c>
      <c r="E1627" s="42" t="s">
        <v>2287</v>
      </c>
      <c r="F1627" s="12">
        <v>-779.85</v>
      </c>
      <c r="G1627" s="47" t="s">
        <v>570</v>
      </c>
      <c r="H1627" s="12">
        <v>997159</v>
      </c>
      <c r="I1627" s="12">
        <v>0</v>
      </c>
      <c r="J1627" s="12">
        <v>0</v>
      </c>
      <c r="K1627" s="12">
        <v>-118.96</v>
      </c>
      <c r="L1627" s="4">
        <v>0</v>
      </c>
      <c r="M1627" s="12" t="s">
        <v>571</v>
      </c>
      <c r="N1627" s="13">
        <f t="shared" si="42"/>
        <v>-118.96</v>
      </c>
    </row>
    <row r="1628" spans="1:14">
      <c r="A1628" s="12">
        <v>1627</v>
      </c>
      <c r="B1628" s="1" t="s">
        <v>1824</v>
      </c>
      <c r="C1628" s="42" t="s">
        <v>1825</v>
      </c>
      <c r="D1628" s="42" t="s">
        <v>2556</v>
      </c>
      <c r="E1628" s="42" t="s">
        <v>2327</v>
      </c>
      <c r="F1628" s="12">
        <v>-374.5</v>
      </c>
      <c r="G1628" s="47" t="s">
        <v>570</v>
      </c>
      <c r="H1628" s="12">
        <v>997159</v>
      </c>
      <c r="I1628" s="12">
        <v>0</v>
      </c>
      <c r="J1628" s="12">
        <v>0</v>
      </c>
      <c r="K1628" s="12">
        <v>-57.12</v>
      </c>
      <c r="L1628" s="4">
        <v>0</v>
      </c>
      <c r="M1628" s="12" t="s">
        <v>571</v>
      </c>
      <c r="N1628" s="13">
        <f t="shared" si="42"/>
        <v>-57.12</v>
      </c>
    </row>
    <row r="1629" spans="1:14">
      <c r="A1629" s="12">
        <v>1628</v>
      </c>
      <c r="B1629" s="1" t="s">
        <v>1836</v>
      </c>
      <c r="C1629" s="42" t="s">
        <v>1837</v>
      </c>
      <c r="D1629" s="42" t="s">
        <v>2557</v>
      </c>
      <c r="E1629" s="42" t="s">
        <v>2558</v>
      </c>
      <c r="F1629" s="4">
        <v>1000.64</v>
      </c>
      <c r="G1629" s="47" t="s">
        <v>570</v>
      </c>
      <c r="H1629" s="29" t="s">
        <v>1839</v>
      </c>
      <c r="I1629" s="4">
        <v>76.319999999999993</v>
      </c>
      <c r="J1629" s="4">
        <v>76.319999999999993</v>
      </c>
      <c r="K1629" s="4">
        <v>0</v>
      </c>
      <c r="L1629" s="4">
        <v>0</v>
      </c>
      <c r="M1629" s="12" t="s">
        <v>571</v>
      </c>
      <c r="N1629" s="13">
        <f t="shared" si="42"/>
        <v>152.63999999999999</v>
      </c>
    </row>
    <row r="1630" spans="1:14">
      <c r="A1630" s="12">
        <v>1629</v>
      </c>
      <c r="B1630" s="1" t="s">
        <v>1836</v>
      </c>
      <c r="C1630" s="42" t="s">
        <v>1837</v>
      </c>
      <c r="D1630" s="42" t="s">
        <v>2559</v>
      </c>
      <c r="E1630" s="42" t="s">
        <v>2560</v>
      </c>
      <c r="F1630" s="4">
        <v>1242.54</v>
      </c>
      <c r="G1630" s="47" t="s">
        <v>570</v>
      </c>
      <c r="H1630" s="29" t="s">
        <v>1839</v>
      </c>
      <c r="I1630" s="4">
        <v>94.77</v>
      </c>
      <c r="J1630" s="4">
        <v>94.77</v>
      </c>
      <c r="K1630" s="4">
        <v>0</v>
      </c>
      <c r="L1630" s="4">
        <v>0</v>
      </c>
      <c r="M1630" s="12" t="s">
        <v>571</v>
      </c>
      <c r="N1630" s="13">
        <f t="shared" si="42"/>
        <v>189.54</v>
      </c>
    </row>
    <row r="1631" spans="1:14">
      <c r="A1631" s="12">
        <v>1630</v>
      </c>
      <c r="B1631" s="1" t="s">
        <v>2561</v>
      </c>
      <c r="C1631" s="42" t="s">
        <v>2562</v>
      </c>
      <c r="D1631" s="42" t="s">
        <v>2563</v>
      </c>
      <c r="E1631" s="42" t="s">
        <v>2152</v>
      </c>
      <c r="F1631" s="4">
        <v>299</v>
      </c>
      <c r="G1631" s="47" t="s">
        <v>1772</v>
      </c>
      <c r="H1631" s="12">
        <v>3919</v>
      </c>
      <c r="I1631" s="4">
        <v>0</v>
      </c>
      <c r="J1631" s="4">
        <v>0</v>
      </c>
      <c r="K1631" s="4">
        <v>14.24</v>
      </c>
      <c r="L1631" s="4">
        <v>0</v>
      </c>
      <c r="M1631" s="12" t="s">
        <v>571</v>
      </c>
      <c r="N1631" s="13">
        <f t="shared" si="42"/>
        <v>14.24</v>
      </c>
    </row>
    <row r="1632" spans="1:14">
      <c r="A1632" s="12">
        <v>1631</v>
      </c>
      <c r="B1632" s="1" t="s">
        <v>528</v>
      </c>
      <c r="C1632" s="42" t="s">
        <v>529</v>
      </c>
      <c r="D1632" s="42" t="s">
        <v>2564</v>
      </c>
      <c r="E1632" s="42" t="s">
        <v>2565</v>
      </c>
      <c r="F1632" s="4">
        <v>295</v>
      </c>
      <c r="G1632" s="47" t="s">
        <v>570</v>
      </c>
      <c r="H1632" s="12">
        <v>998212</v>
      </c>
      <c r="I1632" s="4">
        <v>22.5</v>
      </c>
      <c r="J1632" s="4">
        <v>22.5</v>
      </c>
      <c r="K1632" s="4">
        <v>0</v>
      </c>
      <c r="L1632" s="4">
        <v>0</v>
      </c>
      <c r="M1632" s="12" t="s">
        <v>571</v>
      </c>
      <c r="N1632" s="13">
        <f t="shared" si="42"/>
        <v>45</v>
      </c>
    </row>
    <row r="1633" spans="1:14">
      <c r="A1633" s="12">
        <v>1632</v>
      </c>
      <c r="B1633" s="1" t="s">
        <v>528</v>
      </c>
      <c r="C1633" s="42" t="s">
        <v>529</v>
      </c>
      <c r="D1633" s="42" t="s">
        <v>2566</v>
      </c>
      <c r="E1633" s="42" t="s">
        <v>2560</v>
      </c>
      <c r="F1633" s="4">
        <v>413</v>
      </c>
      <c r="G1633" s="47" t="s">
        <v>570</v>
      </c>
      <c r="H1633" s="12">
        <v>998212</v>
      </c>
      <c r="I1633" s="4">
        <v>31.5</v>
      </c>
      <c r="J1633" s="4">
        <v>31.5</v>
      </c>
      <c r="K1633" s="4">
        <v>0</v>
      </c>
      <c r="L1633" s="4">
        <v>0</v>
      </c>
      <c r="M1633" s="12" t="s">
        <v>571</v>
      </c>
      <c r="N1633" s="13">
        <f t="shared" si="42"/>
        <v>63</v>
      </c>
    </row>
    <row r="1634" spans="1:14">
      <c r="A1634" s="12">
        <v>1633</v>
      </c>
      <c r="B1634" s="1" t="s">
        <v>1824</v>
      </c>
      <c r="C1634" s="42" t="s">
        <v>1825</v>
      </c>
      <c r="D1634" s="42" t="s">
        <v>2567</v>
      </c>
      <c r="E1634" s="42" t="s">
        <v>2568</v>
      </c>
      <c r="F1634" s="4">
        <v>487.75</v>
      </c>
      <c r="G1634" s="47" t="s">
        <v>570</v>
      </c>
      <c r="H1634" s="12">
        <v>997159</v>
      </c>
      <c r="I1634" s="4">
        <v>0</v>
      </c>
      <c r="J1634" s="4">
        <v>0</v>
      </c>
      <c r="K1634" s="4">
        <v>74.400000000000006</v>
      </c>
      <c r="L1634" s="4">
        <v>0</v>
      </c>
      <c r="M1634" s="12" t="s">
        <v>571</v>
      </c>
      <c r="N1634" s="13">
        <f t="shared" si="42"/>
        <v>74.400000000000006</v>
      </c>
    </row>
    <row r="1635" spans="1:14">
      <c r="A1635" s="12">
        <v>1634</v>
      </c>
      <c r="B1635" s="1" t="s">
        <v>1824</v>
      </c>
      <c r="C1635" s="42" t="s">
        <v>1825</v>
      </c>
      <c r="D1635" s="42" t="s">
        <v>2569</v>
      </c>
      <c r="E1635" s="42" t="s">
        <v>2568</v>
      </c>
      <c r="F1635" s="4">
        <v>2505.44</v>
      </c>
      <c r="G1635" s="47" t="s">
        <v>570</v>
      </c>
      <c r="H1635" s="12">
        <v>997159</v>
      </c>
      <c r="I1635" s="4">
        <v>0</v>
      </c>
      <c r="J1635" s="4">
        <v>0</v>
      </c>
      <c r="K1635" s="4">
        <v>382.15</v>
      </c>
      <c r="L1635" s="4">
        <v>0</v>
      </c>
      <c r="M1635" s="12" t="s">
        <v>571</v>
      </c>
      <c r="N1635" s="13">
        <f t="shared" si="42"/>
        <v>382.15</v>
      </c>
    </row>
    <row r="1636" spans="1:14">
      <c r="A1636" s="12">
        <v>1635</v>
      </c>
      <c r="B1636" s="1" t="s">
        <v>1824</v>
      </c>
      <c r="C1636" s="42" t="s">
        <v>1825</v>
      </c>
      <c r="D1636" s="42" t="s">
        <v>2570</v>
      </c>
      <c r="E1636" s="42" t="s">
        <v>2568</v>
      </c>
      <c r="F1636" s="4">
        <v>229.19</v>
      </c>
      <c r="G1636" s="47" t="s">
        <v>570</v>
      </c>
      <c r="H1636" s="12">
        <v>997159</v>
      </c>
      <c r="I1636" s="4">
        <v>0</v>
      </c>
      <c r="J1636" s="4">
        <v>0</v>
      </c>
      <c r="K1636" s="4">
        <v>34.96</v>
      </c>
      <c r="L1636" s="4">
        <v>0</v>
      </c>
      <c r="M1636" s="12" t="s">
        <v>571</v>
      </c>
      <c r="N1636" s="13">
        <f t="shared" si="42"/>
        <v>34.96</v>
      </c>
    </row>
    <row r="1637" spans="1:14">
      <c r="A1637" s="12">
        <v>1636</v>
      </c>
      <c r="B1637" s="1" t="s">
        <v>1824</v>
      </c>
      <c r="C1637" s="42" t="s">
        <v>1825</v>
      </c>
      <c r="D1637" s="42" t="s">
        <v>2571</v>
      </c>
      <c r="E1637" s="42" t="s">
        <v>2572</v>
      </c>
      <c r="F1637" s="4">
        <v>111.65</v>
      </c>
      <c r="G1637" s="47" t="s">
        <v>570</v>
      </c>
      <c r="H1637" s="12">
        <v>997159</v>
      </c>
      <c r="I1637" s="4">
        <v>0</v>
      </c>
      <c r="J1637" s="4">
        <v>0</v>
      </c>
      <c r="K1637" s="4">
        <v>17.03</v>
      </c>
      <c r="L1637" s="4">
        <v>0</v>
      </c>
      <c r="M1637" s="12" t="s">
        <v>571</v>
      </c>
      <c r="N1637" s="13">
        <f t="shared" si="42"/>
        <v>17.03</v>
      </c>
    </row>
    <row r="1638" spans="1:14">
      <c r="A1638" s="12">
        <v>1637</v>
      </c>
      <c r="B1638" s="1" t="s">
        <v>2573</v>
      </c>
      <c r="C1638" s="42" t="s">
        <v>2574</v>
      </c>
      <c r="D1638" s="42" t="s">
        <v>2575</v>
      </c>
      <c r="E1638" s="42" t="s">
        <v>2576</v>
      </c>
      <c r="F1638" s="4">
        <v>35499</v>
      </c>
      <c r="G1638" s="47" t="s">
        <v>2046</v>
      </c>
      <c r="H1638" s="12">
        <v>310889</v>
      </c>
      <c r="I1638" s="4">
        <v>2707.56</v>
      </c>
      <c r="J1638" s="4">
        <v>2707.56</v>
      </c>
      <c r="K1638" s="4">
        <v>0</v>
      </c>
      <c r="L1638" s="4">
        <v>0</v>
      </c>
      <c r="M1638" s="14" t="s">
        <v>157</v>
      </c>
      <c r="N1638" s="15" t="s">
        <v>202</v>
      </c>
    </row>
    <row r="1639" spans="1:14">
      <c r="A1639" s="12">
        <v>1638</v>
      </c>
      <c r="B1639" s="1" t="s">
        <v>2577</v>
      </c>
      <c r="C1639" s="42" t="s">
        <v>2578</v>
      </c>
      <c r="D1639" s="42" t="s">
        <v>2579</v>
      </c>
      <c r="E1639" s="42" t="s">
        <v>2580</v>
      </c>
      <c r="F1639" s="4">
        <v>14900</v>
      </c>
      <c r="G1639" s="47" t="s">
        <v>2046</v>
      </c>
      <c r="H1639" s="12">
        <v>83030000</v>
      </c>
      <c r="I1639" s="4">
        <v>1136.43</v>
      </c>
      <c r="J1639" s="4">
        <v>1136.43</v>
      </c>
      <c r="K1639" s="4">
        <v>0</v>
      </c>
      <c r="L1639" s="4">
        <v>0</v>
      </c>
      <c r="M1639" s="14" t="s">
        <v>157</v>
      </c>
      <c r="N1639" s="15" t="s">
        <v>202</v>
      </c>
    </row>
    <row r="1640" spans="1:14">
      <c r="A1640" s="12">
        <v>1639</v>
      </c>
      <c r="B1640" s="1" t="s">
        <v>1691</v>
      </c>
      <c r="C1640" s="42" t="s">
        <v>1692</v>
      </c>
      <c r="D1640" s="42" t="s">
        <v>2581</v>
      </c>
      <c r="E1640" s="42" t="s">
        <v>2568</v>
      </c>
      <c r="F1640" s="4">
        <v>885</v>
      </c>
      <c r="G1640" s="47" t="s">
        <v>570</v>
      </c>
      <c r="H1640" s="12">
        <v>997159</v>
      </c>
      <c r="I1640" s="4">
        <v>0</v>
      </c>
      <c r="J1640" s="4">
        <v>0</v>
      </c>
      <c r="K1640" s="4">
        <v>135</v>
      </c>
      <c r="L1640" s="4">
        <v>0</v>
      </c>
      <c r="M1640" s="12" t="s">
        <v>571</v>
      </c>
      <c r="N1640" s="13">
        <f t="shared" ref="N1640:N1699" si="43">SUM(I1640:K1640)</f>
        <v>135</v>
      </c>
    </row>
    <row r="1641" spans="1:14">
      <c r="A1641" s="12">
        <v>1640</v>
      </c>
      <c r="B1641" s="1" t="s">
        <v>1762</v>
      </c>
      <c r="C1641" s="42" t="s">
        <v>1763</v>
      </c>
      <c r="D1641" s="42" t="s">
        <v>2582</v>
      </c>
      <c r="E1641" s="42" t="s">
        <v>2565</v>
      </c>
      <c r="F1641" s="4">
        <v>7608</v>
      </c>
      <c r="G1641" s="47" t="s">
        <v>570</v>
      </c>
      <c r="H1641" s="12">
        <v>9987</v>
      </c>
      <c r="I1641" s="4">
        <v>580.32000000000005</v>
      </c>
      <c r="J1641" s="4">
        <v>580.32000000000005</v>
      </c>
      <c r="K1641" s="4">
        <v>0</v>
      </c>
      <c r="L1641" s="4">
        <v>0</v>
      </c>
      <c r="M1641" s="12" t="s">
        <v>571</v>
      </c>
      <c r="N1641" s="13">
        <f t="shared" si="43"/>
        <v>1160.6400000000001</v>
      </c>
    </row>
    <row r="1642" spans="1:14">
      <c r="A1642" s="12">
        <v>1641</v>
      </c>
      <c r="B1642" s="1" t="s">
        <v>1762</v>
      </c>
      <c r="C1642" s="42" t="s">
        <v>1763</v>
      </c>
      <c r="D1642" s="42" t="s">
        <v>2583</v>
      </c>
      <c r="E1642" s="42" t="s">
        <v>2565</v>
      </c>
      <c r="F1642" s="4">
        <v>3949</v>
      </c>
      <c r="G1642" s="47" t="s">
        <v>570</v>
      </c>
      <c r="H1642" s="12">
        <v>9987</v>
      </c>
      <c r="I1642" s="4">
        <v>301.23</v>
      </c>
      <c r="J1642" s="4">
        <v>301.23</v>
      </c>
      <c r="K1642" s="4">
        <v>0</v>
      </c>
      <c r="L1642" s="4">
        <v>0</v>
      </c>
      <c r="M1642" s="12" t="s">
        <v>571</v>
      </c>
      <c r="N1642" s="13">
        <f t="shared" si="43"/>
        <v>602.46</v>
      </c>
    </row>
    <row r="1643" spans="1:14">
      <c r="A1643" s="12">
        <v>1642</v>
      </c>
      <c r="B1643" s="1" t="s">
        <v>1773</v>
      </c>
      <c r="C1643" s="42" t="s">
        <v>1774</v>
      </c>
      <c r="D1643" s="42" t="s">
        <v>2584</v>
      </c>
      <c r="E1643" s="42" t="s">
        <v>2568</v>
      </c>
      <c r="F1643" s="4">
        <v>987.14</v>
      </c>
      <c r="G1643" s="47" t="s">
        <v>570</v>
      </c>
      <c r="H1643" s="12">
        <v>997159</v>
      </c>
      <c r="I1643" s="4">
        <v>75.290000000000006</v>
      </c>
      <c r="J1643" s="4">
        <v>75.290000000000006</v>
      </c>
      <c r="K1643" s="4">
        <v>0</v>
      </c>
      <c r="L1643" s="4">
        <v>0</v>
      </c>
      <c r="M1643" s="12" t="s">
        <v>571</v>
      </c>
      <c r="N1643" s="13">
        <f t="shared" si="43"/>
        <v>150.58000000000001</v>
      </c>
    </row>
    <row r="1644" spans="1:14">
      <c r="A1644" s="12">
        <v>1643</v>
      </c>
      <c r="B1644" s="1" t="s">
        <v>1620</v>
      </c>
      <c r="C1644" s="42" t="s">
        <v>1621</v>
      </c>
      <c r="D1644" s="42" t="s">
        <v>2585</v>
      </c>
      <c r="E1644" s="42" t="s">
        <v>2586</v>
      </c>
      <c r="F1644" s="4">
        <v>413</v>
      </c>
      <c r="G1644" s="47" t="s">
        <v>570</v>
      </c>
      <c r="H1644" s="12">
        <v>997159</v>
      </c>
      <c r="I1644" s="4">
        <v>0</v>
      </c>
      <c r="J1644" s="4">
        <v>0</v>
      </c>
      <c r="K1644" s="4">
        <v>63</v>
      </c>
      <c r="L1644" s="4">
        <v>0</v>
      </c>
      <c r="M1644" s="12" t="s">
        <v>571</v>
      </c>
      <c r="N1644" s="13">
        <f t="shared" si="43"/>
        <v>63</v>
      </c>
    </row>
    <row r="1645" spans="1:14">
      <c r="A1645" s="12">
        <v>1644</v>
      </c>
      <c r="B1645" s="1" t="s">
        <v>1620</v>
      </c>
      <c r="C1645" s="42" t="s">
        <v>1621</v>
      </c>
      <c r="D1645" s="42" t="s">
        <v>2587</v>
      </c>
      <c r="E1645" s="42" t="s">
        <v>2568</v>
      </c>
      <c r="F1645" s="4">
        <v>5911.51</v>
      </c>
      <c r="G1645" s="47" t="s">
        <v>570</v>
      </c>
      <c r="H1645" s="12">
        <v>997159</v>
      </c>
      <c r="I1645" s="4">
        <v>0</v>
      </c>
      <c r="J1645" s="4">
        <v>0</v>
      </c>
      <c r="K1645" s="4">
        <v>901.76</v>
      </c>
      <c r="L1645" s="4">
        <v>0</v>
      </c>
      <c r="M1645" s="12" t="s">
        <v>571</v>
      </c>
      <c r="N1645" s="13">
        <f t="shared" si="43"/>
        <v>901.76</v>
      </c>
    </row>
    <row r="1646" spans="1:14">
      <c r="A1646" s="12">
        <v>1645</v>
      </c>
      <c r="B1646" s="1" t="s">
        <v>1869</v>
      </c>
      <c r="C1646" s="42" t="s">
        <v>1870</v>
      </c>
      <c r="D1646" s="42" t="s">
        <v>2588</v>
      </c>
      <c r="E1646" s="42" t="s">
        <v>2568</v>
      </c>
      <c r="F1646" s="4">
        <v>71330.009999999995</v>
      </c>
      <c r="G1646" s="47" t="s">
        <v>570</v>
      </c>
      <c r="H1646" s="12">
        <v>996812</v>
      </c>
      <c r="I1646" s="4">
        <v>5440.42</v>
      </c>
      <c r="J1646" s="4">
        <v>5440.42</v>
      </c>
      <c r="K1646" s="4">
        <v>0</v>
      </c>
      <c r="L1646" s="4">
        <v>0</v>
      </c>
      <c r="M1646" s="12" t="s">
        <v>571</v>
      </c>
      <c r="N1646" s="13">
        <f t="shared" si="43"/>
        <v>10880.84</v>
      </c>
    </row>
    <row r="1647" spans="1:14">
      <c r="A1647" s="12">
        <v>1646</v>
      </c>
      <c r="B1647" s="1" t="s">
        <v>1844</v>
      </c>
      <c r="C1647" s="42" t="s">
        <v>1845</v>
      </c>
      <c r="D1647" s="42" t="s">
        <v>2589</v>
      </c>
      <c r="E1647" s="42" t="s">
        <v>2568</v>
      </c>
      <c r="F1647" s="4">
        <v>3261.19</v>
      </c>
      <c r="G1647" s="47" t="s">
        <v>570</v>
      </c>
      <c r="H1647" s="12">
        <v>997158</v>
      </c>
      <c r="I1647" s="4">
        <v>0</v>
      </c>
      <c r="J1647" s="4">
        <v>0</v>
      </c>
      <c r="K1647" s="4">
        <v>0</v>
      </c>
      <c r="L1647" s="4">
        <v>0</v>
      </c>
      <c r="M1647" s="12" t="s">
        <v>571</v>
      </c>
      <c r="N1647" s="13">
        <f t="shared" si="43"/>
        <v>0</v>
      </c>
    </row>
    <row r="1648" spans="1:14">
      <c r="A1648" s="12">
        <v>1647</v>
      </c>
      <c r="B1648" s="1" t="s">
        <v>1844</v>
      </c>
      <c r="C1648" s="42" t="s">
        <v>1845</v>
      </c>
      <c r="D1648" s="42" t="s">
        <v>2589</v>
      </c>
      <c r="E1648" s="42" t="s">
        <v>2568</v>
      </c>
      <c r="F1648" s="4">
        <v>3261.19</v>
      </c>
      <c r="G1648" s="47" t="s">
        <v>570</v>
      </c>
      <c r="H1648" s="12">
        <v>997158</v>
      </c>
      <c r="I1648" s="4">
        <v>0</v>
      </c>
      <c r="J1648" s="4">
        <v>0</v>
      </c>
      <c r="K1648" s="4">
        <v>473.32</v>
      </c>
      <c r="L1648" s="4">
        <v>0</v>
      </c>
      <c r="M1648" s="12" t="s">
        <v>571</v>
      </c>
      <c r="N1648" s="13">
        <f t="shared" si="43"/>
        <v>473.32</v>
      </c>
    </row>
    <row r="1649" spans="1:14">
      <c r="A1649" s="12">
        <v>1648</v>
      </c>
      <c r="B1649" s="1" t="s">
        <v>2590</v>
      </c>
      <c r="C1649" s="42" t="s">
        <v>2591</v>
      </c>
      <c r="D1649" s="42" t="s">
        <v>2592</v>
      </c>
      <c r="E1649" s="42" t="s">
        <v>2593</v>
      </c>
      <c r="F1649" s="4">
        <v>57750</v>
      </c>
      <c r="G1649" s="47" t="s">
        <v>60</v>
      </c>
      <c r="H1649" s="29" t="s">
        <v>1700</v>
      </c>
      <c r="I1649" s="4">
        <v>0</v>
      </c>
      <c r="J1649" s="4">
        <v>0</v>
      </c>
      <c r="K1649" s="4">
        <v>2750</v>
      </c>
      <c r="L1649" s="4">
        <v>0</v>
      </c>
      <c r="M1649" s="12" t="s">
        <v>571</v>
      </c>
      <c r="N1649" s="13">
        <f t="shared" si="43"/>
        <v>2750</v>
      </c>
    </row>
    <row r="1650" spans="1:14">
      <c r="A1650" s="12">
        <v>1649</v>
      </c>
      <c r="B1650" s="1" t="s">
        <v>805</v>
      </c>
      <c r="C1650" s="42" t="s">
        <v>806</v>
      </c>
      <c r="D1650" s="42" t="s">
        <v>2594</v>
      </c>
      <c r="E1650" s="42" t="s">
        <v>2568</v>
      </c>
      <c r="F1650" s="4">
        <v>12417.18</v>
      </c>
      <c r="G1650" s="47" t="s">
        <v>570</v>
      </c>
      <c r="H1650" s="29" t="s">
        <v>847</v>
      </c>
      <c r="I1650" s="4">
        <v>0</v>
      </c>
      <c r="J1650" s="4">
        <v>0</v>
      </c>
      <c r="K1650" s="4">
        <v>1894.16</v>
      </c>
      <c r="L1650" s="4">
        <v>0</v>
      </c>
      <c r="M1650" s="12" t="s">
        <v>571</v>
      </c>
      <c r="N1650" s="13">
        <f t="shared" si="43"/>
        <v>1894.16</v>
      </c>
    </row>
    <row r="1651" spans="1:14">
      <c r="A1651" s="12">
        <v>1650</v>
      </c>
      <c r="B1651" s="1" t="s">
        <v>2541</v>
      </c>
      <c r="C1651" s="42" t="s">
        <v>2542</v>
      </c>
      <c r="D1651" s="42" t="s">
        <v>2595</v>
      </c>
      <c r="E1651" s="42" t="s">
        <v>2586</v>
      </c>
      <c r="F1651" s="4">
        <v>44100</v>
      </c>
      <c r="G1651" s="47" t="s">
        <v>60</v>
      </c>
      <c r="H1651" s="29" t="s">
        <v>1700</v>
      </c>
      <c r="I1651" s="4">
        <v>0</v>
      </c>
      <c r="J1651" s="4">
        <v>0</v>
      </c>
      <c r="K1651" s="4">
        <v>2100</v>
      </c>
      <c r="L1651" s="4">
        <v>0</v>
      </c>
      <c r="M1651" s="12" t="s">
        <v>571</v>
      </c>
      <c r="N1651" s="13">
        <f t="shared" si="43"/>
        <v>2100</v>
      </c>
    </row>
    <row r="1652" spans="1:14">
      <c r="A1652" s="12">
        <v>1651</v>
      </c>
      <c r="B1652" s="1" t="s">
        <v>2541</v>
      </c>
      <c r="C1652" s="42" t="s">
        <v>2542</v>
      </c>
      <c r="D1652" s="42" t="s">
        <v>2596</v>
      </c>
      <c r="E1652" s="42" t="s">
        <v>2597</v>
      </c>
      <c r="F1652" s="4">
        <v>24570</v>
      </c>
      <c r="G1652" s="47" t="s">
        <v>60</v>
      </c>
      <c r="H1652" s="29" t="s">
        <v>1700</v>
      </c>
      <c r="I1652" s="4">
        <v>0</v>
      </c>
      <c r="J1652" s="4">
        <v>0</v>
      </c>
      <c r="K1652" s="4">
        <v>1170</v>
      </c>
      <c r="L1652" s="4">
        <v>0</v>
      </c>
      <c r="M1652" s="12" t="s">
        <v>571</v>
      </c>
      <c r="N1652" s="13">
        <f t="shared" si="43"/>
        <v>1170</v>
      </c>
    </row>
    <row r="1653" spans="1:14">
      <c r="A1653" s="12">
        <v>1652</v>
      </c>
      <c r="B1653" s="1" t="s">
        <v>2541</v>
      </c>
      <c r="C1653" s="42" t="s">
        <v>2542</v>
      </c>
      <c r="D1653" s="42" t="s">
        <v>2598</v>
      </c>
      <c r="E1653" s="42" t="s">
        <v>2599</v>
      </c>
      <c r="F1653" s="4">
        <v>29400</v>
      </c>
      <c r="G1653" s="47" t="s">
        <v>60</v>
      </c>
      <c r="H1653" s="29" t="s">
        <v>1700</v>
      </c>
      <c r="I1653" s="4">
        <v>0</v>
      </c>
      <c r="J1653" s="4">
        <v>0</v>
      </c>
      <c r="K1653" s="4">
        <v>1400</v>
      </c>
      <c r="L1653" s="4">
        <v>0</v>
      </c>
      <c r="M1653" s="12" t="s">
        <v>571</v>
      </c>
      <c r="N1653" s="13">
        <f t="shared" si="43"/>
        <v>1400</v>
      </c>
    </row>
    <row r="1654" spans="1:14">
      <c r="A1654" s="12">
        <v>1653</v>
      </c>
      <c r="B1654" s="1" t="s">
        <v>2541</v>
      </c>
      <c r="C1654" s="42" t="s">
        <v>2542</v>
      </c>
      <c r="D1654" s="42" t="s">
        <v>2600</v>
      </c>
      <c r="E1654" s="42" t="s">
        <v>2601</v>
      </c>
      <c r="F1654" s="4">
        <v>26460</v>
      </c>
      <c r="G1654" s="47" t="s">
        <v>60</v>
      </c>
      <c r="H1654" s="29" t="s">
        <v>1700</v>
      </c>
      <c r="I1654" s="4">
        <v>0</v>
      </c>
      <c r="J1654" s="4">
        <v>0</v>
      </c>
      <c r="K1654" s="4">
        <v>1260</v>
      </c>
      <c r="L1654" s="4">
        <v>0</v>
      </c>
      <c r="M1654" s="12" t="s">
        <v>571</v>
      </c>
      <c r="N1654" s="13">
        <f t="shared" si="43"/>
        <v>1260</v>
      </c>
    </row>
    <row r="1655" spans="1:14">
      <c r="A1655" s="12">
        <v>1654</v>
      </c>
      <c r="B1655" s="1" t="s">
        <v>2024</v>
      </c>
      <c r="C1655" s="42" t="s">
        <v>2025</v>
      </c>
      <c r="D1655" s="42" t="s">
        <v>2602</v>
      </c>
      <c r="E1655" s="42" t="s">
        <v>2603</v>
      </c>
      <c r="F1655" s="4">
        <v>67649</v>
      </c>
      <c r="G1655" s="47" t="s">
        <v>60</v>
      </c>
      <c r="H1655" s="12">
        <v>4514</v>
      </c>
      <c r="I1655" s="4">
        <v>5159.7</v>
      </c>
      <c r="J1655" s="4">
        <v>5159.7</v>
      </c>
      <c r="K1655" s="4">
        <v>0</v>
      </c>
      <c r="L1655" s="4">
        <v>0</v>
      </c>
      <c r="M1655" s="12" t="s">
        <v>571</v>
      </c>
      <c r="N1655" s="13">
        <f t="shared" si="43"/>
        <v>10319.4</v>
      </c>
    </row>
    <row r="1656" spans="1:14">
      <c r="A1656" s="12">
        <v>1655</v>
      </c>
      <c r="B1656" s="1" t="s">
        <v>2024</v>
      </c>
      <c r="C1656" s="42" t="s">
        <v>2025</v>
      </c>
      <c r="D1656" s="42" t="s">
        <v>2604</v>
      </c>
      <c r="E1656" s="42" t="s">
        <v>2568</v>
      </c>
      <c r="F1656" s="4">
        <v>41630</v>
      </c>
      <c r="G1656" s="47" t="s">
        <v>60</v>
      </c>
      <c r="H1656" s="12">
        <v>4514</v>
      </c>
      <c r="I1656" s="4">
        <v>3175.2</v>
      </c>
      <c r="J1656" s="4">
        <v>3175.2</v>
      </c>
      <c r="K1656" s="4">
        <v>0</v>
      </c>
      <c r="L1656" s="4">
        <v>0</v>
      </c>
      <c r="M1656" s="12" t="s">
        <v>571</v>
      </c>
      <c r="N1656" s="13">
        <f t="shared" si="43"/>
        <v>6350.4</v>
      </c>
    </row>
    <row r="1657" spans="1:14">
      <c r="A1657" s="12">
        <v>1656</v>
      </c>
      <c r="B1657" s="1" t="s">
        <v>1832</v>
      </c>
      <c r="C1657" s="42" t="s">
        <v>1833</v>
      </c>
      <c r="D1657" s="42" t="s">
        <v>2605</v>
      </c>
      <c r="E1657" s="42" t="s">
        <v>2606</v>
      </c>
      <c r="F1657" s="4">
        <v>38354</v>
      </c>
      <c r="G1657" s="47" t="s">
        <v>60</v>
      </c>
      <c r="H1657" s="29" t="s">
        <v>1835</v>
      </c>
      <c r="I1657" s="4">
        <v>913.2</v>
      </c>
      <c r="J1657" s="4">
        <v>913.2</v>
      </c>
      <c r="K1657" s="4">
        <v>0</v>
      </c>
      <c r="L1657" s="4">
        <v>0</v>
      </c>
      <c r="M1657" s="12" t="s">
        <v>571</v>
      </c>
      <c r="N1657" s="13">
        <f t="shared" si="43"/>
        <v>1826.4</v>
      </c>
    </row>
    <row r="1658" spans="1:14">
      <c r="A1658" s="12">
        <v>1657</v>
      </c>
      <c r="B1658" s="1" t="s">
        <v>1832</v>
      </c>
      <c r="C1658" s="42" t="s">
        <v>1833</v>
      </c>
      <c r="D1658" s="42" t="s">
        <v>2607</v>
      </c>
      <c r="E1658" s="42" t="s">
        <v>2608</v>
      </c>
      <c r="F1658" s="4">
        <v>57750</v>
      </c>
      <c r="G1658" s="47" t="s">
        <v>60</v>
      </c>
      <c r="H1658" s="29" t="s">
        <v>1835</v>
      </c>
      <c r="I1658" s="4">
        <v>1375</v>
      </c>
      <c r="J1658" s="4">
        <v>1375</v>
      </c>
      <c r="K1658" s="4">
        <v>0</v>
      </c>
      <c r="L1658" s="4">
        <v>0</v>
      </c>
      <c r="M1658" s="12" t="s">
        <v>571</v>
      </c>
      <c r="N1658" s="13">
        <f t="shared" si="43"/>
        <v>2750</v>
      </c>
    </row>
    <row r="1659" spans="1:14">
      <c r="A1659" s="12">
        <v>1658</v>
      </c>
      <c r="B1659" s="1" t="s">
        <v>1832</v>
      </c>
      <c r="C1659" s="42" t="s">
        <v>1833</v>
      </c>
      <c r="D1659" s="42" t="s">
        <v>2609</v>
      </c>
      <c r="E1659" s="42" t="s">
        <v>2610</v>
      </c>
      <c r="F1659" s="4">
        <v>57750</v>
      </c>
      <c r="G1659" s="47" t="s">
        <v>60</v>
      </c>
      <c r="H1659" s="29" t="s">
        <v>1835</v>
      </c>
      <c r="I1659" s="4">
        <v>1375</v>
      </c>
      <c r="J1659" s="4">
        <v>1375</v>
      </c>
      <c r="K1659" s="4">
        <v>0</v>
      </c>
      <c r="L1659" s="4">
        <v>0</v>
      </c>
      <c r="M1659" s="12" t="s">
        <v>571</v>
      </c>
      <c r="N1659" s="13">
        <f t="shared" si="43"/>
        <v>2750</v>
      </c>
    </row>
    <row r="1660" spans="1:14">
      <c r="A1660" s="12">
        <v>1659</v>
      </c>
      <c r="B1660" s="1" t="s">
        <v>2020</v>
      </c>
      <c r="C1660" s="42" t="s">
        <v>2021</v>
      </c>
      <c r="D1660" s="42" t="s">
        <v>2611</v>
      </c>
      <c r="E1660" s="42" t="s">
        <v>2612</v>
      </c>
      <c r="F1660" s="4">
        <v>349.4</v>
      </c>
      <c r="G1660" s="47" t="s">
        <v>570</v>
      </c>
      <c r="H1660" s="12">
        <v>998311</v>
      </c>
      <c r="I1660" s="4">
        <v>26.65</v>
      </c>
      <c r="J1660" s="4">
        <v>26.65</v>
      </c>
      <c r="K1660" s="4">
        <v>0</v>
      </c>
      <c r="L1660" s="4">
        <v>0</v>
      </c>
      <c r="M1660" s="12" t="s">
        <v>571</v>
      </c>
      <c r="N1660" s="13">
        <f t="shared" si="43"/>
        <v>53.3</v>
      </c>
    </row>
    <row r="1661" spans="1:14">
      <c r="A1661" s="12">
        <v>1660</v>
      </c>
      <c r="B1661" s="1" t="s">
        <v>1802</v>
      </c>
      <c r="C1661" s="42" t="s">
        <v>1803</v>
      </c>
      <c r="D1661" s="42" t="s">
        <v>2613</v>
      </c>
      <c r="E1661" s="42" t="s">
        <v>1866</v>
      </c>
      <c r="F1661" s="4">
        <v>8400</v>
      </c>
      <c r="G1661" s="47" t="s">
        <v>60</v>
      </c>
      <c r="H1661" s="12">
        <v>2006</v>
      </c>
      <c r="I1661" s="4">
        <v>0</v>
      </c>
      <c r="J1661" s="4">
        <v>0</v>
      </c>
      <c r="K1661" s="4">
        <v>900</v>
      </c>
      <c r="L1661" s="4">
        <v>0</v>
      </c>
      <c r="M1661" s="12" t="s">
        <v>571</v>
      </c>
      <c r="N1661" s="13">
        <f t="shared" si="43"/>
        <v>900</v>
      </c>
    </row>
    <row r="1662" spans="1:14">
      <c r="A1662" s="12">
        <v>1661</v>
      </c>
      <c r="B1662" s="1" t="s">
        <v>1820</v>
      </c>
      <c r="C1662" s="42" t="s">
        <v>1821</v>
      </c>
      <c r="D1662" s="42" t="s">
        <v>2614</v>
      </c>
      <c r="E1662" s="42" t="s">
        <v>2608</v>
      </c>
      <c r="F1662" s="4">
        <v>44100</v>
      </c>
      <c r="G1662" s="47" t="s">
        <v>60</v>
      </c>
      <c r="H1662" s="29" t="s">
        <v>1641</v>
      </c>
      <c r="I1662" s="4">
        <v>0</v>
      </c>
      <c r="J1662" s="4">
        <v>0</v>
      </c>
      <c r="K1662" s="4">
        <v>2100</v>
      </c>
      <c r="L1662" s="4">
        <v>0</v>
      </c>
      <c r="M1662" s="12" t="s">
        <v>571</v>
      </c>
      <c r="N1662" s="13">
        <f t="shared" si="43"/>
        <v>2100</v>
      </c>
    </row>
    <row r="1663" spans="1:14">
      <c r="A1663" s="12">
        <v>1662</v>
      </c>
      <c r="B1663" s="1" t="s">
        <v>1820</v>
      </c>
      <c r="C1663" s="42" t="s">
        <v>1821</v>
      </c>
      <c r="D1663" s="42" t="s">
        <v>2615</v>
      </c>
      <c r="E1663" s="42" t="s">
        <v>2593</v>
      </c>
      <c r="F1663" s="4">
        <v>55230</v>
      </c>
      <c r="G1663" s="47" t="s">
        <v>60</v>
      </c>
      <c r="H1663" s="29" t="s">
        <v>1641</v>
      </c>
      <c r="I1663" s="4">
        <v>0</v>
      </c>
      <c r="J1663" s="4">
        <v>0</v>
      </c>
      <c r="K1663" s="4">
        <v>2630</v>
      </c>
      <c r="L1663" s="4">
        <v>0</v>
      </c>
      <c r="M1663" s="12" t="s">
        <v>571</v>
      </c>
      <c r="N1663" s="13">
        <f t="shared" si="43"/>
        <v>2630</v>
      </c>
    </row>
    <row r="1664" spans="1:14">
      <c r="A1664" s="12">
        <v>1663</v>
      </c>
      <c r="B1664" s="1" t="s">
        <v>1820</v>
      </c>
      <c r="C1664" s="42" t="s">
        <v>1821</v>
      </c>
      <c r="D1664" s="42" t="s">
        <v>2616</v>
      </c>
      <c r="E1664" s="42" t="s">
        <v>2617</v>
      </c>
      <c r="F1664" s="4">
        <v>53025</v>
      </c>
      <c r="G1664" s="47" t="s">
        <v>60</v>
      </c>
      <c r="H1664" s="29" t="s">
        <v>1641</v>
      </c>
      <c r="I1664" s="4">
        <v>0</v>
      </c>
      <c r="J1664" s="4">
        <v>0</v>
      </c>
      <c r="K1664" s="4">
        <v>2525</v>
      </c>
      <c r="L1664" s="4">
        <v>0</v>
      </c>
      <c r="M1664" s="12" t="s">
        <v>571</v>
      </c>
      <c r="N1664" s="13">
        <f t="shared" si="43"/>
        <v>2525</v>
      </c>
    </row>
    <row r="1665" spans="1:14">
      <c r="A1665" s="12">
        <v>1664</v>
      </c>
      <c r="B1665" s="1" t="s">
        <v>1820</v>
      </c>
      <c r="C1665" s="42" t="s">
        <v>1821</v>
      </c>
      <c r="D1665" s="42" t="s">
        <v>2618</v>
      </c>
      <c r="E1665" s="42" t="s">
        <v>2601</v>
      </c>
      <c r="F1665" s="4">
        <v>57540</v>
      </c>
      <c r="G1665" s="47" t="s">
        <v>60</v>
      </c>
      <c r="H1665" s="29" t="s">
        <v>1806</v>
      </c>
      <c r="I1665" s="4">
        <v>0</v>
      </c>
      <c r="J1665" s="4">
        <v>0</v>
      </c>
      <c r="K1665" s="4">
        <v>2740</v>
      </c>
      <c r="L1665" s="4">
        <v>0</v>
      </c>
      <c r="M1665" s="12" t="s">
        <v>571</v>
      </c>
      <c r="N1665" s="13">
        <f t="shared" si="43"/>
        <v>2740</v>
      </c>
    </row>
    <row r="1666" spans="1:14">
      <c r="A1666" s="12">
        <v>1665</v>
      </c>
      <c r="B1666" s="1" t="s">
        <v>557</v>
      </c>
      <c r="C1666" s="42" t="s">
        <v>558</v>
      </c>
      <c r="D1666" s="42" t="s">
        <v>2619</v>
      </c>
      <c r="E1666" s="42" t="s">
        <v>2620</v>
      </c>
      <c r="F1666" s="4">
        <v>1938.87</v>
      </c>
      <c r="G1666" s="47" t="s">
        <v>570</v>
      </c>
      <c r="H1666" s="12">
        <v>998361</v>
      </c>
      <c r="I1666" s="4">
        <v>0</v>
      </c>
      <c r="J1666" s="4">
        <v>0</v>
      </c>
      <c r="K1666" s="4">
        <v>295.76</v>
      </c>
      <c r="L1666" s="4">
        <v>0</v>
      </c>
      <c r="M1666" s="12" t="s">
        <v>571</v>
      </c>
      <c r="N1666" s="13">
        <f t="shared" si="43"/>
        <v>295.76</v>
      </c>
    </row>
    <row r="1667" spans="1:14">
      <c r="A1667" s="12">
        <v>1666</v>
      </c>
      <c r="B1667" s="1" t="s">
        <v>557</v>
      </c>
      <c r="C1667" s="42" t="s">
        <v>558</v>
      </c>
      <c r="D1667" s="42" t="s">
        <v>2621</v>
      </c>
      <c r="E1667" s="42" t="s">
        <v>2622</v>
      </c>
      <c r="F1667" s="4">
        <v>1918.26</v>
      </c>
      <c r="G1667" s="47" t="s">
        <v>570</v>
      </c>
      <c r="H1667" s="12">
        <v>998361</v>
      </c>
      <c r="I1667" s="4">
        <v>0</v>
      </c>
      <c r="J1667" s="4">
        <v>0</v>
      </c>
      <c r="K1667" s="4">
        <v>292.62</v>
      </c>
      <c r="L1667" s="4">
        <v>0</v>
      </c>
      <c r="M1667" s="12" t="s">
        <v>571</v>
      </c>
      <c r="N1667" s="13">
        <f t="shared" si="43"/>
        <v>292.62</v>
      </c>
    </row>
    <row r="1668" spans="1:14">
      <c r="A1668" s="12">
        <v>1667</v>
      </c>
      <c r="B1668" s="1" t="s">
        <v>557</v>
      </c>
      <c r="C1668" s="42" t="s">
        <v>558</v>
      </c>
      <c r="D1668" s="42" t="s">
        <v>2623</v>
      </c>
      <c r="E1668" s="42" t="s">
        <v>2565</v>
      </c>
      <c r="F1668" s="4">
        <v>2594.5</v>
      </c>
      <c r="G1668" s="47" t="s">
        <v>570</v>
      </c>
      <c r="H1668" s="12">
        <v>998361</v>
      </c>
      <c r="I1668" s="4">
        <v>0</v>
      </c>
      <c r="J1668" s="4">
        <v>0</v>
      </c>
      <c r="K1668" s="4">
        <v>395.77</v>
      </c>
      <c r="L1668" s="4">
        <v>0</v>
      </c>
      <c r="M1668" s="12" t="s">
        <v>571</v>
      </c>
      <c r="N1668" s="13">
        <f t="shared" si="43"/>
        <v>395.77</v>
      </c>
    </row>
    <row r="1669" spans="1:14">
      <c r="A1669" s="12">
        <v>1668</v>
      </c>
      <c r="B1669" s="1" t="s">
        <v>557</v>
      </c>
      <c r="C1669" s="42" t="s">
        <v>558</v>
      </c>
      <c r="D1669" s="42" t="s">
        <v>2624</v>
      </c>
      <c r="E1669" s="42" t="s">
        <v>2625</v>
      </c>
      <c r="F1669" s="4">
        <v>2021.95</v>
      </c>
      <c r="G1669" s="47" t="s">
        <v>570</v>
      </c>
      <c r="H1669" s="12">
        <v>998361</v>
      </c>
      <c r="I1669" s="4">
        <v>0</v>
      </c>
      <c r="J1669" s="4">
        <v>0</v>
      </c>
      <c r="K1669" s="4">
        <v>308.43</v>
      </c>
      <c r="L1669" s="4">
        <v>0</v>
      </c>
      <c r="M1669" s="12" t="s">
        <v>571</v>
      </c>
      <c r="N1669" s="13">
        <f t="shared" si="43"/>
        <v>308.43</v>
      </c>
    </row>
    <row r="1670" spans="1:14">
      <c r="A1670" s="12">
        <v>1669</v>
      </c>
      <c r="B1670" s="1" t="s">
        <v>557</v>
      </c>
      <c r="C1670" s="42" t="s">
        <v>558</v>
      </c>
      <c r="D1670" s="42" t="s">
        <v>2626</v>
      </c>
      <c r="E1670" s="42" t="s">
        <v>2606</v>
      </c>
      <c r="F1670" s="4">
        <v>2707.6</v>
      </c>
      <c r="G1670" s="47" t="s">
        <v>570</v>
      </c>
      <c r="H1670" s="12">
        <v>998361</v>
      </c>
      <c r="I1670" s="4">
        <v>0</v>
      </c>
      <c r="J1670" s="4">
        <v>0</v>
      </c>
      <c r="K1670" s="4">
        <v>413.02</v>
      </c>
      <c r="L1670" s="4">
        <v>0</v>
      </c>
      <c r="M1670" s="12" t="s">
        <v>571</v>
      </c>
      <c r="N1670" s="13">
        <f t="shared" si="43"/>
        <v>413.02</v>
      </c>
    </row>
    <row r="1671" spans="1:14">
      <c r="A1671" s="12">
        <v>1670</v>
      </c>
      <c r="B1671" s="1" t="s">
        <v>557</v>
      </c>
      <c r="C1671" s="42" t="s">
        <v>558</v>
      </c>
      <c r="D1671" s="42" t="s">
        <v>2627</v>
      </c>
      <c r="E1671" s="42" t="s">
        <v>2628</v>
      </c>
      <c r="F1671" s="4">
        <v>2687.01</v>
      </c>
      <c r="G1671" s="47" t="s">
        <v>570</v>
      </c>
      <c r="H1671" s="12">
        <v>998361</v>
      </c>
      <c r="I1671" s="4">
        <v>0</v>
      </c>
      <c r="J1671" s="4">
        <v>0</v>
      </c>
      <c r="K1671" s="4">
        <v>409.88</v>
      </c>
      <c r="L1671" s="4">
        <v>0</v>
      </c>
      <c r="M1671" s="12" t="s">
        <v>571</v>
      </c>
      <c r="N1671" s="13">
        <f t="shared" si="43"/>
        <v>409.88</v>
      </c>
    </row>
    <row r="1672" spans="1:14">
      <c r="A1672" s="12">
        <v>1671</v>
      </c>
      <c r="B1672" s="1" t="s">
        <v>557</v>
      </c>
      <c r="C1672" s="42" t="s">
        <v>558</v>
      </c>
      <c r="D1672" s="42" t="s">
        <v>2629</v>
      </c>
      <c r="E1672" s="42" t="s">
        <v>2603</v>
      </c>
      <c r="F1672" s="4">
        <v>2263.16</v>
      </c>
      <c r="G1672" s="47" t="s">
        <v>570</v>
      </c>
      <c r="H1672" s="12">
        <v>998361</v>
      </c>
      <c r="I1672" s="4">
        <v>0</v>
      </c>
      <c r="J1672" s="4">
        <v>0</v>
      </c>
      <c r="K1672" s="4">
        <v>345.23</v>
      </c>
      <c r="L1672" s="4">
        <v>0</v>
      </c>
      <c r="M1672" s="12" t="s">
        <v>571</v>
      </c>
      <c r="N1672" s="13">
        <f t="shared" si="43"/>
        <v>345.23</v>
      </c>
    </row>
    <row r="1673" spans="1:14">
      <c r="A1673" s="12">
        <v>1672</v>
      </c>
      <c r="B1673" s="1" t="s">
        <v>557</v>
      </c>
      <c r="C1673" s="42" t="s">
        <v>558</v>
      </c>
      <c r="D1673" s="42" t="s">
        <v>2630</v>
      </c>
      <c r="E1673" s="42" t="s">
        <v>2631</v>
      </c>
      <c r="F1673" s="4">
        <v>2923.63</v>
      </c>
      <c r="G1673" s="47" t="s">
        <v>570</v>
      </c>
      <c r="H1673" s="12">
        <v>998361</v>
      </c>
      <c r="I1673" s="4">
        <v>0</v>
      </c>
      <c r="J1673" s="4">
        <v>0</v>
      </c>
      <c r="K1673" s="4">
        <v>445.98</v>
      </c>
      <c r="L1673" s="4">
        <v>0</v>
      </c>
      <c r="M1673" s="12" t="s">
        <v>571</v>
      </c>
      <c r="N1673" s="13">
        <f t="shared" si="43"/>
        <v>445.98</v>
      </c>
    </row>
    <row r="1674" spans="1:14">
      <c r="A1674" s="12">
        <v>1673</v>
      </c>
      <c r="B1674" s="1" t="s">
        <v>557</v>
      </c>
      <c r="C1674" s="42" t="s">
        <v>558</v>
      </c>
      <c r="D1674" s="42" t="s">
        <v>2632</v>
      </c>
      <c r="E1674" s="42" t="s">
        <v>2608</v>
      </c>
      <c r="F1674" s="4">
        <v>2948.14</v>
      </c>
      <c r="G1674" s="47" t="s">
        <v>570</v>
      </c>
      <c r="H1674" s="12">
        <v>998361</v>
      </c>
      <c r="I1674" s="4">
        <v>0</v>
      </c>
      <c r="J1674" s="4">
        <v>0</v>
      </c>
      <c r="K1674" s="4">
        <v>449.72</v>
      </c>
      <c r="L1674" s="4">
        <v>0</v>
      </c>
      <c r="M1674" s="12" t="s">
        <v>571</v>
      </c>
      <c r="N1674" s="13">
        <f t="shared" si="43"/>
        <v>449.72</v>
      </c>
    </row>
    <row r="1675" spans="1:14">
      <c r="A1675" s="12">
        <v>1674</v>
      </c>
      <c r="B1675" s="1" t="s">
        <v>557</v>
      </c>
      <c r="C1675" s="42" t="s">
        <v>558</v>
      </c>
      <c r="D1675" s="42" t="s">
        <v>2633</v>
      </c>
      <c r="E1675" s="42" t="s">
        <v>2586</v>
      </c>
      <c r="F1675" s="4">
        <v>2908.87</v>
      </c>
      <c r="G1675" s="47" t="s">
        <v>570</v>
      </c>
      <c r="H1675" s="12">
        <v>998361</v>
      </c>
      <c r="I1675" s="4">
        <v>0</v>
      </c>
      <c r="J1675" s="4">
        <v>0</v>
      </c>
      <c r="K1675" s="4">
        <v>443.73</v>
      </c>
      <c r="L1675" s="4">
        <v>0</v>
      </c>
      <c r="M1675" s="12" t="s">
        <v>571</v>
      </c>
      <c r="N1675" s="13">
        <f t="shared" si="43"/>
        <v>443.73</v>
      </c>
    </row>
    <row r="1676" spans="1:14">
      <c r="A1676" s="12">
        <v>1675</v>
      </c>
      <c r="B1676" s="1" t="s">
        <v>557</v>
      </c>
      <c r="C1676" s="42" t="s">
        <v>558</v>
      </c>
      <c r="D1676" s="42" t="s">
        <v>2634</v>
      </c>
      <c r="E1676" s="42" t="s">
        <v>2558</v>
      </c>
      <c r="F1676" s="4">
        <v>2910</v>
      </c>
      <c r="G1676" s="47" t="s">
        <v>570</v>
      </c>
      <c r="H1676" s="12">
        <v>998361</v>
      </c>
      <c r="I1676" s="4">
        <v>0</v>
      </c>
      <c r="J1676" s="4">
        <v>0</v>
      </c>
      <c r="K1676" s="4">
        <v>443.9</v>
      </c>
      <c r="L1676" s="4">
        <v>0</v>
      </c>
      <c r="M1676" s="12" t="s">
        <v>571</v>
      </c>
      <c r="N1676" s="13">
        <f t="shared" si="43"/>
        <v>443.9</v>
      </c>
    </row>
    <row r="1677" spans="1:14">
      <c r="A1677" s="12">
        <v>1676</v>
      </c>
      <c r="B1677" s="1" t="s">
        <v>557</v>
      </c>
      <c r="C1677" s="42" t="s">
        <v>558</v>
      </c>
      <c r="D1677" s="42" t="s">
        <v>2635</v>
      </c>
      <c r="E1677" s="42" t="s">
        <v>2597</v>
      </c>
      <c r="F1677" s="4">
        <v>2795.61</v>
      </c>
      <c r="G1677" s="47" t="s">
        <v>570</v>
      </c>
      <c r="H1677" s="12">
        <v>998361</v>
      </c>
      <c r="I1677" s="4">
        <v>0</v>
      </c>
      <c r="J1677" s="4">
        <v>0</v>
      </c>
      <c r="K1677" s="4">
        <v>426.45</v>
      </c>
      <c r="L1677" s="4">
        <v>0</v>
      </c>
      <c r="M1677" s="12" t="s">
        <v>571</v>
      </c>
      <c r="N1677" s="13">
        <f t="shared" si="43"/>
        <v>426.45</v>
      </c>
    </row>
    <row r="1678" spans="1:14">
      <c r="A1678" s="12">
        <v>1677</v>
      </c>
      <c r="B1678" s="1" t="s">
        <v>557</v>
      </c>
      <c r="C1678" s="42" t="s">
        <v>558</v>
      </c>
      <c r="D1678" s="42" t="s">
        <v>2636</v>
      </c>
      <c r="E1678" s="42" t="s">
        <v>2593</v>
      </c>
      <c r="F1678" s="4">
        <v>2390.2800000000002</v>
      </c>
      <c r="G1678" s="47" t="s">
        <v>570</v>
      </c>
      <c r="H1678" s="12">
        <v>998361</v>
      </c>
      <c r="I1678" s="4">
        <v>0</v>
      </c>
      <c r="J1678" s="4">
        <v>0</v>
      </c>
      <c r="K1678" s="4">
        <v>364.62</v>
      </c>
      <c r="L1678" s="4">
        <v>0</v>
      </c>
      <c r="M1678" s="12" t="s">
        <v>571</v>
      </c>
      <c r="N1678" s="13">
        <f t="shared" si="43"/>
        <v>364.62</v>
      </c>
    </row>
    <row r="1679" spans="1:14">
      <c r="A1679" s="12">
        <v>1678</v>
      </c>
      <c r="B1679" s="1" t="s">
        <v>557</v>
      </c>
      <c r="C1679" s="42" t="s">
        <v>558</v>
      </c>
      <c r="D1679" s="42" t="s">
        <v>2637</v>
      </c>
      <c r="E1679" s="42" t="s">
        <v>2638</v>
      </c>
      <c r="F1679" s="4">
        <v>2252.34</v>
      </c>
      <c r="G1679" s="47" t="s">
        <v>570</v>
      </c>
      <c r="H1679" s="12">
        <v>998361</v>
      </c>
      <c r="I1679" s="4">
        <v>0</v>
      </c>
      <c r="J1679" s="4">
        <v>0</v>
      </c>
      <c r="K1679" s="4">
        <v>343.58</v>
      </c>
      <c r="L1679" s="4">
        <v>0</v>
      </c>
      <c r="M1679" s="12" t="s">
        <v>571</v>
      </c>
      <c r="N1679" s="13">
        <f t="shared" si="43"/>
        <v>343.58</v>
      </c>
    </row>
    <row r="1680" spans="1:14">
      <c r="A1680" s="12">
        <v>1679</v>
      </c>
      <c r="B1680" s="1" t="s">
        <v>557</v>
      </c>
      <c r="C1680" s="42" t="s">
        <v>558</v>
      </c>
      <c r="D1680" s="42" t="s">
        <v>2639</v>
      </c>
      <c r="E1680" s="42" t="s">
        <v>2560</v>
      </c>
      <c r="F1680" s="4">
        <v>1906.23</v>
      </c>
      <c r="G1680" s="47" t="s">
        <v>570</v>
      </c>
      <c r="H1680" s="12">
        <v>998361</v>
      </c>
      <c r="I1680" s="4">
        <v>0</v>
      </c>
      <c r="J1680" s="4">
        <v>0</v>
      </c>
      <c r="K1680" s="4">
        <v>290.77999999999997</v>
      </c>
      <c r="L1680" s="4">
        <v>0</v>
      </c>
      <c r="M1680" s="12" t="s">
        <v>571</v>
      </c>
      <c r="N1680" s="13">
        <f t="shared" si="43"/>
        <v>290.77999999999997</v>
      </c>
    </row>
    <row r="1681" spans="1:14">
      <c r="A1681" s="12">
        <v>1680</v>
      </c>
      <c r="B1681" s="1" t="s">
        <v>557</v>
      </c>
      <c r="C1681" s="42" t="s">
        <v>558</v>
      </c>
      <c r="D1681" s="42" t="s">
        <v>2640</v>
      </c>
      <c r="E1681" s="42" t="s">
        <v>2641</v>
      </c>
      <c r="F1681" s="4">
        <v>1921.58</v>
      </c>
      <c r="G1681" s="47" t="s">
        <v>570</v>
      </c>
      <c r="H1681" s="12">
        <v>998361</v>
      </c>
      <c r="I1681" s="4">
        <v>0</v>
      </c>
      <c r="J1681" s="4">
        <v>0</v>
      </c>
      <c r="K1681" s="4">
        <v>293.12</v>
      </c>
      <c r="L1681" s="4">
        <v>0</v>
      </c>
      <c r="M1681" s="12" t="s">
        <v>571</v>
      </c>
      <c r="N1681" s="13">
        <f t="shared" si="43"/>
        <v>293.12</v>
      </c>
    </row>
    <row r="1682" spans="1:14">
      <c r="A1682" s="12">
        <v>1681</v>
      </c>
      <c r="B1682" s="1" t="s">
        <v>557</v>
      </c>
      <c r="C1682" s="42" t="s">
        <v>558</v>
      </c>
      <c r="D1682" s="42" t="s">
        <v>2642</v>
      </c>
      <c r="E1682" s="42" t="s">
        <v>2599</v>
      </c>
      <c r="F1682" s="4">
        <v>1906.61</v>
      </c>
      <c r="G1682" s="47" t="s">
        <v>570</v>
      </c>
      <c r="H1682" s="12">
        <v>998361</v>
      </c>
      <c r="I1682" s="4">
        <v>0</v>
      </c>
      <c r="J1682" s="4">
        <v>0</v>
      </c>
      <c r="K1682" s="4">
        <v>290.83999999999997</v>
      </c>
      <c r="L1682" s="4">
        <v>0</v>
      </c>
      <c r="M1682" s="12" t="s">
        <v>571</v>
      </c>
      <c r="N1682" s="13">
        <f t="shared" si="43"/>
        <v>290.83999999999997</v>
      </c>
    </row>
    <row r="1683" spans="1:14">
      <c r="A1683" s="12">
        <v>1682</v>
      </c>
      <c r="B1683" s="1" t="s">
        <v>557</v>
      </c>
      <c r="C1683" s="42" t="s">
        <v>558</v>
      </c>
      <c r="D1683" s="42" t="s">
        <v>2643</v>
      </c>
      <c r="E1683" s="42" t="s">
        <v>2572</v>
      </c>
      <c r="F1683" s="4">
        <v>1870.77</v>
      </c>
      <c r="G1683" s="47" t="s">
        <v>570</v>
      </c>
      <c r="H1683" s="12">
        <v>998361</v>
      </c>
      <c r="I1683" s="4">
        <v>0</v>
      </c>
      <c r="J1683" s="4">
        <v>0</v>
      </c>
      <c r="K1683" s="4">
        <v>285.37</v>
      </c>
      <c r="L1683" s="4">
        <v>0</v>
      </c>
      <c r="M1683" s="12" t="s">
        <v>571</v>
      </c>
      <c r="N1683" s="13">
        <f t="shared" si="43"/>
        <v>285.37</v>
      </c>
    </row>
    <row r="1684" spans="1:14">
      <c r="A1684" s="12">
        <v>1683</v>
      </c>
      <c r="B1684" s="1" t="s">
        <v>557</v>
      </c>
      <c r="C1684" s="42" t="s">
        <v>558</v>
      </c>
      <c r="D1684" s="42" t="s">
        <v>2644</v>
      </c>
      <c r="E1684" s="42" t="s">
        <v>2645</v>
      </c>
      <c r="F1684" s="4">
        <v>1869.96</v>
      </c>
      <c r="G1684" s="47" t="s">
        <v>570</v>
      </c>
      <c r="H1684" s="12">
        <v>998361</v>
      </c>
      <c r="I1684" s="4">
        <v>0</v>
      </c>
      <c r="J1684" s="4">
        <v>0</v>
      </c>
      <c r="K1684" s="4">
        <v>285.25</v>
      </c>
      <c r="L1684" s="4">
        <v>0</v>
      </c>
      <c r="M1684" s="12" t="s">
        <v>571</v>
      </c>
      <c r="N1684" s="13">
        <f t="shared" si="43"/>
        <v>285.25</v>
      </c>
    </row>
    <row r="1685" spans="1:14">
      <c r="A1685" s="12">
        <v>1684</v>
      </c>
      <c r="B1685" s="1" t="s">
        <v>557</v>
      </c>
      <c r="C1685" s="42" t="s">
        <v>558</v>
      </c>
      <c r="D1685" s="42" t="s">
        <v>2646</v>
      </c>
      <c r="E1685" s="42" t="s">
        <v>2647</v>
      </c>
      <c r="F1685" s="4">
        <v>1795.82</v>
      </c>
      <c r="G1685" s="47" t="s">
        <v>570</v>
      </c>
      <c r="H1685" s="12">
        <v>998361</v>
      </c>
      <c r="I1685" s="4">
        <v>0</v>
      </c>
      <c r="J1685" s="4">
        <v>0</v>
      </c>
      <c r="K1685" s="4">
        <v>273.94</v>
      </c>
      <c r="L1685" s="4">
        <v>0</v>
      </c>
      <c r="M1685" s="12" t="s">
        <v>571</v>
      </c>
      <c r="N1685" s="13">
        <f t="shared" si="43"/>
        <v>273.94</v>
      </c>
    </row>
    <row r="1686" spans="1:14">
      <c r="A1686" s="12">
        <v>1685</v>
      </c>
      <c r="B1686" s="1" t="s">
        <v>557</v>
      </c>
      <c r="C1686" s="42" t="s">
        <v>558</v>
      </c>
      <c r="D1686" s="42" t="s">
        <v>2648</v>
      </c>
      <c r="E1686" s="42" t="s">
        <v>2610</v>
      </c>
      <c r="F1686" s="4">
        <v>1956.66</v>
      </c>
      <c r="G1686" s="47" t="s">
        <v>570</v>
      </c>
      <c r="H1686" s="12">
        <v>998361</v>
      </c>
      <c r="I1686" s="4">
        <v>0</v>
      </c>
      <c r="J1686" s="4">
        <v>0</v>
      </c>
      <c r="K1686" s="4">
        <v>298.47000000000003</v>
      </c>
      <c r="L1686" s="4">
        <v>0</v>
      </c>
      <c r="M1686" s="12" t="s">
        <v>571</v>
      </c>
      <c r="N1686" s="13">
        <f t="shared" si="43"/>
        <v>298.47000000000003</v>
      </c>
    </row>
    <row r="1687" spans="1:14">
      <c r="A1687" s="12">
        <v>1686</v>
      </c>
      <c r="B1687" s="1" t="s">
        <v>557</v>
      </c>
      <c r="C1687" s="42" t="s">
        <v>558</v>
      </c>
      <c r="D1687" s="42" t="s">
        <v>2649</v>
      </c>
      <c r="E1687" s="42" t="s">
        <v>2650</v>
      </c>
      <c r="F1687" s="4">
        <v>1061.56</v>
      </c>
      <c r="G1687" s="47" t="s">
        <v>570</v>
      </c>
      <c r="H1687" s="12">
        <v>998361</v>
      </c>
      <c r="I1687" s="4">
        <v>0</v>
      </c>
      <c r="J1687" s="4">
        <v>0</v>
      </c>
      <c r="K1687" s="4">
        <v>161.93</v>
      </c>
      <c r="L1687" s="4">
        <v>0</v>
      </c>
      <c r="M1687" s="12" t="s">
        <v>571</v>
      </c>
      <c r="N1687" s="13">
        <f t="shared" si="43"/>
        <v>161.93</v>
      </c>
    </row>
    <row r="1688" spans="1:14">
      <c r="A1688" s="12">
        <v>1687</v>
      </c>
      <c r="B1688" s="1" t="s">
        <v>557</v>
      </c>
      <c r="C1688" s="42" t="s">
        <v>558</v>
      </c>
      <c r="D1688" s="42" t="s">
        <v>2651</v>
      </c>
      <c r="E1688" s="42" t="s">
        <v>2576</v>
      </c>
      <c r="F1688" s="4">
        <v>0.79</v>
      </c>
      <c r="G1688" s="47" t="s">
        <v>570</v>
      </c>
      <c r="H1688" s="12">
        <v>998361</v>
      </c>
      <c r="I1688" s="4">
        <v>0</v>
      </c>
      <c r="J1688" s="4">
        <v>0</v>
      </c>
      <c r="K1688" s="4">
        <v>0.12</v>
      </c>
      <c r="L1688" s="4">
        <v>0</v>
      </c>
      <c r="M1688" s="12" t="s">
        <v>571</v>
      </c>
      <c r="N1688" s="13">
        <f t="shared" si="43"/>
        <v>0.12</v>
      </c>
    </row>
    <row r="1689" spans="1:14">
      <c r="A1689" s="12">
        <v>1688</v>
      </c>
      <c r="B1689" s="1" t="s">
        <v>557</v>
      </c>
      <c r="C1689" s="42" t="s">
        <v>558</v>
      </c>
      <c r="D1689" s="42" t="s">
        <v>2652</v>
      </c>
      <c r="E1689" s="42" t="s">
        <v>2617</v>
      </c>
      <c r="F1689" s="4">
        <v>2313.04</v>
      </c>
      <c r="G1689" s="47" t="s">
        <v>570</v>
      </c>
      <c r="H1689" s="12">
        <v>998361</v>
      </c>
      <c r="I1689" s="4">
        <v>0</v>
      </c>
      <c r="J1689" s="4">
        <v>0</v>
      </c>
      <c r="K1689" s="4">
        <v>352.84</v>
      </c>
      <c r="L1689" s="4">
        <v>0</v>
      </c>
      <c r="M1689" s="12" t="s">
        <v>571</v>
      </c>
      <c r="N1689" s="13">
        <f t="shared" si="43"/>
        <v>352.84</v>
      </c>
    </row>
    <row r="1690" spans="1:14">
      <c r="A1690" s="12">
        <v>1689</v>
      </c>
      <c r="B1690" s="1" t="s">
        <v>557</v>
      </c>
      <c r="C1690" s="42" t="s">
        <v>558</v>
      </c>
      <c r="D1690" s="42" t="s">
        <v>2653</v>
      </c>
      <c r="E1690" s="42" t="s">
        <v>2601</v>
      </c>
      <c r="F1690" s="4">
        <v>2338.96</v>
      </c>
      <c r="G1690" s="47" t="s">
        <v>570</v>
      </c>
      <c r="H1690" s="12">
        <v>998361</v>
      </c>
      <c r="I1690" s="4">
        <v>0</v>
      </c>
      <c r="J1690" s="4">
        <v>0</v>
      </c>
      <c r="K1690" s="4">
        <v>356.79</v>
      </c>
      <c r="L1690" s="4">
        <v>0</v>
      </c>
      <c r="M1690" s="12" t="s">
        <v>571</v>
      </c>
      <c r="N1690" s="13">
        <f t="shared" si="43"/>
        <v>356.79</v>
      </c>
    </row>
    <row r="1691" spans="1:14">
      <c r="A1691" s="12">
        <v>1690</v>
      </c>
      <c r="B1691" s="1" t="s">
        <v>557</v>
      </c>
      <c r="C1691" s="42" t="s">
        <v>558</v>
      </c>
      <c r="D1691" s="42" t="s">
        <v>2654</v>
      </c>
      <c r="E1691" s="42" t="s">
        <v>2655</v>
      </c>
      <c r="F1691" s="4">
        <v>2340.9899999999998</v>
      </c>
      <c r="G1691" s="47" t="s">
        <v>570</v>
      </c>
      <c r="H1691" s="12">
        <v>998361</v>
      </c>
      <c r="I1691" s="4">
        <v>0</v>
      </c>
      <c r="J1691" s="4">
        <v>0</v>
      </c>
      <c r="K1691" s="4">
        <v>357.1</v>
      </c>
      <c r="L1691" s="4">
        <v>0</v>
      </c>
      <c r="M1691" s="12" t="s">
        <v>571</v>
      </c>
      <c r="N1691" s="13">
        <f t="shared" si="43"/>
        <v>357.1</v>
      </c>
    </row>
    <row r="1692" spans="1:14">
      <c r="A1692" s="12">
        <v>1691</v>
      </c>
      <c r="B1692" s="1" t="s">
        <v>557</v>
      </c>
      <c r="C1692" s="42" t="s">
        <v>558</v>
      </c>
      <c r="D1692" s="42" t="s">
        <v>2656</v>
      </c>
      <c r="E1692" s="42" t="s">
        <v>2580</v>
      </c>
      <c r="F1692" s="4">
        <v>2322.83</v>
      </c>
      <c r="G1692" s="47" t="s">
        <v>570</v>
      </c>
      <c r="H1692" s="12">
        <v>998361</v>
      </c>
      <c r="I1692" s="4">
        <v>0</v>
      </c>
      <c r="J1692" s="4">
        <v>0</v>
      </c>
      <c r="K1692" s="4">
        <v>354.33</v>
      </c>
      <c r="L1692" s="4">
        <v>0</v>
      </c>
      <c r="M1692" s="12" t="s">
        <v>571</v>
      </c>
      <c r="N1692" s="13">
        <f t="shared" si="43"/>
        <v>354.33</v>
      </c>
    </row>
    <row r="1693" spans="1:14">
      <c r="A1693" s="12">
        <v>1692</v>
      </c>
      <c r="B1693" s="1" t="s">
        <v>557</v>
      </c>
      <c r="C1693" s="42" t="s">
        <v>558</v>
      </c>
      <c r="D1693" s="42" t="s">
        <v>2657</v>
      </c>
      <c r="E1693" s="42" t="s">
        <v>2658</v>
      </c>
      <c r="F1693" s="4">
        <v>1910.99</v>
      </c>
      <c r="G1693" s="47" t="s">
        <v>570</v>
      </c>
      <c r="H1693" s="12">
        <v>998361</v>
      </c>
      <c r="I1693" s="4">
        <v>0</v>
      </c>
      <c r="J1693" s="4">
        <v>0</v>
      </c>
      <c r="K1693" s="4">
        <v>291.51</v>
      </c>
      <c r="L1693" s="4">
        <v>0</v>
      </c>
      <c r="M1693" s="12" t="s">
        <v>571</v>
      </c>
      <c r="N1693" s="13">
        <f t="shared" si="43"/>
        <v>291.51</v>
      </c>
    </row>
    <row r="1694" spans="1:14">
      <c r="A1694" s="12">
        <v>1693</v>
      </c>
      <c r="B1694" s="1" t="s">
        <v>557</v>
      </c>
      <c r="C1694" s="42" t="s">
        <v>558</v>
      </c>
      <c r="D1694" s="42" t="s">
        <v>2659</v>
      </c>
      <c r="E1694" s="42" t="s">
        <v>2612</v>
      </c>
      <c r="F1694" s="4">
        <v>2468.3200000000002</v>
      </c>
      <c r="G1694" s="47" t="s">
        <v>570</v>
      </c>
      <c r="H1694" s="12">
        <v>998361</v>
      </c>
      <c r="I1694" s="4">
        <v>0</v>
      </c>
      <c r="J1694" s="4">
        <v>0</v>
      </c>
      <c r="K1694" s="4">
        <v>376.52</v>
      </c>
      <c r="L1694" s="4">
        <v>0</v>
      </c>
      <c r="M1694" s="12" t="s">
        <v>571</v>
      </c>
      <c r="N1694" s="13">
        <f t="shared" si="43"/>
        <v>376.52</v>
      </c>
    </row>
    <row r="1695" spans="1:14">
      <c r="A1695" s="12">
        <v>1694</v>
      </c>
      <c r="B1695" s="1" t="s">
        <v>557</v>
      </c>
      <c r="C1695" s="42" t="s">
        <v>558</v>
      </c>
      <c r="D1695" s="42" t="s">
        <v>2660</v>
      </c>
      <c r="E1695" s="42" t="s">
        <v>2568</v>
      </c>
      <c r="F1695" s="4">
        <v>386.03</v>
      </c>
      <c r="G1695" s="47" t="s">
        <v>570</v>
      </c>
      <c r="H1695" s="12">
        <v>998361</v>
      </c>
      <c r="I1695" s="4">
        <v>0</v>
      </c>
      <c r="J1695" s="4">
        <v>0</v>
      </c>
      <c r="K1695" s="4">
        <v>58.89</v>
      </c>
      <c r="L1695" s="4">
        <v>0</v>
      </c>
      <c r="M1695" s="12" t="s">
        <v>571</v>
      </c>
      <c r="N1695" s="13">
        <f t="shared" si="43"/>
        <v>58.89</v>
      </c>
    </row>
    <row r="1696" spans="1:14">
      <c r="A1696" s="12">
        <v>1695</v>
      </c>
      <c r="B1696" s="1" t="s">
        <v>2661</v>
      </c>
      <c r="C1696" s="42" t="s">
        <v>2662</v>
      </c>
      <c r="D1696" s="42" t="s">
        <v>2663</v>
      </c>
      <c r="E1696" s="42" t="s">
        <v>2568</v>
      </c>
      <c r="F1696" s="4">
        <v>5208</v>
      </c>
      <c r="G1696" s="47" t="s">
        <v>570</v>
      </c>
      <c r="H1696" s="12">
        <v>440362</v>
      </c>
      <c r="I1696" s="4">
        <v>124</v>
      </c>
      <c r="J1696" s="4">
        <v>124</v>
      </c>
      <c r="K1696" s="4">
        <v>0</v>
      </c>
      <c r="L1696" s="4">
        <v>0</v>
      </c>
      <c r="M1696" s="12" t="s">
        <v>571</v>
      </c>
      <c r="N1696" s="13">
        <f t="shared" si="43"/>
        <v>248</v>
      </c>
    </row>
    <row r="1697" spans="1:14">
      <c r="A1697" s="12">
        <v>1696</v>
      </c>
      <c r="B1697" s="1" t="s">
        <v>2664</v>
      </c>
      <c r="C1697" s="42" t="s">
        <v>2665</v>
      </c>
      <c r="D1697" s="42" t="s">
        <v>2666</v>
      </c>
      <c r="E1697" s="42" t="s">
        <v>2560</v>
      </c>
      <c r="F1697" s="4">
        <v>23283.759999999998</v>
      </c>
      <c r="G1697" s="47" t="s">
        <v>570</v>
      </c>
      <c r="H1697" s="12">
        <v>440005</v>
      </c>
      <c r="I1697" s="4">
        <v>1775.88</v>
      </c>
      <c r="J1697" s="4">
        <v>1775.88</v>
      </c>
      <c r="K1697" s="4">
        <v>0</v>
      </c>
      <c r="L1697" s="4">
        <v>0</v>
      </c>
      <c r="M1697" s="12" t="s">
        <v>571</v>
      </c>
      <c r="N1697" s="13">
        <f t="shared" si="43"/>
        <v>3551.76</v>
      </c>
    </row>
    <row r="1698" spans="1:14">
      <c r="A1698" s="12">
        <v>1697</v>
      </c>
      <c r="B1698" s="1" t="s">
        <v>2667</v>
      </c>
      <c r="C1698" s="42" t="s">
        <v>2668</v>
      </c>
      <c r="D1698" s="42" t="s">
        <v>2669</v>
      </c>
      <c r="E1698" s="42" t="s">
        <v>2568</v>
      </c>
      <c r="F1698" s="4">
        <v>35.4</v>
      </c>
      <c r="G1698" s="47" t="s">
        <v>570</v>
      </c>
      <c r="H1698" s="12">
        <v>440225</v>
      </c>
      <c r="I1698" s="4">
        <v>0</v>
      </c>
      <c r="J1698" s="4">
        <v>0</v>
      </c>
      <c r="K1698" s="4">
        <v>5.4</v>
      </c>
      <c r="L1698" s="4">
        <v>0</v>
      </c>
      <c r="M1698" s="12" t="s">
        <v>571</v>
      </c>
      <c r="N1698" s="13">
        <f t="shared" si="43"/>
        <v>5.4</v>
      </c>
    </row>
    <row r="1699" spans="1:14">
      <c r="A1699" s="12">
        <v>1698</v>
      </c>
      <c r="B1699" s="1" t="s">
        <v>2670</v>
      </c>
      <c r="C1699" s="42" t="s">
        <v>2671</v>
      </c>
      <c r="D1699" s="42" t="s">
        <v>2672</v>
      </c>
      <c r="E1699" s="42" t="s">
        <v>2248</v>
      </c>
      <c r="F1699" s="4">
        <v>498</v>
      </c>
      <c r="G1699" s="47" t="s">
        <v>1772</v>
      </c>
      <c r="H1699" s="12">
        <v>4803</v>
      </c>
      <c r="I1699" s="4">
        <v>0</v>
      </c>
      <c r="J1699" s="4">
        <v>0</v>
      </c>
      <c r="K1699" s="4">
        <v>53.36</v>
      </c>
      <c r="L1699" s="4">
        <v>0</v>
      </c>
      <c r="M1699" s="12" t="s">
        <v>571</v>
      </c>
      <c r="N1699" s="13">
        <f t="shared" si="43"/>
        <v>53.36</v>
      </c>
    </row>
    <row r="1700" spans="1:14">
      <c r="A1700" s="12">
        <v>1699</v>
      </c>
      <c r="B1700" s="1" t="s">
        <v>2673</v>
      </c>
      <c r="C1700" s="42" t="s">
        <v>2674</v>
      </c>
      <c r="D1700" s="42" t="s">
        <v>2675</v>
      </c>
      <c r="E1700" s="42" t="s">
        <v>2606</v>
      </c>
      <c r="F1700" s="4">
        <v>24391.38</v>
      </c>
      <c r="G1700" s="47" t="s">
        <v>570</v>
      </c>
      <c r="H1700" s="12">
        <v>441070</v>
      </c>
      <c r="I1700" s="4">
        <v>1306.68</v>
      </c>
      <c r="J1700" s="4">
        <v>1306.68</v>
      </c>
      <c r="K1700" s="4">
        <v>0</v>
      </c>
      <c r="L1700" s="4">
        <v>0</v>
      </c>
      <c r="M1700" s="14" t="s">
        <v>157</v>
      </c>
      <c r="N1700" s="15" t="s">
        <v>202</v>
      </c>
    </row>
    <row r="1701" spans="1:14">
      <c r="A1701" s="12">
        <v>1700</v>
      </c>
      <c r="B1701" s="1" t="s">
        <v>2673</v>
      </c>
      <c r="C1701" s="42" t="s">
        <v>2674</v>
      </c>
      <c r="D1701" s="42" t="s">
        <v>2676</v>
      </c>
      <c r="E1701" s="42" t="s">
        <v>2606</v>
      </c>
      <c r="F1701" s="4">
        <v>69.62</v>
      </c>
      <c r="G1701" s="47" t="s">
        <v>570</v>
      </c>
      <c r="H1701" s="12">
        <v>441070</v>
      </c>
      <c r="I1701" s="4">
        <v>5.31</v>
      </c>
      <c r="J1701" s="4">
        <v>5.31</v>
      </c>
      <c r="K1701" s="4">
        <v>0</v>
      </c>
      <c r="L1701" s="4">
        <v>0</v>
      </c>
      <c r="M1701" s="14" t="s">
        <v>157</v>
      </c>
      <c r="N1701" s="15" t="s">
        <v>202</v>
      </c>
    </row>
    <row r="1702" spans="1:14">
      <c r="A1702" s="12">
        <v>1701</v>
      </c>
      <c r="B1702" s="1" t="s">
        <v>2677</v>
      </c>
      <c r="C1702" s="42" t="s">
        <v>2678</v>
      </c>
      <c r="D1702" s="42" t="s">
        <v>2679</v>
      </c>
      <c r="E1702" s="42" t="s">
        <v>2610</v>
      </c>
      <c r="F1702" s="4">
        <v>651</v>
      </c>
      <c r="G1702" s="47" t="s">
        <v>1772</v>
      </c>
      <c r="H1702" s="12">
        <v>54075410</v>
      </c>
      <c r="I1702" s="4">
        <v>0</v>
      </c>
      <c r="J1702" s="4">
        <v>0</v>
      </c>
      <c r="K1702" s="4">
        <v>69.75</v>
      </c>
      <c r="L1702" s="4">
        <v>0</v>
      </c>
      <c r="M1702" s="14" t="s">
        <v>157</v>
      </c>
      <c r="N1702" s="15" t="s">
        <v>202</v>
      </c>
    </row>
    <row r="1703" spans="1:14">
      <c r="A1703" s="12">
        <v>1702</v>
      </c>
      <c r="B1703" s="1" t="s">
        <v>1737</v>
      </c>
      <c r="C1703" s="42" t="s">
        <v>1738</v>
      </c>
      <c r="D1703" s="42" t="s">
        <v>2680</v>
      </c>
      <c r="E1703" s="42" t="s">
        <v>2568</v>
      </c>
      <c r="F1703" s="4">
        <v>59696</v>
      </c>
      <c r="G1703" s="47" t="s">
        <v>60</v>
      </c>
      <c r="H1703" s="12">
        <v>4911</v>
      </c>
      <c r="I1703" s="4">
        <v>4553.1000000000004</v>
      </c>
      <c r="J1703" s="4">
        <v>4553.1000000000004</v>
      </c>
      <c r="K1703" s="4">
        <v>0</v>
      </c>
      <c r="L1703" s="4">
        <v>0</v>
      </c>
      <c r="M1703" s="12" t="s">
        <v>571</v>
      </c>
      <c r="N1703" s="13">
        <f t="shared" ref="N1703:N1710" si="44">SUM(I1703:K1703)</f>
        <v>9106.2000000000007</v>
      </c>
    </row>
    <row r="1704" spans="1:14">
      <c r="A1704" s="12">
        <v>1703</v>
      </c>
      <c r="B1704" s="1" t="s">
        <v>1740</v>
      </c>
      <c r="C1704" s="42" t="s">
        <v>1741</v>
      </c>
      <c r="D1704" s="42" t="s">
        <v>2681</v>
      </c>
      <c r="E1704" s="42" t="s">
        <v>2597</v>
      </c>
      <c r="F1704" s="4">
        <v>19015</v>
      </c>
      <c r="G1704" s="47" t="s">
        <v>60</v>
      </c>
      <c r="H1704" s="29" t="s">
        <v>1700</v>
      </c>
      <c r="I1704" s="4">
        <v>0</v>
      </c>
      <c r="J1704" s="4">
        <v>0</v>
      </c>
      <c r="K1704" s="4">
        <v>865</v>
      </c>
      <c r="L1704" s="4">
        <v>0</v>
      </c>
      <c r="M1704" s="12" t="s">
        <v>571</v>
      </c>
      <c r="N1704" s="13">
        <f t="shared" si="44"/>
        <v>865</v>
      </c>
    </row>
    <row r="1705" spans="1:14">
      <c r="A1705" s="12">
        <v>1704</v>
      </c>
      <c r="B1705" s="1" t="s">
        <v>1626</v>
      </c>
      <c r="C1705" s="42" t="s">
        <v>1627</v>
      </c>
      <c r="D1705" s="42" t="s">
        <v>2682</v>
      </c>
      <c r="E1705" s="42" t="s">
        <v>2572</v>
      </c>
      <c r="F1705" s="4">
        <v>4602</v>
      </c>
      <c r="G1705" s="47" t="s">
        <v>60</v>
      </c>
      <c r="H1705" s="12">
        <v>3923</v>
      </c>
      <c r="I1705" s="4">
        <v>0</v>
      </c>
      <c r="J1705" s="4">
        <v>0</v>
      </c>
      <c r="K1705" s="4">
        <v>702</v>
      </c>
      <c r="L1705" s="4">
        <v>0</v>
      </c>
      <c r="M1705" s="12" t="s">
        <v>571</v>
      </c>
      <c r="N1705" s="13">
        <f t="shared" si="44"/>
        <v>702</v>
      </c>
    </row>
    <row r="1706" spans="1:14">
      <c r="A1706" s="12">
        <v>1705</v>
      </c>
      <c r="B1706" s="1" t="s">
        <v>1687</v>
      </c>
      <c r="C1706" s="42" t="s">
        <v>1688</v>
      </c>
      <c r="D1706" s="42" t="s">
        <v>2683</v>
      </c>
      <c r="E1706" s="42" t="s">
        <v>2597</v>
      </c>
      <c r="F1706" s="4">
        <v>26495</v>
      </c>
      <c r="G1706" s="47" t="s">
        <v>60</v>
      </c>
      <c r="H1706" s="29" t="s">
        <v>1641</v>
      </c>
      <c r="I1706" s="4">
        <v>630.84</v>
      </c>
      <c r="J1706" s="4">
        <v>630.84</v>
      </c>
      <c r="K1706" s="4">
        <v>0</v>
      </c>
      <c r="L1706" s="4">
        <v>0</v>
      </c>
      <c r="M1706" s="12" t="s">
        <v>571</v>
      </c>
      <c r="N1706" s="13">
        <f t="shared" si="44"/>
        <v>1261.68</v>
      </c>
    </row>
    <row r="1707" spans="1:14">
      <c r="A1707" s="12">
        <v>1706</v>
      </c>
      <c r="B1707" s="1" t="s">
        <v>1687</v>
      </c>
      <c r="C1707" s="42" t="s">
        <v>1688</v>
      </c>
      <c r="D1707" s="42" t="s">
        <v>2684</v>
      </c>
      <c r="E1707" s="42" t="s">
        <v>2645</v>
      </c>
      <c r="F1707" s="4">
        <v>14471</v>
      </c>
      <c r="G1707" s="47" t="s">
        <v>60</v>
      </c>
      <c r="H1707" s="29" t="s">
        <v>1641</v>
      </c>
      <c r="I1707" s="4">
        <v>344.54</v>
      </c>
      <c r="J1707" s="4">
        <v>344.54</v>
      </c>
      <c r="K1707" s="4">
        <v>0</v>
      </c>
      <c r="L1707" s="4">
        <v>0</v>
      </c>
      <c r="M1707" s="12" t="s">
        <v>571</v>
      </c>
      <c r="N1707" s="13">
        <f t="shared" si="44"/>
        <v>689.08</v>
      </c>
    </row>
    <row r="1708" spans="1:14">
      <c r="A1708" s="12">
        <v>1707</v>
      </c>
      <c r="B1708" s="1" t="s">
        <v>1687</v>
      </c>
      <c r="C1708" s="42" t="s">
        <v>1688</v>
      </c>
      <c r="D1708" s="42" t="s">
        <v>2685</v>
      </c>
      <c r="E1708" s="42" t="s">
        <v>2645</v>
      </c>
      <c r="F1708" s="4">
        <v>10328</v>
      </c>
      <c r="G1708" s="47" t="s">
        <v>60</v>
      </c>
      <c r="H1708" s="29" t="s">
        <v>1641</v>
      </c>
      <c r="I1708" s="4">
        <v>245.91</v>
      </c>
      <c r="J1708" s="4">
        <v>245.91</v>
      </c>
      <c r="K1708" s="4">
        <v>0</v>
      </c>
      <c r="L1708" s="4">
        <v>0</v>
      </c>
      <c r="M1708" s="12" t="s">
        <v>571</v>
      </c>
      <c r="N1708" s="13">
        <f t="shared" si="44"/>
        <v>491.82</v>
      </c>
    </row>
    <row r="1709" spans="1:14">
      <c r="A1709" s="12">
        <v>1708</v>
      </c>
      <c r="B1709" s="1" t="s">
        <v>1687</v>
      </c>
      <c r="C1709" s="42" t="s">
        <v>1688</v>
      </c>
      <c r="D1709" s="42" t="s">
        <v>2686</v>
      </c>
      <c r="E1709" s="42" t="s">
        <v>2601</v>
      </c>
      <c r="F1709" s="4">
        <v>6074</v>
      </c>
      <c r="G1709" s="47" t="s">
        <v>60</v>
      </c>
      <c r="H1709" s="29" t="s">
        <v>1641</v>
      </c>
      <c r="I1709" s="4">
        <v>144.62</v>
      </c>
      <c r="J1709" s="4">
        <v>144.62</v>
      </c>
      <c r="K1709" s="4">
        <v>0</v>
      </c>
      <c r="L1709" s="4">
        <v>0</v>
      </c>
      <c r="M1709" s="12" t="s">
        <v>571</v>
      </c>
      <c r="N1709" s="13">
        <f t="shared" si="44"/>
        <v>289.24</v>
      </c>
    </row>
    <row r="1710" spans="1:14">
      <c r="A1710" s="12">
        <v>1709</v>
      </c>
      <c r="B1710" s="1" t="s">
        <v>1687</v>
      </c>
      <c r="C1710" s="42" t="s">
        <v>1688</v>
      </c>
      <c r="D1710" s="42" t="s">
        <v>2687</v>
      </c>
      <c r="E1710" s="42" t="s">
        <v>2612</v>
      </c>
      <c r="F1710" s="4">
        <v>6511</v>
      </c>
      <c r="G1710" s="47" t="s">
        <v>60</v>
      </c>
      <c r="H1710" s="29" t="s">
        <v>1641</v>
      </c>
      <c r="I1710" s="4">
        <v>155.03</v>
      </c>
      <c r="J1710" s="4">
        <v>155.03</v>
      </c>
      <c r="K1710" s="4">
        <v>0</v>
      </c>
      <c r="L1710" s="4">
        <v>0</v>
      </c>
      <c r="M1710" s="12" t="s">
        <v>571</v>
      </c>
      <c r="N1710" s="13">
        <f t="shared" si="44"/>
        <v>310.06</v>
      </c>
    </row>
    <row r="1711" spans="1:14">
      <c r="A1711" s="12">
        <v>1710</v>
      </c>
      <c r="B1711" s="1" t="s">
        <v>2688</v>
      </c>
      <c r="C1711" s="42" t="s">
        <v>2689</v>
      </c>
      <c r="D1711" s="42" t="s">
        <v>2690</v>
      </c>
      <c r="E1711" s="42" t="s">
        <v>2248</v>
      </c>
      <c r="F1711" s="4">
        <v>220</v>
      </c>
      <c r="G1711" s="47" t="s">
        <v>1772</v>
      </c>
      <c r="H1711" s="12">
        <v>9619</v>
      </c>
      <c r="I1711" s="4">
        <v>0</v>
      </c>
      <c r="J1711" s="4">
        <v>0</v>
      </c>
      <c r="K1711" s="4">
        <v>10.48</v>
      </c>
      <c r="L1711" s="4">
        <v>0</v>
      </c>
      <c r="M1711" s="14" t="s">
        <v>157</v>
      </c>
      <c r="N1711" s="15" t="s">
        <v>202</v>
      </c>
    </row>
    <row r="1712" spans="1:14">
      <c r="A1712" s="12">
        <v>1711</v>
      </c>
      <c r="B1712" s="1" t="s">
        <v>2691</v>
      </c>
      <c r="C1712" s="42" t="s">
        <v>2692</v>
      </c>
      <c r="D1712" s="42" t="s">
        <v>2693</v>
      </c>
      <c r="E1712" s="42" t="s">
        <v>2645</v>
      </c>
      <c r="F1712" s="4">
        <v>70800</v>
      </c>
      <c r="G1712" s="47" t="s">
        <v>570</v>
      </c>
      <c r="H1712" s="29" t="s">
        <v>2694</v>
      </c>
      <c r="I1712" s="4">
        <v>5400</v>
      </c>
      <c r="J1712" s="4">
        <v>5400</v>
      </c>
      <c r="K1712" s="4">
        <v>0</v>
      </c>
      <c r="L1712" s="4">
        <v>0</v>
      </c>
      <c r="M1712" s="12" t="s">
        <v>571</v>
      </c>
      <c r="N1712" s="13">
        <f>SUM(I1712:K1712)</f>
        <v>10800</v>
      </c>
    </row>
    <row r="1713" spans="1:14">
      <c r="A1713" s="12">
        <v>1712</v>
      </c>
      <c r="B1713" s="1" t="s">
        <v>524</v>
      </c>
      <c r="C1713" s="42" t="s">
        <v>525</v>
      </c>
      <c r="D1713" s="42" t="s">
        <v>2695</v>
      </c>
      <c r="E1713" s="42" t="s">
        <v>2446</v>
      </c>
      <c r="F1713" s="4">
        <v>207</v>
      </c>
      <c r="G1713" s="47" t="s">
        <v>570</v>
      </c>
      <c r="H1713" s="12">
        <v>998552</v>
      </c>
      <c r="I1713" s="4">
        <v>0</v>
      </c>
      <c r="J1713" s="4">
        <v>0</v>
      </c>
      <c r="K1713" s="4">
        <v>31.58</v>
      </c>
      <c r="L1713" s="4">
        <v>0</v>
      </c>
      <c r="M1713" s="12" t="s">
        <v>571</v>
      </c>
      <c r="N1713" s="13">
        <f>SUM(I1713:K1713)</f>
        <v>31.58</v>
      </c>
    </row>
    <row r="1714" spans="1:14">
      <c r="A1714" s="12">
        <v>1713</v>
      </c>
      <c r="B1714" s="1" t="s">
        <v>2696</v>
      </c>
      <c r="C1714" s="42" t="s">
        <v>2697</v>
      </c>
      <c r="D1714" s="42" t="s">
        <v>2698</v>
      </c>
      <c r="E1714" s="42" t="s">
        <v>2576</v>
      </c>
      <c r="F1714" s="4">
        <v>9941.5</v>
      </c>
      <c r="G1714" s="47" t="s">
        <v>570</v>
      </c>
      <c r="H1714" s="12">
        <v>998361</v>
      </c>
      <c r="I1714" s="4">
        <v>758.25</v>
      </c>
      <c r="J1714" s="4">
        <v>758.25</v>
      </c>
      <c r="K1714" s="4">
        <v>0</v>
      </c>
      <c r="L1714" s="4">
        <v>0</v>
      </c>
      <c r="M1714" s="12" t="s">
        <v>571</v>
      </c>
      <c r="N1714" s="13">
        <f t="shared" ref="N1714:N1731" si="45">SUM(I1714:K1714)</f>
        <v>1516.5</v>
      </c>
    </row>
    <row r="1715" spans="1:14">
      <c r="A1715" s="12">
        <v>1714</v>
      </c>
      <c r="B1715" s="1" t="s">
        <v>2699</v>
      </c>
      <c r="C1715" s="42" t="s">
        <v>2700</v>
      </c>
      <c r="D1715" s="42" t="s">
        <v>2701</v>
      </c>
      <c r="E1715" s="42" t="s">
        <v>2558</v>
      </c>
      <c r="F1715" s="4">
        <v>4130</v>
      </c>
      <c r="G1715" s="47" t="s">
        <v>570</v>
      </c>
      <c r="H1715" s="12">
        <v>997331</v>
      </c>
      <c r="I1715" s="4">
        <v>0</v>
      </c>
      <c r="J1715" s="4">
        <v>0</v>
      </c>
      <c r="K1715" s="4">
        <v>630</v>
      </c>
      <c r="L1715" s="4">
        <v>0</v>
      </c>
      <c r="M1715" s="12" t="s">
        <v>571</v>
      </c>
      <c r="N1715" s="13">
        <f t="shared" si="45"/>
        <v>630</v>
      </c>
    </row>
    <row r="1716" spans="1:14">
      <c r="A1716" s="12">
        <v>1715</v>
      </c>
      <c r="B1716" s="1" t="s">
        <v>1759</v>
      </c>
      <c r="C1716" s="42" t="s">
        <v>1760</v>
      </c>
      <c r="D1716" s="42" t="s">
        <v>2702</v>
      </c>
      <c r="E1716" s="42" t="s">
        <v>2568</v>
      </c>
      <c r="F1716" s="4">
        <v>1590.71</v>
      </c>
      <c r="G1716" s="47" t="s">
        <v>570</v>
      </c>
      <c r="H1716" s="12">
        <v>997159</v>
      </c>
      <c r="I1716" s="4">
        <v>0</v>
      </c>
      <c r="J1716" s="4">
        <v>0</v>
      </c>
      <c r="K1716" s="4">
        <v>242.65</v>
      </c>
      <c r="L1716" s="4">
        <v>0</v>
      </c>
      <c r="M1716" s="12" t="s">
        <v>571</v>
      </c>
      <c r="N1716" s="13">
        <f t="shared" si="45"/>
        <v>242.65</v>
      </c>
    </row>
    <row r="1717" spans="1:14">
      <c r="A1717" s="12">
        <v>1716</v>
      </c>
      <c r="B1717" s="1" t="s">
        <v>1759</v>
      </c>
      <c r="C1717" s="42" t="s">
        <v>1760</v>
      </c>
      <c r="D1717" s="42" t="s">
        <v>2703</v>
      </c>
      <c r="E1717" s="42" t="s">
        <v>2568</v>
      </c>
      <c r="F1717" s="4">
        <v>10371.209999999999</v>
      </c>
      <c r="G1717" s="47" t="s">
        <v>570</v>
      </c>
      <c r="H1717" s="12">
        <v>997159</v>
      </c>
      <c r="I1717" s="4">
        <v>0</v>
      </c>
      <c r="J1717" s="4">
        <v>0</v>
      </c>
      <c r="K1717" s="4">
        <v>1582.05</v>
      </c>
      <c r="L1717" s="4">
        <v>0</v>
      </c>
      <c r="M1717" s="12" t="s">
        <v>571</v>
      </c>
      <c r="N1717" s="13">
        <f t="shared" si="45"/>
        <v>1582.05</v>
      </c>
    </row>
    <row r="1718" spans="1:14">
      <c r="A1718" s="12">
        <v>1717</v>
      </c>
      <c r="B1718" s="1" t="s">
        <v>1776</v>
      </c>
      <c r="C1718" s="42" t="s">
        <v>1777</v>
      </c>
      <c r="D1718" s="42" t="s">
        <v>2704</v>
      </c>
      <c r="E1718" s="42" t="s">
        <v>2625</v>
      </c>
      <c r="F1718" s="4">
        <v>1999.98</v>
      </c>
      <c r="G1718" s="47" t="s">
        <v>570</v>
      </c>
      <c r="H1718" s="12">
        <v>3923</v>
      </c>
      <c r="I1718" s="4">
        <v>152.54</v>
      </c>
      <c r="J1718" s="4">
        <v>152.54</v>
      </c>
      <c r="K1718" s="4">
        <v>0</v>
      </c>
      <c r="L1718" s="4">
        <v>0</v>
      </c>
      <c r="M1718" s="12" t="s">
        <v>571</v>
      </c>
      <c r="N1718" s="13">
        <f t="shared" si="45"/>
        <v>305.08</v>
      </c>
    </row>
    <row r="1719" spans="1:14">
      <c r="A1719" s="12">
        <v>1718</v>
      </c>
      <c r="B1719" s="1" t="s">
        <v>1776</v>
      </c>
      <c r="C1719" s="42" t="s">
        <v>1777</v>
      </c>
      <c r="D1719" s="42" t="s">
        <v>2705</v>
      </c>
      <c r="E1719" s="42" t="s">
        <v>2625</v>
      </c>
      <c r="F1719" s="4">
        <v>3381.06</v>
      </c>
      <c r="G1719" s="47" t="s">
        <v>570</v>
      </c>
      <c r="H1719" s="12">
        <v>3923</v>
      </c>
      <c r="I1719" s="4">
        <v>257.88</v>
      </c>
      <c r="J1719" s="4">
        <v>257.88</v>
      </c>
      <c r="K1719" s="4">
        <v>0</v>
      </c>
      <c r="L1719" s="4">
        <v>0</v>
      </c>
      <c r="M1719" s="12" t="s">
        <v>571</v>
      </c>
      <c r="N1719" s="13">
        <f t="shared" si="45"/>
        <v>515.76</v>
      </c>
    </row>
    <row r="1720" spans="1:14">
      <c r="A1720" s="12">
        <v>1719</v>
      </c>
      <c r="B1720" s="1" t="s">
        <v>1776</v>
      </c>
      <c r="C1720" s="42" t="s">
        <v>1777</v>
      </c>
      <c r="D1720" s="42" t="s">
        <v>2706</v>
      </c>
      <c r="E1720" s="42" t="s">
        <v>2625</v>
      </c>
      <c r="F1720" s="4">
        <v>1869.94</v>
      </c>
      <c r="G1720" s="47" t="s">
        <v>570</v>
      </c>
      <c r="H1720" s="12">
        <v>3923</v>
      </c>
      <c r="I1720" s="4">
        <v>142.62</v>
      </c>
      <c r="J1720" s="4">
        <v>142.62</v>
      </c>
      <c r="K1720" s="4">
        <v>0</v>
      </c>
      <c r="L1720" s="4">
        <v>0</v>
      </c>
      <c r="M1720" s="12" t="s">
        <v>571</v>
      </c>
      <c r="N1720" s="13">
        <f t="shared" si="45"/>
        <v>285.24</v>
      </c>
    </row>
    <row r="1721" spans="1:14">
      <c r="A1721" s="12">
        <v>1720</v>
      </c>
      <c r="B1721" s="1" t="s">
        <v>1776</v>
      </c>
      <c r="C1721" s="42" t="s">
        <v>1777</v>
      </c>
      <c r="D1721" s="42" t="s">
        <v>2707</v>
      </c>
      <c r="E1721" s="42" t="s">
        <v>2625</v>
      </c>
      <c r="F1721" s="4">
        <v>4890.9799999999996</v>
      </c>
      <c r="G1721" s="47" t="s">
        <v>570</v>
      </c>
      <c r="H1721" s="12">
        <v>3923</v>
      </c>
      <c r="I1721" s="4">
        <v>373.04</v>
      </c>
      <c r="J1721" s="4">
        <v>373.04</v>
      </c>
      <c r="K1721" s="4">
        <v>0</v>
      </c>
      <c r="L1721" s="4">
        <v>0</v>
      </c>
      <c r="M1721" s="12" t="s">
        <v>571</v>
      </c>
      <c r="N1721" s="13">
        <f t="shared" si="45"/>
        <v>746.08</v>
      </c>
    </row>
    <row r="1722" spans="1:14">
      <c r="A1722" s="12">
        <v>1721</v>
      </c>
      <c r="B1722" s="1" t="s">
        <v>1776</v>
      </c>
      <c r="C1722" s="42" t="s">
        <v>1777</v>
      </c>
      <c r="D1722" s="42" t="s">
        <v>2708</v>
      </c>
      <c r="E1722" s="42" t="s">
        <v>2625</v>
      </c>
      <c r="F1722" s="4">
        <v>7828.94</v>
      </c>
      <c r="G1722" s="47" t="s">
        <v>570</v>
      </c>
      <c r="H1722" s="12">
        <v>3923</v>
      </c>
      <c r="I1722" s="4">
        <v>597.12</v>
      </c>
      <c r="J1722" s="4">
        <v>597.12</v>
      </c>
      <c r="K1722" s="4">
        <v>0</v>
      </c>
      <c r="L1722" s="4">
        <v>0</v>
      </c>
      <c r="M1722" s="12" t="s">
        <v>571</v>
      </c>
      <c r="N1722" s="13">
        <f t="shared" si="45"/>
        <v>1194.24</v>
      </c>
    </row>
    <row r="1723" spans="1:14">
      <c r="A1723" s="12">
        <v>1722</v>
      </c>
      <c r="B1723" s="1" t="s">
        <v>1776</v>
      </c>
      <c r="C1723" s="42" t="s">
        <v>1777</v>
      </c>
      <c r="D1723" s="42" t="s">
        <v>2709</v>
      </c>
      <c r="E1723" s="42" t="s">
        <v>2625</v>
      </c>
      <c r="F1723" s="4">
        <v>7840.98</v>
      </c>
      <c r="G1723" s="47" t="s">
        <v>570</v>
      </c>
      <c r="H1723" s="12">
        <v>3923</v>
      </c>
      <c r="I1723" s="4">
        <v>598.04</v>
      </c>
      <c r="J1723" s="4">
        <v>598.04</v>
      </c>
      <c r="K1723" s="4">
        <v>0</v>
      </c>
      <c r="L1723" s="4">
        <v>0</v>
      </c>
      <c r="M1723" s="12" t="s">
        <v>571</v>
      </c>
      <c r="N1723" s="13">
        <f t="shared" si="45"/>
        <v>1196.08</v>
      </c>
    </row>
    <row r="1724" spans="1:14">
      <c r="A1724" s="12">
        <v>1723</v>
      </c>
      <c r="B1724" s="1" t="s">
        <v>1776</v>
      </c>
      <c r="C1724" s="42" t="s">
        <v>1777</v>
      </c>
      <c r="D1724" s="42" t="s">
        <v>2710</v>
      </c>
      <c r="E1724" s="42" t="s">
        <v>2625</v>
      </c>
      <c r="F1724" s="4">
        <v>3098.1</v>
      </c>
      <c r="G1724" s="47" t="s">
        <v>570</v>
      </c>
      <c r="H1724" s="12">
        <v>3923</v>
      </c>
      <c r="I1724" s="4">
        <v>236.3</v>
      </c>
      <c r="J1724" s="4">
        <v>236.3</v>
      </c>
      <c r="K1724" s="4">
        <v>0</v>
      </c>
      <c r="L1724" s="4">
        <v>0</v>
      </c>
      <c r="M1724" s="12" t="s">
        <v>571</v>
      </c>
      <c r="N1724" s="13">
        <f t="shared" si="45"/>
        <v>472.6</v>
      </c>
    </row>
    <row r="1725" spans="1:14">
      <c r="A1725" s="12">
        <v>1724</v>
      </c>
      <c r="B1725" s="1" t="s">
        <v>1776</v>
      </c>
      <c r="C1725" s="42" t="s">
        <v>1777</v>
      </c>
      <c r="D1725" s="42" t="s">
        <v>2711</v>
      </c>
      <c r="E1725" s="42" t="s">
        <v>2625</v>
      </c>
      <c r="F1725" s="4">
        <v>2530.98</v>
      </c>
      <c r="G1725" s="47" t="s">
        <v>570</v>
      </c>
      <c r="H1725" s="12">
        <v>3923</v>
      </c>
      <c r="I1725" s="4">
        <v>193.04</v>
      </c>
      <c r="J1725" s="4">
        <v>193.04</v>
      </c>
      <c r="K1725" s="4">
        <v>0</v>
      </c>
      <c r="L1725" s="4">
        <v>0</v>
      </c>
      <c r="M1725" s="12" t="s">
        <v>571</v>
      </c>
      <c r="N1725" s="13">
        <f t="shared" si="45"/>
        <v>386.08</v>
      </c>
    </row>
    <row r="1726" spans="1:14">
      <c r="A1726" s="12">
        <v>1725</v>
      </c>
      <c r="B1726" s="1" t="s">
        <v>1776</v>
      </c>
      <c r="C1726" s="42" t="s">
        <v>1777</v>
      </c>
      <c r="D1726" s="42" t="s">
        <v>2712</v>
      </c>
      <c r="E1726" s="42" t="s">
        <v>2568</v>
      </c>
      <c r="F1726" s="4">
        <v>5061.96</v>
      </c>
      <c r="G1726" s="47" t="s">
        <v>570</v>
      </c>
      <c r="H1726" s="12">
        <v>3923</v>
      </c>
      <c r="I1726" s="4">
        <v>386.08</v>
      </c>
      <c r="J1726" s="4">
        <v>386.08</v>
      </c>
      <c r="K1726" s="4">
        <v>0</v>
      </c>
      <c r="L1726" s="4">
        <v>0</v>
      </c>
      <c r="M1726" s="12" t="s">
        <v>571</v>
      </c>
      <c r="N1726" s="13">
        <f t="shared" si="45"/>
        <v>772.16</v>
      </c>
    </row>
    <row r="1727" spans="1:14">
      <c r="A1727" s="12">
        <v>1726</v>
      </c>
      <c r="B1727" s="1" t="s">
        <v>1776</v>
      </c>
      <c r="C1727" s="42" t="s">
        <v>1777</v>
      </c>
      <c r="D1727" s="42" t="s">
        <v>2713</v>
      </c>
      <c r="E1727" s="42" t="s">
        <v>2568</v>
      </c>
      <c r="F1727" s="4">
        <v>1627.92</v>
      </c>
      <c r="G1727" s="47" t="s">
        <v>570</v>
      </c>
      <c r="H1727" s="12">
        <v>3923</v>
      </c>
      <c r="I1727" s="4">
        <v>124.16</v>
      </c>
      <c r="J1727" s="4">
        <v>124.16</v>
      </c>
      <c r="K1727" s="4">
        <v>0</v>
      </c>
      <c r="L1727" s="4">
        <v>0</v>
      </c>
      <c r="M1727" s="12" t="s">
        <v>571</v>
      </c>
      <c r="N1727" s="13">
        <f t="shared" si="45"/>
        <v>248.32</v>
      </c>
    </row>
    <row r="1728" spans="1:14">
      <c r="A1728" s="12">
        <v>1727</v>
      </c>
      <c r="B1728" s="1" t="s">
        <v>1776</v>
      </c>
      <c r="C1728" s="42" t="s">
        <v>1777</v>
      </c>
      <c r="D1728" s="42" t="s">
        <v>2714</v>
      </c>
      <c r="E1728" s="42" t="s">
        <v>2568</v>
      </c>
      <c r="F1728" s="4">
        <v>1210.0999999999999</v>
      </c>
      <c r="G1728" s="47" t="s">
        <v>570</v>
      </c>
      <c r="H1728" s="12">
        <v>3923</v>
      </c>
      <c r="I1728" s="4">
        <v>92.3</v>
      </c>
      <c r="J1728" s="4">
        <v>92.3</v>
      </c>
      <c r="K1728" s="4">
        <v>0</v>
      </c>
      <c r="L1728" s="4">
        <v>0</v>
      </c>
      <c r="M1728" s="12" t="s">
        <v>571</v>
      </c>
      <c r="N1728" s="13">
        <f t="shared" si="45"/>
        <v>184.6</v>
      </c>
    </row>
    <row r="1729" spans="1:14">
      <c r="A1729" s="12">
        <v>1728</v>
      </c>
      <c r="B1729" s="1" t="s">
        <v>1776</v>
      </c>
      <c r="C1729" s="42" t="s">
        <v>1777</v>
      </c>
      <c r="D1729" s="42" t="s">
        <v>2715</v>
      </c>
      <c r="E1729" s="42" t="s">
        <v>2568</v>
      </c>
      <c r="F1729" s="4">
        <v>2685.1</v>
      </c>
      <c r="G1729" s="47" t="s">
        <v>570</v>
      </c>
      <c r="H1729" s="12">
        <v>3923</v>
      </c>
      <c r="I1729" s="4">
        <v>204.8</v>
      </c>
      <c r="J1729" s="4">
        <v>204.8</v>
      </c>
      <c r="K1729" s="4">
        <v>0</v>
      </c>
      <c r="L1729" s="4">
        <v>0</v>
      </c>
      <c r="M1729" s="12" t="s">
        <v>571</v>
      </c>
      <c r="N1729" s="13">
        <f t="shared" si="45"/>
        <v>409.6</v>
      </c>
    </row>
    <row r="1730" spans="1:14">
      <c r="A1730" s="12">
        <v>1729</v>
      </c>
      <c r="B1730" s="1" t="s">
        <v>1776</v>
      </c>
      <c r="C1730" s="42" t="s">
        <v>1777</v>
      </c>
      <c r="D1730" s="42" t="s">
        <v>2716</v>
      </c>
      <c r="E1730" s="42" t="s">
        <v>2568</v>
      </c>
      <c r="F1730" s="4">
        <v>6018</v>
      </c>
      <c r="G1730" s="47" t="s">
        <v>570</v>
      </c>
      <c r="H1730" s="12">
        <v>3923</v>
      </c>
      <c r="I1730" s="4">
        <v>459</v>
      </c>
      <c r="J1730" s="4">
        <v>459</v>
      </c>
      <c r="K1730" s="4">
        <v>0</v>
      </c>
      <c r="L1730" s="4">
        <v>0</v>
      </c>
      <c r="M1730" s="12" t="s">
        <v>571</v>
      </c>
      <c r="N1730" s="13">
        <f t="shared" si="45"/>
        <v>918</v>
      </c>
    </row>
    <row r="1731" spans="1:14">
      <c r="A1731" s="12">
        <v>1730</v>
      </c>
      <c r="B1731" s="1" t="s">
        <v>1776</v>
      </c>
      <c r="C1731" s="42" t="s">
        <v>1777</v>
      </c>
      <c r="D1731" s="42" t="s">
        <v>2717</v>
      </c>
      <c r="E1731" s="42" t="s">
        <v>2568</v>
      </c>
      <c r="F1731" s="4">
        <v>3853.06</v>
      </c>
      <c r="G1731" s="47" t="s">
        <v>570</v>
      </c>
      <c r="H1731" s="12">
        <v>3923</v>
      </c>
      <c r="I1731" s="4">
        <v>293.88</v>
      </c>
      <c r="J1731" s="4">
        <v>293.88</v>
      </c>
      <c r="K1731" s="4">
        <v>0</v>
      </c>
      <c r="L1731" s="4">
        <v>0</v>
      </c>
      <c r="M1731" s="12" t="s">
        <v>571</v>
      </c>
      <c r="N1731" s="13">
        <f t="shared" si="45"/>
        <v>587.76</v>
      </c>
    </row>
    <row r="1732" spans="1:14">
      <c r="A1732" s="12">
        <v>1731</v>
      </c>
      <c r="B1732" s="1" t="s">
        <v>2718</v>
      </c>
      <c r="C1732" s="42" t="s">
        <v>2719</v>
      </c>
      <c r="D1732" s="42" t="s">
        <v>2720</v>
      </c>
      <c r="E1732" s="42" t="s">
        <v>2152</v>
      </c>
      <c r="F1732" s="4">
        <v>269</v>
      </c>
      <c r="G1732" s="47" t="s">
        <v>2046</v>
      </c>
      <c r="H1732" s="12">
        <v>94051020</v>
      </c>
      <c r="I1732" s="4">
        <v>20.52</v>
      </c>
      <c r="J1732" s="4">
        <v>20.52</v>
      </c>
      <c r="K1732" s="4">
        <v>0</v>
      </c>
      <c r="L1732" s="4">
        <v>0</v>
      </c>
      <c r="M1732" s="14" t="s">
        <v>157</v>
      </c>
      <c r="N1732" s="15" t="s">
        <v>202</v>
      </c>
    </row>
    <row r="1733" spans="1:14">
      <c r="A1733" s="12">
        <v>1732</v>
      </c>
      <c r="B1733" s="1" t="s">
        <v>2721</v>
      </c>
      <c r="C1733" s="42" t="s">
        <v>2722</v>
      </c>
      <c r="D1733" s="42" t="s">
        <v>2723</v>
      </c>
      <c r="E1733" s="42" t="s">
        <v>2622</v>
      </c>
      <c r="F1733" s="4">
        <v>10384</v>
      </c>
      <c r="G1733" s="47" t="s">
        <v>570</v>
      </c>
      <c r="H1733" s="12">
        <v>998596</v>
      </c>
      <c r="I1733" s="4">
        <v>0</v>
      </c>
      <c r="J1733" s="4">
        <v>0</v>
      </c>
      <c r="K1733" s="4">
        <v>1584</v>
      </c>
      <c r="L1733" s="4">
        <v>0</v>
      </c>
      <c r="M1733" s="12" t="s">
        <v>571</v>
      </c>
      <c r="N1733" s="13">
        <f t="shared" ref="N1733:N1742" si="46">SUM(I1733:K1733)</f>
        <v>1584</v>
      </c>
    </row>
    <row r="1734" spans="1:14">
      <c r="A1734" s="12">
        <v>1733</v>
      </c>
      <c r="B1734" s="1" t="s">
        <v>2724</v>
      </c>
      <c r="C1734" s="42" t="s">
        <v>2725</v>
      </c>
      <c r="D1734" s="42" t="s">
        <v>2726</v>
      </c>
      <c r="E1734" s="42" t="s">
        <v>2658</v>
      </c>
      <c r="F1734" s="4">
        <v>185850</v>
      </c>
      <c r="G1734" s="47" t="s">
        <v>60</v>
      </c>
      <c r="H1734" s="29" t="s">
        <v>1641</v>
      </c>
      <c r="I1734" s="4">
        <v>0</v>
      </c>
      <c r="J1734" s="4">
        <v>0</v>
      </c>
      <c r="K1734" s="4">
        <v>28350</v>
      </c>
      <c r="L1734" s="4">
        <v>0</v>
      </c>
      <c r="M1734" s="12" t="s">
        <v>571</v>
      </c>
      <c r="N1734" s="13">
        <f t="shared" si="46"/>
        <v>28350</v>
      </c>
    </row>
    <row r="1735" spans="1:14">
      <c r="A1735" s="12">
        <v>1734</v>
      </c>
      <c r="B1735" s="1" t="s">
        <v>2724</v>
      </c>
      <c r="C1735" s="42" t="s">
        <v>2725</v>
      </c>
      <c r="D1735" s="42" t="s">
        <v>2727</v>
      </c>
      <c r="E1735" s="42" t="s">
        <v>2658</v>
      </c>
      <c r="F1735" s="4">
        <v>7080</v>
      </c>
      <c r="G1735" s="47" t="s">
        <v>60</v>
      </c>
      <c r="H1735" s="29" t="s">
        <v>1641</v>
      </c>
      <c r="I1735" s="4">
        <v>0</v>
      </c>
      <c r="J1735" s="4">
        <v>0</v>
      </c>
      <c r="K1735" s="4">
        <v>1080</v>
      </c>
      <c r="L1735" s="4">
        <v>0</v>
      </c>
      <c r="M1735" s="12" t="s">
        <v>571</v>
      </c>
      <c r="N1735" s="13">
        <f t="shared" si="46"/>
        <v>1080</v>
      </c>
    </row>
    <row r="1736" spans="1:14">
      <c r="A1736" s="12">
        <v>1735</v>
      </c>
      <c r="B1736" s="1" t="s">
        <v>2724</v>
      </c>
      <c r="C1736" s="42" t="s">
        <v>2725</v>
      </c>
      <c r="D1736" s="42" t="s">
        <v>2728</v>
      </c>
      <c r="E1736" s="42" t="s">
        <v>2655</v>
      </c>
      <c r="F1736" s="4">
        <v>220133</v>
      </c>
      <c r="G1736" s="47" t="s">
        <v>60</v>
      </c>
      <c r="H1736" s="29" t="s">
        <v>1641</v>
      </c>
      <c r="I1736" s="4">
        <v>0</v>
      </c>
      <c r="J1736" s="4">
        <v>0</v>
      </c>
      <c r="K1736" s="4">
        <v>10482.5</v>
      </c>
      <c r="L1736" s="4">
        <v>0</v>
      </c>
      <c r="M1736" s="12" t="s">
        <v>571</v>
      </c>
      <c r="N1736" s="13">
        <f t="shared" si="46"/>
        <v>10482.5</v>
      </c>
    </row>
    <row r="1737" spans="1:14">
      <c r="A1737" s="12">
        <v>1736</v>
      </c>
      <c r="B1737" s="1" t="s">
        <v>1793</v>
      </c>
      <c r="C1737" s="42" t="s">
        <v>1794</v>
      </c>
      <c r="D1737" s="42" t="s">
        <v>2729</v>
      </c>
      <c r="E1737" s="42" t="s">
        <v>2568</v>
      </c>
      <c r="F1737" s="4">
        <v>19918.7</v>
      </c>
      <c r="G1737" s="47" t="s">
        <v>570</v>
      </c>
      <c r="H1737" s="12">
        <v>996812</v>
      </c>
      <c r="I1737" s="4">
        <v>1519.22</v>
      </c>
      <c r="J1737" s="4">
        <v>1519.22</v>
      </c>
      <c r="K1737" s="4">
        <v>0</v>
      </c>
      <c r="L1737" s="4">
        <v>0</v>
      </c>
      <c r="M1737" s="12" t="s">
        <v>571</v>
      </c>
      <c r="N1737" s="13">
        <f t="shared" si="46"/>
        <v>3038.44</v>
      </c>
    </row>
    <row r="1738" spans="1:14">
      <c r="A1738" s="12">
        <v>1737</v>
      </c>
      <c r="B1738" s="1" t="s">
        <v>1793</v>
      </c>
      <c r="C1738" s="42" t="s">
        <v>1794</v>
      </c>
      <c r="D1738" s="42" t="s">
        <v>2730</v>
      </c>
      <c r="E1738" s="42" t="s">
        <v>2568</v>
      </c>
      <c r="F1738" s="4">
        <v>159154.03</v>
      </c>
      <c r="G1738" s="47" t="s">
        <v>570</v>
      </c>
      <c r="H1738" s="12">
        <v>996812</v>
      </c>
      <c r="I1738" s="4">
        <v>12138.87</v>
      </c>
      <c r="J1738" s="4">
        <v>12138.87</v>
      </c>
      <c r="K1738" s="4">
        <v>0</v>
      </c>
      <c r="L1738" s="4">
        <v>0</v>
      </c>
      <c r="M1738" s="12" t="s">
        <v>571</v>
      </c>
      <c r="N1738" s="13">
        <f t="shared" si="46"/>
        <v>24277.74</v>
      </c>
    </row>
    <row r="1739" spans="1:14">
      <c r="A1739" s="12">
        <v>1738</v>
      </c>
      <c r="B1739" s="1" t="s">
        <v>1793</v>
      </c>
      <c r="C1739" s="42" t="s">
        <v>1794</v>
      </c>
      <c r="D1739" s="42" t="s">
        <v>2731</v>
      </c>
      <c r="E1739" s="42" t="s">
        <v>2568</v>
      </c>
      <c r="F1739" s="4">
        <v>16032.8</v>
      </c>
      <c r="G1739" s="47" t="s">
        <v>570</v>
      </c>
      <c r="H1739" s="12">
        <v>996812</v>
      </c>
      <c r="I1739" s="4">
        <v>1222.8399999999999</v>
      </c>
      <c r="J1739" s="4">
        <v>1222.8399999999999</v>
      </c>
      <c r="K1739" s="4">
        <v>0</v>
      </c>
      <c r="L1739" s="4">
        <v>0</v>
      </c>
      <c r="M1739" s="12" t="s">
        <v>571</v>
      </c>
      <c r="N1739" s="13">
        <f t="shared" si="46"/>
        <v>2445.6799999999998</v>
      </c>
    </row>
    <row r="1740" spans="1:14">
      <c r="A1740" s="12">
        <v>1739</v>
      </c>
      <c r="B1740" s="1" t="s">
        <v>1793</v>
      </c>
      <c r="C1740" s="42" t="s">
        <v>1794</v>
      </c>
      <c r="D1740" s="42" t="s">
        <v>2732</v>
      </c>
      <c r="E1740" s="42" t="s">
        <v>2568</v>
      </c>
      <c r="F1740" s="4">
        <v>73272.73</v>
      </c>
      <c r="G1740" s="47" t="s">
        <v>570</v>
      </c>
      <c r="H1740" s="12">
        <v>996812</v>
      </c>
      <c r="I1740" s="4">
        <v>5588.6</v>
      </c>
      <c r="J1740" s="4">
        <v>5588.6</v>
      </c>
      <c r="K1740" s="4">
        <v>0</v>
      </c>
      <c r="L1740" s="4">
        <v>0</v>
      </c>
      <c r="M1740" s="12" t="s">
        <v>571</v>
      </c>
      <c r="N1740" s="13">
        <f t="shared" si="46"/>
        <v>11177.2</v>
      </c>
    </row>
    <row r="1741" spans="1:14">
      <c r="A1741" s="12">
        <v>1740</v>
      </c>
      <c r="B1741" s="1" t="s">
        <v>1766</v>
      </c>
      <c r="C1741" s="42" t="s">
        <v>1767</v>
      </c>
      <c r="D1741" s="42" t="s">
        <v>2733</v>
      </c>
      <c r="E1741" s="42" t="s">
        <v>2580</v>
      </c>
      <c r="F1741" s="4">
        <v>335.71</v>
      </c>
      <c r="G1741" s="47" t="s">
        <v>570</v>
      </c>
      <c r="H1741" s="12">
        <v>996511</v>
      </c>
      <c r="I1741" s="4">
        <v>0</v>
      </c>
      <c r="J1741" s="4">
        <v>0</v>
      </c>
      <c r="K1741" s="4">
        <v>51.19</v>
      </c>
      <c r="L1741" s="4">
        <v>0</v>
      </c>
      <c r="M1741" s="12" t="s">
        <v>571</v>
      </c>
      <c r="N1741" s="13">
        <f t="shared" si="46"/>
        <v>51.19</v>
      </c>
    </row>
    <row r="1742" spans="1:14">
      <c r="A1742" s="12">
        <v>1741</v>
      </c>
      <c r="B1742" s="1" t="s">
        <v>1766</v>
      </c>
      <c r="C1742" s="42" t="s">
        <v>1767</v>
      </c>
      <c r="D1742" s="42" t="s">
        <v>2734</v>
      </c>
      <c r="E1742" s="42" t="s">
        <v>2580</v>
      </c>
      <c r="F1742" s="4">
        <v>20398</v>
      </c>
      <c r="G1742" s="47" t="s">
        <v>570</v>
      </c>
      <c r="H1742" s="12">
        <v>996511</v>
      </c>
      <c r="I1742" s="4">
        <v>0</v>
      </c>
      <c r="J1742" s="4">
        <v>0</v>
      </c>
      <c r="K1742" s="4">
        <v>3111.57</v>
      </c>
      <c r="L1742" s="4">
        <v>0</v>
      </c>
      <c r="M1742" s="12" t="s">
        <v>571</v>
      </c>
      <c r="N1742" s="13">
        <f t="shared" si="46"/>
        <v>3111.57</v>
      </c>
    </row>
    <row r="1743" spans="1:14">
      <c r="A1743" s="12">
        <v>1742</v>
      </c>
      <c r="B1743" s="1" t="s">
        <v>2735</v>
      </c>
      <c r="C1743" s="42" t="s">
        <v>2736</v>
      </c>
      <c r="D1743" s="42" t="s">
        <v>2737</v>
      </c>
      <c r="E1743" s="42" t="s">
        <v>2593</v>
      </c>
      <c r="F1743" s="4">
        <v>5134.29</v>
      </c>
      <c r="G1743" s="47" t="s">
        <v>570</v>
      </c>
      <c r="H1743" s="29" t="s">
        <v>642</v>
      </c>
      <c r="I1743" s="4">
        <v>391.6</v>
      </c>
      <c r="J1743" s="4">
        <v>391.6</v>
      </c>
      <c r="K1743" s="4">
        <v>0</v>
      </c>
      <c r="L1743" s="4">
        <v>0</v>
      </c>
      <c r="M1743" s="14" t="s">
        <v>157</v>
      </c>
      <c r="N1743" s="15" t="s">
        <v>202</v>
      </c>
    </row>
    <row r="1744" spans="1:14">
      <c r="A1744" s="12">
        <v>1743</v>
      </c>
      <c r="B1744" s="1" t="s">
        <v>2735</v>
      </c>
      <c r="C1744" s="42" t="s">
        <v>2736</v>
      </c>
      <c r="D1744" s="42" t="s">
        <v>2738</v>
      </c>
      <c r="E1744" s="42" t="s">
        <v>2586</v>
      </c>
      <c r="F1744" s="4">
        <v>11135.94</v>
      </c>
      <c r="G1744" s="47" t="s">
        <v>570</v>
      </c>
      <c r="H1744" s="29" t="s">
        <v>642</v>
      </c>
      <c r="I1744" s="4">
        <v>849.35</v>
      </c>
      <c r="J1744" s="4">
        <v>849.35</v>
      </c>
      <c r="K1744" s="4">
        <v>0</v>
      </c>
      <c r="L1744" s="4">
        <v>0</v>
      </c>
      <c r="M1744" s="14" t="s">
        <v>157</v>
      </c>
      <c r="N1744" s="15" t="s">
        <v>202</v>
      </c>
    </row>
    <row r="1745" spans="1:14">
      <c r="A1745" s="12">
        <v>1744</v>
      </c>
      <c r="B1745" s="1" t="s">
        <v>1799</v>
      </c>
      <c r="C1745" s="42" t="s">
        <v>1800</v>
      </c>
      <c r="D1745" s="42" t="s">
        <v>2739</v>
      </c>
      <c r="E1745" s="42" t="s">
        <v>2568</v>
      </c>
      <c r="F1745" s="4">
        <v>32.92</v>
      </c>
      <c r="G1745" s="47" t="s">
        <v>570</v>
      </c>
      <c r="H1745" s="12">
        <v>997159</v>
      </c>
      <c r="I1745" s="4">
        <v>2.5099999999999998</v>
      </c>
      <c r="J1745" s="4">
        <v>2.5099999999999998</v>
      </c>
      <c r="K1745" s="4">
        <v>0</v>
      </c>
      <c r="L1745" s="4">
        <v>0</v>
      </c>
      <c r="M1745" s="12" t="s">
        <v>571</v>
      </c>
      <c r="N1745" s="13">
        <f t="shared" ref="N1745:N1808" si="47">SUM(I1745:K1745)</f>
        <v>5.0199999999999996</v>
      </c>
    </row>
    <row r="1746" spans="1:14">
      <c r="A1746" s="12">
        <v>1745</v>
      </c>
      <c r="B1746" s="1" t="s">
        <v>2740</v>
      </c>
      <c r="C1746" s="42" t="s">
        <v>2741</v>
      </c>
      <c r="D1746" s="42" t="s">
        <v>2742</v>
      </c>
      <c r="E1746" s="42" t="s">
        <v>2628</v>
      </c>
      <c r="F1746" s="4">
        <v>11800</v>
      </c>
      <c r="G1746" s="47" t="s">
        <v>570</v>
      </c>
      <c r="H1746" s="12">
        <v>998739</v>
      </c>
      <c r="I1746" s="4">
        <v>900</v>
      </c>
      <c r="J1746" s="4">
        <v>900</v>
      </c>
      <c r="K1746" s="4">
        <v>0</v>
      </c>
      <c r="L1746" s="4">
        <v>0</v>
      </c>
      <c r="M1746" s="12" t="s">
        <v>571</v>
      </c>
      <c r="N1746" s="13">
        <f t="shared" si="47"/>
        <v>1800</v>
      </c>
    </row>
    <row r="1747" spans="1:14">
      <c r="A1747" s="12">
        <v>1746</v>
      </c>
      <c r="B1747" s="1" t="s">
        <v>2743</v>
      </c>
      <c r="C1747" s="42" t="s">
        <v>2744</v>
      </c>
      <c r="D1747" s="42" t="s">
        <v>2745</v>
      </c>
      <c r="E1747" s="42" t="s">
        <v>2568</v>
      </c>
      <c r="F1747" s="4">
        <v>656.76</v>
      </c>
      <c r="G1747" s="47" t="s">
        <v>570</v>
      </c>
      <c r="H1747" s="12">
        <v>998540</v>
      </c>
      <c r="I1747" s="4">
        <v>0</v>
      </c>
      <c r="J1747" s="4">
        <v>0</v>
      </c>
      <c r="K1747" s="4">
        <v>100.18</v>
      </c>
      <c r="L1747" s="4">
        <v>0</v>
      </c>
      <c r="M1747" s="12" t="s">
        <v>571</v>
      </c>
      <c r="N1747" s="13">
        <f t="shared" si="47"/>
        <v>100.18</v>
      </c>
    </row>
    <row r="1748" spans="1:14">
      <c r="A1748" s="12">
        <v>1747</v>
      </c>
      <c r="B1748" s="1" t="s">
        <v>1802</v>
      </c>
      <c r="C1748" s="42" t="s">
        <v>1803</v>
      </c>
      <c r="D1748" s="42" t="s">
        <v>2746</v>
      </c>
      <c r="E1748" s="42" t="s">
        <v>2628</v>
      </c>
      <c r="F1748" s="4">
        <v>15750</v>
      </c>
      <c r="G1748" s="47" t="s">
        <v>60</v>
      </c>
      <c r="H1748" s="29" t="s">
        <v>1806</v>
      </c>
      <c r="I1748" s="4">
        <v>0</v>
      </c>
      <c r="J1748" s="4">
        <v>0</v>
      </c>
      <c r="K1748" s="4">
        <v>750</v>
      </c>
      <c r="L1748" s="4">
        <v>0</v>
      </c>
      <c r="M1748" s="12" t="s">
        <v>571</v>
      </c>
      <c r="N1748" s="13">
        <f t="shared" si="47"/>
        <v>750</v>
      </c>
    </row>
    <row r="1749" spans="1:14">
      <c r="A1749" s="12">
        <v>1748</v>
      </c>
      <c r="B1749" s="1" t="s">
        <v>2747</v>
      </c>
      <c r="C1749" s="42" t="s">
        <v>2748</v>
      </c>
      <c r="D1749" s="42" t="s">
        <v>2749</v>
      </c>
      <c r="E1749" s="42" t="s">
        <v>2572</v>
      </c>
      <c r="F1749" s="4">
        <v>3033</v>
      </c>
      <c r="G1749" s="47" t="s">
        <v>60</v>
      </c>
      <c r="H1749" s="29" t="s">
        <v>1806</v>
      </c>
      <c r="I1749" s="4">
        <v>0</v>
      </c>
      <c r="J1749" s="4">
        <v>0</v>
      </c>
      <c r="K1749" s="4">
        <v>462.6</v>
      </c>
      <c r="L1749" s="4">
        <v>0</v>
      </c>
      <c r="M1749" s="12" t="s">
        <v>571</v>
      </c>
      <c r="N1749" s="13">
        <f t="shared" si="47"/>
        <v>462.6</v>
      </c>
    </row>
    <row r="1750" spans="1:14">
      <c r="A1750" s="12">
        <v>1749</v>
      </c>
      <c r="B1750" s="1" t="s">
        <v>2750</v>
      </c>
      <c r="C1750" s="42" t="s">
        <v>2751</v>
      </c>
      <c r="D1750" s="42" t="s">
        <v>2752</v>
      </c>
      <c r="E1750" s="42" t="s">
        <v>2641</v>
      </c>
      <c r="F1750" s="4">
        <v>6450</v>
      </c>
      <c r="G1750" s="47" t="s">
        <v>1772</v>
      </c>
      <c r="H1750" s="12">
        <v>1702</v>
      </c>
      <c r="I1750" s="4">
        <v>153.58000000000001</v>
      </c>
      <c r="J1750" s="4">
        <v>153.58000000000001</v>
      </c>
      <c r="K1750" s="4">
        <v>0</v>
      </c>
      <c r="L1750" s="4">
        <v>0</v>
      </c>
      <c r="M1750" s="12" t="s">
        <v>571</v>
      </c>
      <c r="N1750" s="13">
        <f t="shared" si="47"/>
        <v>307.16000000000003</v>
      </c>
    </row>
    <row r="1751" spans="1:14">
      <c r="A1751" s="12">
        <v>1750</v>
      </c>
      <c r="B1751" s="1" t="s">
        <v>1799</v>
      </c>
      <c r="C1751" s="42" t="s">
        <v>1800</v>
      </c>
      <c r="D1751" s="42" t="s">
        <v>2753</v>
      </c>
      <c r="E1751" s="42" t="s">
        <v>2568</v>
      </c>
      <c r="F1751" s="12">
        <v>-3.19</v>
      </c>
      <c r="G1751" s="47" t="s">
        <v>570</v>
      </c>
      <c r="H1751" s="12">
        <v>997159</v>
      </c>
      <c r="I1751" s="12">
        <v>-0.24</v>
      </c>
      <c r="J1751" s="12">
        <v>-0.24</v>
      </c>
      <c r="K1751" s="12">
        <v>0</v>
      </c>
      <c r="L1751" s="4">
        <v>0</v>
      </c>
      <c r="M1751" s="12" t="s">
        <v>571</v>
      </c>
      <c r="N1751" s="13">
        <f t="shared" si="47"/>
        <v>-0.48</v>
      </c>
    </row>
    <row r="1752" spans="1:14">
      <c r="A1752" s="12">
        <v>1751</v>
      </c>
      <c r="B1752" s="1" t="s">
        <v>557</v>
      </c>
      <c r="C1752" s="42" t="s">
        <v>558</v>
      </c>
      <c r="D1752" s="42" t="s">
        <v>2754</v>
      </c>
      <c r="E1752" s="42" t="s">
        <v>2650</v>
      </c>
      <c r="F1752" s="12">
        <v>-0.37</v>
      </c>
      <c r="G1752" s="47" t="s">
        <v>570</v>
      </c>
      <c r="H1752" s="12">
        <v>998361</v>
      </c>
      <c r="I1752" s="12">
        <v>0</v>
      </c>
      <c r="J1752" s="12">
        <v>0</v>
      </c>
      <c r="K1752" s="12">
        <v>-0.06</v>
      </c>
      <c r="L1752" s="4">
        <v>0</v>
      </c>
      <c r="M1752" s="12" t="s">
        <v>571</v>
      </c>
      <c r="N1752" s="13">
        <f t="shared" si="47"/>
        <v>-0.06</v>
      </c>
    </row>
    <row r="1753" spans="1:14">
      <c r="A1753" s="12">
        <v>1752</v>
      </c>
      <c r="B1753" s="1" t="s">
        <v>2550</v>
      </c>
      <c r="C1753" s="42" t="s">
        <v>2551</v>
      </c>
      <c r="D1753" s="42" t="s">
        <v>2755</v>
      </c>
      <c r="E1753" s="42" t="s">
        <v>2568</v>
      </c>
      <c r="F1753" s="12">
        <v>-708</v>
      </c>
      <c r="G1753" s="47" t="s">
        <v>570</v>
      </c>
      <c r="H1753" s="12">
        <v>998319</v>
      </c>
      <c r="I1753" s="12">
        <v>0</v>
      </c>
      <c r="J1753" s="12">
        <v>0</v>
      </c>
      <c r="K1753" s="12">
        <v>-108</v>
      </c>
      <c r="L1753" s="4">
        <v>0</v>
      </c>
      <c r="M1753" s="12" t="s">
        <v>571</v>
      </c>
      <c r="N1753" s="13">
        <f t="shared" si="47"/>
        <v>-108</v>
      </c>
    </row>
    <row r="1754" spans="1:14">
      <c r="A1754" s="12">
        <v>1753</v>
      </c>
      <c r="B1754" s="1" t="s">
        <v>1824</v>
      </c>
      <c r="C1754" s="42" t="s">
        <v>1825</v>
      </c>
      <c r="D1754" s="42" t="s">
        <v>2756</v>
      </c>
      <c r="E1754" s="42" t="s">
        <v>2576</v>
      </c>
      <c r="F1754" s="12">
        <v>-396.48</v>
      </c>
      <c r="G1754" s="47" t="s">
        <v>570</v>
      </c>
      <c r="H1754" s="12">
        <v>997159</v>
      </c>
      <c r="I1754" s="12">
        <v>0</v>
      </c>
      <c r="J1754" s="12">
        <v>0</v>
      </c>
      <c r="K1754" s="12">
        <v>-60.48</v>
      </c>
      <c r="L1754" s="4">
        <v>0</v>
      </c>
      <c r="M1754" s="12" t="s">
        <v>571</v>
      </c>
      <c r="N1754" s="13">
        <f t="shared" si="47"/>
        <v>-60.48</v>
      </c>
    </row>
    <row r="1755" spans="1:14">
      <c r="A1755" s="12">
        <v>1754</v>
      </c>
      <c r="B1755" s="1" t="s">
        <v>1824</v>
      </c>
      <c r="C1755" s="42" t="s">
        <v>1825</v>
      </c>
      <c r="D1755" s="42" t="s">
        <v>2757</v>
      </c>
      <c r="E1755" s="42" t="s">
        <v>2758</v>
      </c>
      <c r="F1755" s="4">
        <v>3109.21</v>
      </c>
      <c r="G1755" s="47" t="s">
        <v>570</v>
      </c>
      <c r="H1755" s="12">
        <v>997159</v>
      </c>
      <c r="I1755" s="4">
        <v>0</v>
      </c>
      <c r="J1755" s="4">
        <v>0</v>
      </c>
      <c r="K1755" s="4">
        <v>474.24</v>
      </c>
      <c r="L1755" s="4">
        <v>0</v>
      </c>
      <c r="M1755" s="12" t="s">
        <v>571</v>
      </c>
      <c r="N1755" s="13">
        <f t="shared" si="47"/>
        <v>474.24</v>
      </c>
    </row>
    <row r="1756" spans="1:14">
      <c r="A1756" s="12">
        <v>1755</v>
      </c>
      <c r="B1756" s="1" t="s">
        <v>1824</v>
      </c>
      <c r="C1756" s="42" t="s">
        <v>1825</v>
      </c>
      <c r="D1756" s="42" t="s">
        <v>2759</v>
      </c>
      <c r="E1756" s="42" t="s">
        <v>2758</v>
      </c>
      <c r="F1756" s="4">
        <v>37.090000000000003</v>
      </c>
      <c r="G1756" s="47" t="s">
        <v>570</v>
      </c>
      <c r="H1756" s="12">
        <v>997159</v>
      </c>
      <c r="I1756" s="4">
        <v>0</v>
      </c>
      <c r="J1756" s="4">
        <v>0</v>
      </c>
      <c r="K1756" s="4">
        <v>5.65</v>
      </c>
      <c r="L1756" s="4">
        <v>0</v>
      </c>
      <c r="M1756" s="12" t="s">
        <v>571</v>
      </c>
      <c r="N1756" s="13">
        <f t="shared" si="47"/>
        <v>5.65</v>
      </c>
    </row>
    <row r="1757" spans="1:14">
      <c r="A1757" s="12">
        <v>1756</v>
      </c>
      <c r="B1757" s="1" t="s">
        <v>1824</v>
      </c>
      <c r="C1757" s="42" t="s">
        <v>1825</v>
      </c>
      <c r="D1757" s="42" t="s">
        <v>2760</v>
      </c>
      <c r="E1757" s="42" t="s">
        <v>2758</v>
      </c>
      <c r="F1757" s="4">
        <v>57.3</v>
      </c>
      <c r="G1757" s="47" t="s">
        <v>570</v>
      </c>
      <c r="H1757" s="12">
        <v>997159</v>
      </c>
      <c r="I1757" s="4">
        <v>0</v>
      </c>
      <c r="J1757" s="4">
        <v>0</v>
      </c>
      <c r="K1757" s="4">
        <v>8.74</v>
      </c>
      <c r="L1757" s="4">
        <v>0</v>
      </c>
      <c r="M1757" s="12" t="s">
        <v>571</v>
      </c>
      <c r="N1757" s="13">
        <f t="shared" si="47"/>
        <v>8.74</v>
      </c>
    </row>
    <row r="1758" spans="1:14">
      <c r="A1758" s="12">
        <v>1757</v>
      </c>
      <c r="B1758" s="1" t="s">
        <v>1876</v>
      </c>
      <c r="C1758" s="42" t="s">
        <v>1877</v>
      </c>
      <c r="D1758" s="42" t="s">
        <v>2761</v>
      </c>
      <c r="E1758" s="42" t="s">
        <v>2758</v>
      </c>
      <c r="F1758" s="4">
        <v>57969</v>
      </c>
      <c r="G1758" s="47" t="s">
        <v>570</v>
      </c>
      <c r="H1758" s="12">
        <v>3923</v>
      </c>
      <c r="I1758" s="4">
        <v>4421.34</v>
      </c>
      <c r="J1758" s="4">
        <v>4421.34</v>
      </c>
      <c r="K1758" s="4">
        <v>0</v>
      </c>
      <c r="L1758" s="4">
        <v>0</v>
      </c>
      <c r="M1758" s="12" t="s">
        <v>571</v>
      </c>
      <c r="N1758" s="13">
        <f t="shared" si="47"/>
        <v>8842.68</v>
      </c>
    </row>
    <row r="1759" spans="1:14">
      <c r="A1759" s="12">
        <v>1758</v>
      </c>
      <c r="B1759" s="1" t="s">
        <v>1884</v>
      </c>
      <c r="C1759" s="42" t="s">
        <v>1885</v>
      </c>
      <c r="D1759" s="42" t="s">
        <v>2762</v>
      </c>
      <c r="E1759" s="42" t="s">
        <v>2763</v>
      </c>
      <c r="F1759" s="4">
        <v>12285</v>
      </c>
      <c r="G1759" s="47" t="s">
        <v>60</v>
      </c>
      <c r="H1759" s="12">
        <v>4823</v>
      </c>
      <c r="I1759" s="4">
        <v>0</v>
      </c>
      <c r="J1759" s="4">
        <v>0</v>
      </c>
      <c r="K1759" s="4">
        <v>585</v>
      </c>
      <c r="L1759" s="4">
        <v>0</v>
      </c>
      <c r="M1759" s="12" t="s">
        <v>571</v>
      </c>
      <c r="N1759" s="13">
        <f t="shared" si="47"/>
        <v>585</v>
      </c>
    </row>
    <row r="1760" spans="1:14">
      <c r="A1760" s="12">
        <v>1759</v>
      </c>
      <c r="B1760" s="1" t="s">
        <v>1820</v>
      </c>
      <c r="C1760" s="42" t="s">
        <v>1821</v>
      </c>
      <c r="D1760" s="42" t="s">
        <v>2764</v>
      </c>
      <c r="E1760" s="42" t="s">
        <v>2765</v>
      </c>
      <c r="F1760" s="4">
        <v>2363</v>
      </c>
      <c r="G1760" s="47" t="s">
        <v>60</v>
      </c>
      <c r="H1760" s="29" t="s">
        <v>1641</v>
      </c>
      <c r="I1760" s="4">
        <v>0</v>
      </c>
      <c r="J1760" s="4">
        <v>0</v>
      </c>
      <c r="K1760" s="4">
        <v>112.5</v>
      </c>
      <c r="L1760" s="4">
        <v>0</v>
      </c>
      <c r="M1760" s="12" t="s">
        <v>571</v>
      </c>
      <c r="N1760" s="13">
        <f t="shared" si="47"/>
        <v>112.5</v>
      </c>
    </row>
    <row r="1761" spans="1:14">
      <c r="A1761" s="12">
        <v>1760</v>
      </c>
      <c r="B1761" s="1" t="s">
        <v>1820</v>
      </c>
      <c r="C1761" s="42" t="s">
        <v>1821</v>
      </c>
      <c r="D1761" s="42" t="s">
        <v>2766</v>
      </c>
      <c r="E1761" s="42" t="s">
        <v>2767</v>
      </c>
      <c r="F1761" s="4">
        <v>19740</v>
      </c>
      <c r="G1761" s="47" t="s">
        <v>60</v>
      </c>
      <c r="H1761" s="29" t="s">
        <v>1806</v>
      </c>
      <c r="I1761" s="4">
        <v>0</v>
      </c>
      <c r="J1761" s="4">
        <v>0</v>
      </c>
      <c r="K1761" s="4">
        <v>940</v>
      </c>
      <c r="L1761" s="4">
        <v>0</v>
      </c>
      <c r="M1761" s="12" t="s">
        <v>571</v>
      </c>
      <c r="N1761" s="13">
        <f t="shared" si="47"/>
        <v>940</v>
      </c>
    </row>
    <row r="1762" spans="1:14">
      <c r="A1762" s="12">
        <v>1761</v>
      </c>
      <c r="B1762" s="1" t="s">
        <v>2768</v>
      </c>
      <c r="C1762" s="42" t="s">
        <v>2769</v>
      </c>
      <c r="D1762" s="42" t="s">
        <v>2770</v>
      </c>
      <c r="E1762" s="42" t="s">
        <v>2631</v>
      </c>
      <c r="F1762" s="4">
        <v>995</v>
      </c>
      <c r="G1762" s="47" t="s">
        <v>1772</v>
      </c>
      <c r="H1762" s="12">
        <v>3924</v>
      </c>
      <c r="I1762" s="4">
        <v>0</v>
      </c>
      <c r="J1762" s="4">
        <v>0</v>
      </c>
      <c r="K1762" s="4">
        <v>151.78</v>
      </c>
      <c r="L1762" s="4">
        <v>0</v>
      </c>
      <c r="M1762" s="12" t="s">
        <v>571</v>
      </c>
      <c r="N1762" s="13">
        <f t="shared" si="47"/>
        <v>151.78</v>
      </c>
    </row>
    <row r="1763" spans="1:14">
      <c r="A1763" s="12">
        <v>1762</v>
      </c>
      <c r="B1763" s="1" t="s">
        <v>1869</v>
      </c>
      <c r="C1763" s="42" t="s">
        <v>1870</v>
      </c>
      <c r="D1763" s="42" t="s">
        <v>2771</v>
      </c>
      <c r="E1763" s="42" t="s">
        <v>2765</v>
      </c>
      <c r="F1763" s="4">
        <v>20790</v>
      </c>
      <c r="G1763" s="47" t="s">
        <v>570</v>
      </c>
      <c r="H1763" s="12">
        <v>996812</v>
      </c>
      <c r="I1763" s="4">
        <v>1585.68</v>
      </c>
      <c r="J1763" s="4">
        <v>1585.68</v>
      </c>
      <c r="K1763" s="4">
        <v>0</v>
      </c>
      <c r="L1763" s="4">
        <v>0</v>
      </c>
      <c r="M1763" s="12" t="s">
        <v>571</v>
      </c>
      <c r="N1763" s="13">
        <f t="shared" si="47"/>
        <v>3171.36</v>
      </c>
    </row>
    <row r="1764" spans="1:14">
      <c r="A1764" s="12">
        <v>1763</v>
      </c>
      <c r="B1764" s="1" t="s">
        <v>1793</v>
      </c>
      <c r="C1764" s="42" t="s">
        <v>1794</v>
      </c>
      <c r="D1764" s="42" t="s">
        <v>2772</v>
      </c>
      <c r="E1764" s="42" t="s">
        <v>2758</v>
      </c>
      <c r="F1764" s="4">
        <v>29476.15</v>
      </c>
      <c r="G1764" s="47" t="s">
        <v>570</v>
      </c>
      <c r="H1764" s="12">
        <v>996812</v>
      </c>
      <c r="I1764" s="4">
        <v>2248.1799999999998</v>
      </c>
      <c r="J1764" s="4">
        <v>2248.1799999999998</v>
      </c>
      <c r="K1764" s="4">
        <v>0</v>
      </c>
      <c r="L1764" s="4">
        <v>0</v>
      </c>
      <c r="M1764" s="12" t="s">
        <v>571</v>
      </c>
      <c r="N1764" s="13">
        <f t="shared" si="47"/>
        <v>4496.3599999999997</v>
      </c>
    </row>
    <row r="1765" spans="1:14">
      <c r="A1765" s="12">
        <v>1764</v>
      </c>
      <c r="B1765" s="1" t="s">
        <v>1793</v>
      </c>
      <c r="C1765" s="42" t="s">
        <v>1794</v>
      </c>
      <c r="D1765" s="42" t="s">
        <v>2773</v>
      </c>
      <c r="E1765" s="42" t="s">
        <v>2758</v>
      </c>
      <c r="F1765" s="4">
        <v>160736.60999999999</v>
      </c>
      <c r="G1765" s="47" t="s">
        <v>570</v>
      </c>
      <c r="H1765" s="12">
        <v>996812</v>
      </c>
      <c r="I1765" s="4">
        <v>12259.57</v>
      </c>
      <c r="J1765" s="4">
        <v>12259.57</v>
      </c>
      <c r="K1765" s="4">
        <v>0</v>
      </c>
      <c r="L1765" s="4">
        <v>0</v>
      </c>
      <c r="M1765" s="12" t="s">
        <v>571</v>
      </c>
      <c r="N1765" s="13">
        <f t="shared" si="47"/>
        <v>24519.14</v>
      </c>
    </row>
    <row r="1766" spans="1:14">
      <c r="A1766" s="12">
        <v>1765</v>
      </c>
      <c r="B1766" s="1" t="s">
        <v>1793</v>
      </c>
      <c r="C1766" s="42" t="s">
        <v>1794</v>
      </c>
      <c r="D1766" s="42" t="s">
        <v>2774</v>
      </c>
      <c r="E1766" s="42" t="s">
        <v>2758</v>
      </c>
      <c r="F1766" s="4">
        <v>3053.18</v>
      </c>
      <c r="G1766" s="47" t="s">
        <v>570</v>
      </c>
      <c r="H1766" s="12">
        <v>996812</v>
      </c>
      <c r="I1766" s="4">
        <v>232.87</v>
      </c>
      <c r="J1766" s="4">
        <v>232.87</v>
      </c>
      <c r="K1766" s="4">
        <v>0</v>
      </c>
      <c r="L1766" s="4">
        <v>0</v>
      </c>
      <c r="M1766" s="12" t="s">
        <v>571</v>
      </c>
      <c r="N1766" s="13">
        <f t="shared" si="47"/>
        <v>465.74</v>
      </c>
    </row>
    <row r="1767" spans="1:14">
      <c r="A1767" s="12">
        <v>1766</v>
      </c>
      <c r="B1767" s="1" t="s">
        <v>1793</v>
      </c>
      <c r="C1767" s="42" t="s">
        <v>1794</v>
      </c>
      <c r="D1767" s="42" t="s">
        <v>2775</v>
      </c>
      <c r="E1767" s="42" t="s">
        <v>2758</v>
      </c>
      <c r="F1767" s="4">
        <v>268348.77</v>
      </c>
      <c r="G1767" s="47" t="s">
        <v>570</v>
      </c>
      <c r="H1767" s="12">
        <v>996812</v>
      </c>
      <c r="I1767" s="4">
        <v>20467.28</v>
      </c>
      <c r="J1767" s="4">
        <v>20467.28</v>
      </c>
      <c r="K1767" s="4">
        <v>0</v>
      </c>
      <c r="L1767" s="4">
        <v>0</v>
      </c>
      <c r="M1767" s="12" t="s">
        <v>571</v>
      </c>
      <c r="N1767" s="13">
        <f t="shared" si="47"/>
        <v>40934.559999999998</v>
      </c>
    </row>
    <row r="1768" spans="1:14">
      <c r="A1768" s="12">
        <v>1767</v>
      </c>
      <c r="B1768" s="1" t="s">
        <v>2082</v>
      </c>
      <c r="C1768" s="42" t="s">
        <v>2083</v>
      </c>
      <c r="D1768" s="42" t="s">
        <v>2776</v>
      </c>
      <c r="E1768" s="42" t="s">
        <v>2777</v>
      </c>
      <c r="F1768" s="4">
        <v>17434</v>
      </c>
      <c r="G1768" s="47" t="s">
        <v>60</v>
      </c>
      <c r="H1768" s="29" t="s">
        <v>1792</v>
      </c>
      <c r="I1768" s="4">
        <v>415.09</v>
      </c>
      <c r="J1768" s="4">
        <v>415.09</v>
      </c>
      <c r="K1768" s="4">
        <v>0</v>
      </c>
      <c r="L1768" s="4">
        <v>0</v>
      </c>
      <c r="M1768" s="12" t="s">
        <v>571</v>
      </c>
      <c r="N1768" s="13">
        <f t="shared" si="47"/>
        <v>830.18</v>
      </c>
    </row>
    <row r="1769" spans="1:14">
      <c r="A1769" s="12">
        <v>1768</v>
      </c>
      <c r="B1769" s="1" t="s">
        <v>2003</v>
      </c>
      <c r="C1769" s="42" t="s">
        <v>2004</v>
      </c>
      <c r="D1769" s="42" t="s">
        <v>2778</v>
      </c>
      <c r="E1769" s="42" t="s">
        <v>2779</v>
      </c>
      <c r="F1769" s="4">
        <v>10000</v>
      </c>
      <c r="G1769" s="47" t="s">
        <v>570</v>
      </c>
      <c r="H1769" s="12">
        <v>9983</v>
      </c>
      <c r="I1769" s="4">
        <v>762.71</v>
      </c>
      <c r="J1769" s="4">
        <v>762.71</v>
      </c>
      <c r="K1769" s="4">
        <v>0</v>
      </c>
      <c r="L1769" s="4">
        <v>0</v>
      </c>
      <c r="M1769" s="12" t="s">
        <v>571</v>
      </c>
      <c r="N1769" s="13">
        <f t="shared" si="47"/>
        <v>1525.42</v>
      </c>
    </row>
    <row r="1770" spans="1:14">
      <c r="A1770" s="12">
        <v>1769</v>
      </c>
      <c r="B1770" s="1" t="s">
        <v>1637</v>
      </c>
      <c r="C1770" s="42" t="s">
        <v>1638</v>
      </c>
      <c r="D1770" s="42" t="s">
        <v>2780</v>
      </c>
      <c r="E1770" s="42" t="s">
        <v>2620</v>
      </c>
      <c r="F1770" s="4">
        <v>45018.75</v>
      </c>
      <c r="G1770" s="47" t="s">
        <v>60</v>
      </c>
      <c r="H1770" s="29" t="s">
        <v>1641</v>
      </c>
      <c r="I1770" s="4">
        <v>0</v>
      </c>
      <c r="J1770" s="4">
        <v>0</v>
      </c>
      <c r="K1770" s="4">
        <v>2143.75</v>
      </c>
      <c r="L1770" s="4">
        <v>0</v>
      </c>
      <c r="M1770" s="12" t="s">
        <v>571</v>
      </c>
      <c r="N1770" s="13">
        <f t="shared" si="47"/>
        <v>2143.75</v>
      </c>
    </row>
    <row r="1771" spans="1:14">
      <c r="A1771" s="12">
        <v>1770</v>
      </c>
      <c r="B1771" s="1" t="s">
        <v>1637</v>
      </c>
      <c r="C1771" s="42" t="s">
        <v>1638</v>
      </c>
      <c r="D1771" s="42" t="s">
        <v>2781</v>
      </c>
      <c r="E1771" s="42" t="s">
        <v>2620</v>
      </c>
      <c r="F1771" s="4">
        <v>3127</v>
      </c>
      <c r="G1771" s="47" t="s">
        <v>60</v>
      </c>
      <c r="H1771" s="12">
        <v>3923</v>
      </c>
      <c r="I1771" s="4">
        <v>0</v>
      </c>
      <c r="J1771" s="4">
        <v>0</v>
      </c>
      <c r="K1771" s="4">
        <v>477</v>
      </c>
      <c r="L1771" s="4">
        <v>0</v>
      </c>
      <c r="M1771" s="12" t="s">
        <v>571</v>
      </c>
      <c r="N1771" s="13">
        <f t="shared" si="47"/>
        <v>477</v>
      </c>
    </row>
    <row r="1772" spans="1:14">
      <c r="A1772" s="12">
        <v>1771</v>
      </c>
      <c r="B1772" s="1" t="s">
        <v>1637</v>
      </c>
      <c r="C1772" s="42" t="s">
        <v>1638</v>
      </c>
      <c r="D1772" s="42" t="s">
        <v>2782</v>
      </c>
      <c r="E1772" s="42" t="s">
        <v>2565</v>
      </c>
      <c r="F1772" s="4">
        <v>37859.85</v>
      </c>
      <c r="G1772" s="47" t="s">
        <v>60</v>
      </c>
      <c r="H1772" s="29" t="s">
        <v>1641</v>
      </c>
      <c r="I1772" s="4">
        <v>0</v>
      </c>
      <c r="J1772" s="4">
        <v>0</v>
      </c>
      <c r="K1772" s="4">
        <v>1802.85</v>
      </c>
      <c r="L1772" s="4">
        <v>0</v>
      </c>
      <c r="M1772" s="12" t="s">
        <v>571</v>
      </c>
      <c r="N1772" s="13">
        <f t="shared" si="47"/>
        <v>1802.85</v>
      </c>
    </row>
    <row r="1773" spans="1:14">
      <c r="A1773" s="12">
        <v>1772</v>
      </c>
      <c r="B1773" s="1" t="s">
        <v>1637</v>
      </c>
      <c r="C1773" s="42" t="s">
        <v>1638</v>
      </c>
      <c r="D1773" s="42" t="s">
        <v>2783</v>
      </c>
      <c r="E1773" s="42" t="s">
        <v>2625</v>
      </c>
      <c r="F1773" s="4">
        <v>3628.5</v>
      </c>
      <c r="G1773" s="47" t="s">
        <v>60</v>
      </c>
      <c r="H1773" s="12">
        <v>3923</v>
      </c>
      <c r="I1773" s="4">
        <v>0</v>
      </c>
      <c r="J1773" s="4">
        <v>0</v>
      </c>
      <c r="K1773" s="4">
        <v>553.5</v>
      </c>
      <c r="L1773" s="4">
        <v>0</v>
      </c>
      <c r="M1773" s="12" t="s">
        <v>571</v>
      </c>
      <c r="N1773" s="13">
        <f t="shared" si="47"/>
        <v>553.5</v>
      </c>
    </row>
    <row r="1774" spans="1:14">
      <c r="A1774" s="12">
        <v>1773</v>
      </c>
      <c r="B1774" s="1" t="s">
        <v>1637</v>
      </c>
      <c r="C1774" s="42" t="s">
        <v>1638</v>
      </c>
      <c r="D1774" s="42" t="s">
        <v>2784</v>
      </c>
      <c r="E1774" s="42" t="s">
        <v>2625</v>
      </c>
      <c r="F1774" s="4">
        <v>21238.35</v>
      </c>
      <c r="G1774" s="47" t="s">
        <v>60</v>
      </c>
      <c r="H1774" s="29" t="s">
        <v>1641</v>
      </c>
      <c r="I1774" s="4">
        <v>0</v>
      </c>
      <c r="J1774" s="4">
        <v>0</v>
      </c>
      <c r="K1774" s="4">
        <v>1011.35</v>
      </c>
      <c r="L1774" s="4">
        <v>0</v>
      </c>
      <c r="M1774" s="12" t="s">
        <v>571</v>
      </c>
      <c r="N1774" s="13">
        <f t="shared" si="47"/>
        <v>1011.35</v>
      </c>
    </row>
    <row r="1775" spans="1:14">
      <c r="A1775" s="12">
        <v>1774</v>
      </c>
      <c r="B1775" s="1" t="s">
        <v>1637</v>
      </c>
      <c r="C1775" s="42" t="s">
        <v>1638</v>
      </c>
      <c r="D1775" s="42" t="s">
        <v>2785</v>
      </c>
      <c r="E1775" s="42" t="s">
        <v>2606</v>
      </c>
      <c r="F1775" s="4">
        <v>25221</v>
      </c>
      <c r="G1775" s="47" t="s">
        <v>60</v>
      </c>
      <c r="H1775" s="29" t="s">
        <v>1641</v>
      </c>
      <c r="I1775" s="4">
        <v>0</v>
      </c>
      <c r="J1775" s="4">
        <v>0</v>
      </c>
      <c r="K1775" s="4">
        <v>1201</v>
      </c>
      <c r="L1775" s="4">
        <v>0</v>
      </c>
      <c r="M1775" s="12" t="s">
        <v>571</v>
      </c>
      <c r="N1775" s="13">
        <f t="shared" si="47"/>
        <v>1201</v>
      </c>
    </row>
    <row r="1776" spans="1:14">
      <c r="A1776" s="12">
        <v>1775</v>
      </c>
      <c r="B1776" s="1" t="s">
        <v>1637</v>
      </c>
      <c r="C1776" s="42" t="s">
        <v>1638</v>
      </c>
      <c r="D1776" s="42" t="s">
        <v>2786</v>
      </c>
      <c r="E1776" s="42" t="s">
        <v>2606</v>
      </c>
      <c r="F1776" s="4">
        <v>2360</v>
      </c>
      <c r="G1776" s="47" t="s">
        <v>60</v>
      </c>
      <c r="H1776" s="12">
        <v>4819</v>
      </c>
      <c r="I1776" s="4">
        <v>0</v>
      </c>
      <c r="J1776" s="4">
        <v>0</v>
      </c>
      <c r="K1776" s="4">
        <v>360</v>
      </c>
      <c r="L1776" s="4">
        <v>0</v>
      </c>
      <c r="M1776" s="12" t="s">
        <v>571</v>
      </c>
      <c r="N1776" s="13">
        <f t="shared" si="47"/>
        <v>360</v>
      </c>
    </row>
    <row r="1777" spans="1:14">
      <c r="A1777" s="12">
        <v>1776</v>
      </c>
      <c r="B1777" s="1" t="s">
        <v>1637</v>
      </c>
      <c r="C1777" s="42" t="s">
        <v>1638</v>
      </c>
      <c r="D1777" s="42" t="s">
        <v>2787</v>
      </c>
      <c r="E1777" s="42" t="s">
        <v>2606</v>
      </c>
      <c r="F1777" s="4">
        <v>22019.03</v>
      </c>
      <c r="G1777" s="47" t="s">
        <v>60</v>
      </c>
      <c r="H1777" s="29" t="s">
        <v>1641</v>
      </c>
      <c r="I1777" s="4">
        <v>0</v>
      </c>
      <c r="J1777" s="4">
        <v>0</v>
      </c>
      <c r="K1777" s="4">
        <v>1048.53</v>
      </c>
      <c r="L1777" s="4">
        <v>0</v>
      </c>
      <c r="M1777" s="12" t="s">
        <v>571</v>
      </c>
      <c r="N1777" s="13">
        <f t="shared" si="47"/>
        <v>1048.53</v>
      </c>
    </row>
    <row r="1778" spans="1:14">
      <c r="A1778" s="12">
        <v>1777</v>
      </c>
      <c r="B1778" s="1" t="s">
        <v>1637</v>
      </c>
      <c r="C1778" s="42" t="s">
        <v>1638</v>
      </c>
      <c r="D1778" s="42" t="s">
        <v>2788</v>
      </c>
      <c r="E1778" s="42" t="s">
        <v>2628</v>
      </c>
      <c r="F1778" s="4">
        <v>44241.75</v>
      </c>
      <c r="G1778" s="47" t="s">
        <v>60</v>
      </c>
      <c r="H1778" s="29" t="s">
        <v>1641</v>
      </c>
      <c r="I1778" s="4">
        <v>0</v>
      </c>
      <c r="J1778" s="4">
        <v>0</v>
      </c>
      <c r="K1778" s="4">
        <v>2106.75</v>
      </c>
      <c r="L1778" s="4">
        <v>0</v>
      </c>
      <c r="M1778" s="12" t="s">
        <v>571</v>
      </c>
      <c r="N1778" s="13">
        <f t="shared" si="47"/>
        <v>2106.75</v>
      </c>
    </row>
    <row r="1779" spans="1:14">
      <c r="A1779" s="12">
        <v>1778</v>
      </c>
      <c r="B1779" s="1" t="s">
        <v>1637</v>
      </c>
      <c r="C1779" s="42" t="s">
        <v>1638</v>
      </c>
      <c r="D1779" s="42" t="s">
        <v>2789</v>
      </c>
      <c r="E1779" s="42" t="s">
        <v>2603</v>
      </c>
      <c r="F1779" s="4">
        <v>13860</v>
      </c>
      <c r="G1779" s="47" t="s">
        <v>60</v>
      </c>
      <c r="H1779" s="29" t="s">
        <v>1641</v>
      </c>
      <c r="I1779" s="4">
        <v>0</v>
      </c>
      <c r="J1779" s="4">
        <v>0</v>
      </c>
      <c r="K1779" s="4">
        <v>660</v>
      </c>
      <c r="L1779" s="4">
        <v>0</v>
      </c>
      <c r="M1779" s="12" t="s">
        <v>571</v>
      </c>
      <c r="N1779" s="13">
        <f t="shared" si="47"/>
        <v>660</v>
      </c>
    </row>
    <row r="1780" spans="1:14">
      <c r="A1780" s="12">
        <v>1779</v>
      </c>
      <c r="B1780" s="1" t="s">
        <v>1637</v>
      </c>
      <c r="C1780" s="42" t="s">
        <v>1638</v>
      </c>
      <c r="D1780" s="42" t="s">
        <v>2790</v>
      </c>
      <c r="E1780" s="42" t="s">
        <v>2603</v>
      </c>
      <c r="F1780" s="4">
        <v>29906.1</v>
      </c>
      <c r="G1780" s="47" t="s">
        <v>60</v>
      </c>
      <c r="H1780" s="29" t="s">
        <v>1641</v>
      </c>
      <c r="I1780" s="4">
        <v>0</v>
      </c>
      <c r="J1780" s="4">
        <v>0</v>
      </c>
      <c r="K1780" s="4">
        <v>1424.1</v>
      </c>
      <c r="L1780" s="4">
        <v>0</v>
      </c>
      <c r="M1780" s="12" t="s">
        <v>571</v>
      </c>
      <c r="N1780" s="13">
        <f t="shared" si="47"/>
        <v>1424.1</v>
      </c>
    </row>
    <row r="1781" spans="1:14">
      <c r="A1781" s="12">
        <v>1780</v>
      </c>
      <c r="B1781" s="1" t="s">
        <v>1637</v>
      </c>
      <c r="C1781" s="42" t="s">
        <v>1638</v>
      </c>
      <c r="D1781" s="42" t="s">
        <v>2791</v>
      </c>
      <c r="E1781" s="42" t="s">
        <v>2792</v>
      </c>
      <c r="F1781" s="4">
        <v>12803</v>
      </c>
      <c r="G1781" s="47" t="s">
        <v>60</v>
      </c>
      <c r="H1781" s="12">
        <v>7310</v>
      </c>
      <c r="I1781" s="4">
        <v>0</v>
      </c>
      <c r="J1781" s="4">
        <v>0</v>
      </c>
      <c r="K1781" s="4">
        <v>1953</v>
      </c>
      <c r="L1781" s="4">
        <v>0</v>
      </c>
      <c r="M1781" s="12" t="s">
        <v>571</v>
      </c>
      <c r="N1781" s="13">
        <f t="shared" si="47"/>
        <v>1953</v>
      </c>
    </row>
    <row r="1782" spans="1:14">
      <c r="A1782" s="12">
        <v>1781</v>
      </c>
      <c r="B1782" s="1" t="s">
        <v>1637</v>
      </c>
      <c r="C1782" s="42" t="s">
        <v>1638</v>
      </c>
      <c r="D1782" s="42" t="s">
        <v>2793</v>
      </c>
      <c r="E1782" s="42" t="s">
        <v>2792</v>
      </c>
      <c r="F1782" s="4">
        <v>33337.5</v>
      </c>
      <c r="G1782" s="47" t="s">
        <v>60</v>
      </c>
      <c r="H1782" s="29" t="s">
        <v>1641</v>
      </c>
      <c r="I1782" s="4">
        <v>0</v>
      </c>
      <c r="J1782" s="4">
        <v>0</v>
      </c>
      <c r="K1782" s="4">
        <v>1587.5</v>
      </c>
      <c r="L1782" s="4">
        <v>0</v>
      </c>
      <c r="M1782" s="12" t="s">
        <v>571</v>
      </c>
      <c r="N1782" s="13">
        <f t="shared" si="47"/>
        <v>1587.5</v>
      </c>
    </row>
    <row r="1783" spans="1:14">
      <c r="A1783" s="12">
        <v>1782</v>
      </c>
      <c r="B1783" s="1" t="s">
        <v>1637</v>
      </c>
      <c r="C1783" s="42" t="s">
        <v>1638</v>
      </c>
      <c r="D1783" s="42" t="s">
        <v>2794</v>
      </c>
      <c r="E1783" s="42" t="s">
        <v>2792</v>
      </c>
      <c r="F1783" s="4">
        <v>3386.6</v>
      </c>
      <c r="G1783" s="47" t="s">
        <v>60</v>
      </c>
      <c r="H1783" s="12">
        <v>4819</v>
      </c>
      <c r="I1783" s="4">
        <v>0</v>
      </c>
      <c r="J1783" s="4">
        <v>0</v>
      </c>
      <c r="K1783" s="4">
        <v>516.6</v>
      </c>
      <c r="L1783" s="4">
        <v>0</v>
      </c>
      <c r="M1783" s="12" t="s">
        <v>571</v>
      </c>
      <c r="N1783" s="13">
        <f t="shared" si="47"/>
        <v>516.6</v>
      </c>
    </row>
    <row r="1784" spans="1:14">
      <c r="A1784" s="12">
        <v>1783</v>
      </c>
      <c r="B1784" s="1" t="s">
        <v>1637</v>
      </c>
      <c r="C1784" s="42" t="s">
        <v>1638</v>
      </c>
      <c r="D1784" s="42" t="s">
        <v>2795</v>
      </c>
      <c r="E1784" s="42" t="s">
        <v>2631</v>
      </c>
      <c r="F1784" s="4">
        <v>35324.1</v>
      </c>
      <c r="G1784" s="47" t="s">
        <v>60</v>
      </c>
      <c r="H1784" s="29" t="s">
        <v>1641</v>
      </c>
      <c r="I1784" s="4">
        <v>0</v>
      </c>
      <c r="J1784" s="4">
        <v>0</v>
      </c>
      <c r="K1784" s="4">
        <v>1682.1</v>
      </c>
      <c r="L1784" s="4">
        <v>0</v>
      </c>
      <c r="M1784" s="12" t="s">
        <v>571</v>
      </c>
      <c r="N1784" s="13">
        <f t="shared" si="47"/>
        <v>1682.1</v>
      </c>
    </row>
    <row r="1785" spans="1:14">
      <c r="A1785" s="12">
        <v>1784</v>
      </c>
      <c r="B1785" s="1" t="s">
        <v>1637</v>
      </c>
      <c r="C1785" s="42" t="s">
        <v>1638</v>
      </c>
      <c r="D1785" s="42" t="s">
        <v>2796</v>
      </c>
      <c r="E1785" s="42" t="s">
        <v>2631</v>
      </c>
      <c r="F1785" s="4">
        <v>8074.74</v>
      </c>
      <c r="G1785" s="47" t="s">
        <v>60</v>
      </c>
      <c r="H1785" s="12">
        <v>4819</v>
      </c>
      <c r="I1785" s="4">
        <v>0</v>
      </c>
      <c r="J1785" s="4">
        <v>0</v>
      </c>
      <c r="K1785" s="4">
        <v>1231.74</v>
      </c>
      <c r="L1785" s="4">
        <v>0</v>
      </c>
      <c r="M1785" s="12" t="s">
        <v>571</v>
      </c>
      <c r="N1785" s="13">
        <f t="shared" si="47"/>
        <v>1231.74</v>
      </c>
    </row>
    <row r="1786" spans="1:14">
      <c r="A1786" s="12">
        <v>1785</v>
      </c>
      <c r="B1786" s="1" t="s">
        <v>1637</v>
      </c>
      <c r="C1786" s="42" t="s">
        <v>1638</v>
      </c>
      <c r="D1786" s="42" t="s">
        <v>2797</v>
      </c>
      <c r="E1786" s="42" t="s">
        <v>2608</v>
      </c>
      <c r="F1786" s="4">
        <v>18349.8</v>
      </c>
      <c r="G1786" s="47" t="s">
        <v>60</v>
      </c>
      <c r="H1786" s="29" t="s">
        <v>1641</v>
      </c>
      <c r="I1786" s="4">
        <v>0</v>
      </c>
      <c r="J1786" s="4">
        <v>0</v>
      </c>
      <c r="K1786" s="4">
        <v>873.8</v>
      </c>
      <c r="L1786" s="4">
        <v>0</v>
      </c>
      <c r="M1786" s="12" t="s">
        <v>571</v>
      </c>
      <c r="N1786" s="13">
        <f t="shared" si="47"/>
        <v>873.8</v>
      </c>
    </row>
    <row r="1787" spans="1:14">
      <c r="A1787" s="12">
        <v>1786</v>
      </c>
      <c r="B1787" s="1" t="s">
        <v>1637</v>
      </c>
      <c r="C1787" s="42" t="s">
        <v>1638</v>
      </c>
      <c r="D1787" s="42" t="s">
        <v>2798</v>
      </c>
      <c r="E1787" s="42" t="s">
        <v>2608</v>
      </c>
      <c r="F1787" s="4">
        <v>1038.4000000000001</v>
      </c>
      <c r="G1787" s="47" t="s">
        <v>60</v>
      </c>
      <c r="H1787" s="12">
        <v>4819</v>
      </c>
      <c r="I1787" s="4">
        <v>0</v>
      </c>
      <c r="J1787" s="4">
        <v>0</v>
      </c>
      <c r="K1787" s="4">
        <v>158.4</v>
      </c>
      <c r="L1787" s="4">
        <v>0</v>
      </c>
      <c r="M1787" s="12" t="s">
        <v>571</v>
      </c>
      <c r="N1787" s="13">
        <f t="shared" si="47"/>
        <v>158.4</v>
      </c>
    </row>
    <row r="1788" spans="1:14">
      <c r="A1788" s="12">
        <v>1787</v>
      </c>
      <c r="B1788" s="1" t="s">
        <v>1637</v>
      </c>
      <c r="C1788" s="42" t="s">
        <v>1638</v>
      </c>
      <c r="D1788" s="42" t="s">
        <v>2799</v>
      </c>
      <c r="E1788" s="42" t="s">
        <v>2608</v>
      </c>
      <c r="F1788" s="4">
        <v>17319.75</v>
      </c>
      <c r="G1788" s="47" t="s">
        <v>60</v>
      </c>
      <c r="H1788" s="29" t="s">
        <v>1641</v>
      </c>
      <c r="I1788" s="4">
        <v>0</v>
      </c>
      <c r="J1788" s="4">
        <v>0</v>
      </c>
      <c r="K1788" s="4">
        <v>824.75</v>
      </c>
      <c r="L1788" s="4">
        <v>0</v>
      </c>
      <c r="M1788" s="12" t="s">
        <v>571</v>
      </c>
      <c r="N1788" s="13">
        <f t="shared" si="47"/>
        <v>824.75</v>
      </c>
    </row>
    <row r="1789" spans="1:14">
      <c r="A1789" s="12">
        <v>1788</v>
      </c>
      <c r="B1789" s="1" t="s">
        <v>1637</v>
      </c>
      <c r="C1789" s="42" t="s">
        <v>1638</v>
      </c>
      <c r="D1789" s="42" t="s">
        <v>2800</v>
      </c>
      <c r="E1789" s="42" t="s">
        <v>2608</v>
      </c>
      <c r="F1789" s="4">
        <v>11665.5</v>
      </c>
      <c r="G1789" s="47" t="s">
        <v>60</v>
      </c>
      <c r="H1789" s="29" t="s">
        <v>1641</v>
      </c>
      <c r="I1789" s="4">
        <v>0</v>
      </c>
      <c r="J1789" s="4">
        <v>0</v>
      </c>
      <c r="K1789" s="4">
        <v>555.5</v>
      </c>
      <c r="L1789" s="4">
        <v>0</v>
      </c>
      <c r="M1789" s="12" t="s">
        <v>571</v>
      </c>
      <c r="N1789" s="13">
        <f t="shared" si="47"/>
        <v>555.5</v>
      </c>
    </row>
    <row r="1790" spans="1:14">
      <c r="A1790" s="12">
        <v>1789</v>
      </c>
      <c r="B1790" s="1" t="s">
        <v>1637</v>
      </c>
      <c r="C1790" s="42" t="s">
        <v>1638</v>
      </c>
      <c r="D1790" s="42" t="s">
        <v>2801</v>
      </c>
      <c r="E1790" s="42" t="s">
        <v>2586</v>
      </c>
      <c r="F1790" s="4">
        <v>28320</v>
      </c>
      <c r="G1790" s="47" t="s">
        <v>60</v>
      </c>
      <c r="H1790" s="12">
        <v>7310</v>
      </c>
      <c r="I1790" s="4">
        <v>0</v>
      </c>
      <c r="J1790" s="4">
        <v>0</v>
      </c>
      <c r="K1790" s="4">
        <v>4320</v>
      </c>
      <c r="L1790" s="4">
        <v>0</v>
      </c>
      <c r="M1790" s="12" t="s">
        <v>571</v>
      </c>
      <c r="N1790" s="13">
        <f t="shared" si="47"/>
        <v>4320</v>
      </c>
    </row>
    <row r="1791" spans="1:14">
      <c r="A1791" s="12">
        <v>1790</v>
      </c>
      <c r="B1791" s="1" t="s">
        <v>1637</v>
      </c>
      <c r="C1791" s="42" t="s">
        <v>1638</v>
      </c>
      <c r="D1791" s="42" t="s">
        <v>2802</v>
      </c>
      <c r="E1791" s="42" t="s">
        <v>2586</v>
      </c>
      <c r="F1791" s="4">
        <v>22832.04</v>
      </c>
      <c r="G1791" s="47" t="s">
        <v>60</v>
      </c>
      <c r="H1791" s="29" t="s">
        <v>1641</v>
      </c>
      <c r="I1791" s="4">
        <v>0</v>
      </c>
      <c r="J1791" s="4">
        <v>0</v>
      </c>
      <c r="K1791" s="4">
        <v>1087.24</v>
      </c>
      <c r="L1791" s="4">
        <v>0</v>
      </c>
      <c r="M1791" s="12" t="s">
        <v>571</v>
      </c>
      <c r="N1791" s="13">
        <f t="shared" si="47"/>
        <v>1087.24</v>
      </c>
    </row>
    <row r="1792" spans="1:14">
      <c r="A1792" s="12">
        <v>1791</v>
      </c>
      <c r="B1792" s="1" t="s">
        <v>1637</v>
      </c>
      <c r="C1792" s="42" t="s">
        <v>1638</v>
      </c>
      <c r="D1792" s="42" t="s">
        <v>2803</v>
      </c>
      <c r="E1792" s="42" t="s">
        <v>2586</v>
      </c>
      <c r="F1792" s="4">
        <v>31270</v>
      </c>
      <c r="G1792" s="47" t="s">
        <v>60</v>
      </c>
      <c r="H1792" s="12">
        <v>7310</v>
      </c>
      <c r="I1792" s="4">
        <v>0</v>
      </c>
      <c r="J1792" s="4">
        <v>0</v>
      </c>
      <c r="K1792" s="4">
        <v>4770</v>
      </c>
      <c r="L1792" s="4">
        <v>0</v>
      </c>
      <c r="M1792" s="12" t="s">
        <v>571</v>
      </c>
      <c r="N1792" s="13">
        <f t="shared" si="47"/>
        <v>4770</v>
      </c>
    </row>
    <row r="1793" spans="1:14">
      <c r="A1793" s="12">
        <v>1792</v>
      </c>
      <c r="B1793" s="1" t="s">
        <v>1637</v>
      </c>
      <c r="C1793" s="42" t="s">
        <v>1638</v>
      </c>
      <c r="D1793" s="42" t="s">
        <v>2804</v>
      </c>
      <c r="E1793" s="42" t="s">
        <v>2558</v>
      </c>
      <c r="F1793" s="4">
        <v>26176.5</v>
      </c>
      <c r="G1793" s="47" t="s">
        <v>60</v>
      </c>
      <c r="H1793" s="29" t="s">
        <v>1641</v>
      </c>
      <c r="I1793" s="4">
        <v>0</v>
      </c>
      <c r="J1793" s="4">
        <v>0</v>
      </c>
      <c r="K1793" s="4">
        <v>1246.5</v>
      </c>
      <c r="L1793" s="4">
        <v>0</v>
      </c>
      <c r="M1793" s="12" t="s">
        <v>571</v>
      </c>
      <c r="N1793" s="13">
        <f t="shared" si="47"/>
        <v>1246.5</v>
      </c>
    </row>
    <row r="1794" spans="1:14">
      <c r="A1794" s="12">
        <v>1793</v>
      </c>
      <c r="B1794" s="1" t="s">
        <v>1637</v>
      </c>
      <c r="C1794" s="42" t="s">
        <v>1638</v>
      </c>
      <c r="D1794" s="42" t="s">
        <v>2805</v>
      </c>
      <c r="E1794" s="42" t="s">
        <v>2558</v>
      </c>
      <c r="F1794" s="4">
        <v>32450</v>
      </c>
      <c r="G1794" s="47" t="s">
        <v>60</v>
      </c>
      <c r="H1794" s="12">
        <v>3923</v>
      </c>
      <c r="I1794" s="4">
        <v>0</v>
      </c>
      <c r="J1794" s="4">
        <v>0</v>
      </c>
      <c r="K1794" s="4">
        <v>4950</v>
      </c>
      <c r="L1794" s="4">
        <v>0</v>
      </c>
      <c r="M1794" s="12" t="s">
        <v>571</v>
      </c>
      <c r="N1794" s="13">
        <f t="shared" si="47"/>
        <v>4950</v>
      </c>
    </row>
    <row r="1795" spans="1:14">
      <c r="A1795" s="12">
        <v>1794</v>
      </c>
      <c r="B1795" s="1" t="s">
        <v>1637</v>
      </c>
      <c r="C1795" s="42" t="s">
        <v>1638</v>
      </c>
      <c r="D1795" s="42" t="s">
        <v>2806</v>
      </c>
      <c r="E1795" s="42" t="s">
        <v>2597</v>
      </c>
      <c r="F1795" s="4">
        <v>27436.5</v>
      </c>
      <c r="G1795" s="47" t="s">
        <v>60</v>
      </c>
      <c r="H1795" s="29" t="s">
        <v>1641</v>
      </c>
      <c r="I1795" s="4">
        <v>0</v>
      </c>
      <c r="J1795" s="4">
        <v>0</v>
      </c>
      <c r="K1795" s="4">
        <v>1306.5</v>
      </c>
      <c r="L1795" s="4">
        <v>0</v>
      </c>
      <c r="M1795" s="12" t="s">
        <v>571</v>
      </c>
      <c r="N1795" s="13">
        <f t="shared" si="47"/>
        <v>1306.5</v>
      </c>
    </row>
    <row r="1796" spans="1:14">
      <c r="A1796" s="12">
        <v>1795</v>
      </c>
      <c r="B1796" s="1" t="s">
        <v>1637</v>
      </c>
      <c r="C1796" s="42" t="s">
        <v>1638</v>
      </c>
      <c r="D1796" s="42" t="s">
        <v>2807</v>
      </c>
      <c r="E1796" s="42" t="s">
        <v>2597</v>
      </c>
      <c r="F1796" s="4">
        <v>20786.88</v>
      </c>
      <c r="G1796" s="47" t="s">
        <v>60</v>
      </c>
      <c r="H1796" s="12">
        <v>4819</v>
      </c>
      <c r="I1796" s="4">
        <v>0</v>
      </c>
      <c r="J1796" s="4">
        <v>0</v>
      </c>
      <c r="K1796" s="4">
        <v>3170.88</v>
      </c>
      <c r="L1796" s="4">
        <v>0</v>
      </c>
      <c r="M1796" s="12" t="s">
        <v>571</v>
      </c>
      <c r="N1796" s="13">
        <f t="shared" si="47"/>
        <v>3170.88</v>
      </c>
    </row>
    <row r="1797" spans="1:14">
      <c r="A1797" s="12">
        <v>1796</v>
      </c>
      <c r="B1797" s="1" t="s">
        <v>1637</v>
      </c>
      <c r="C1797" s="42" t="s">
        <v>1638</v>
      </c>
      <c r="D1797" s="42" t="s">
        <v>2808</v>
      </c>
      <c r="E1797" s="42" t="s">
        <v>2593</v>
      </c>
      <c r="F1797" s="4">
        <v>3071.25</v>
      </c>
      <c r="G1797" s="47" t="s">
        <v>60</v>
      </c>
      <c r="H1797" s="29" t="s">
        <v>1641</v>
      </c>
      <c r="I1797" s="4">
        <v>0</v>
      </c>
      <c r="J1797" s="4">
        <v>0</v>
      </c>
      <c r="K1797" s="4">
        <v>146.25</v>
      </c>
      <c r="L1797" s="4">
        <v>0</v>
      </c>
      <c r="M1797" s="12" t="s">
        <v>571</v>
      </c>
      <c r="N1797" s="13">
        <f t="shared" si="47"/>
        <v>146.25</v>
      </c>
    </row>
    <row r="1798" spans="1:14">
      <c r="A1798" s="12">
        <v>1797</v>
      </c>
      <c r="B1798" s="1" t="s">
        <v>1637</v>
      </c>
      <c r="C1798" s="42" t="s">
        <v>1638</v>
      </c>
      <c r="D1798" s="42" t="s">
        <v>2809</v>
      </c>
      <c r="E1798" s="42" t="s">
        <v>2593</v>
      </c>
      <c r="F1798" s="4">
        <v>17440.5</v>
      </c>
      <c r="G1798" s="47" t="s">
        <v>60</v>
      </c>
      <c r="H1798" s="29" t="s">
        <v>1641</v>
      </c>
      <c r="I1798" s="4">
        <v>0</v>
      </c>
      <c r="J1798" s="4">
        <v>0</v>
      </c>
      <c r="K1798" s="4">
        <v>830.5</v>
      </c>
      <c r="L1798" s="4">
        <v>0</v>
      </c>
      <c r="M1798" s="12" t="s">
        <v>571</v>
      </c>
      <c r="N1798" s="13">
        <f t="shared" si="47"/>
        <v>830.5</v>
      </c>
    </row>
    <row r="1799" spans="1:14">
      <c r="A1799" s="12">
        <v>1798</v>
      </c>
      <c r="B1799" s="1" t="s">
        <v>1637</v>
      </c>
      <c r="C1799" s="42" t="s">
        <v>1638</v>
      </c>
      <c r="D1799" s="42" t="s">
        <v>2810</v>
      </c>
      <c r="E1799" s="42" t="s">
        <v>2593</v>
      </c>
      <c r="F1799" s="4">
        <v>14160</v>
      </c>
      <c r="G1799" s="47" t="s">
        <v>60</v>
      </c>
      <c r="H1799" s="12">
        <v>7310</v>
      </c>
      <c r="I1799" s="4">
        <v>0</v>
      </c>
      <c r="J1799" s="4">
        <v>0</v>
      </c>
      <c r="K1799" s="4">
        <v>2160</v>
      </c>
      <c r="L1799" s="4">
        <v>0</v>
      </c>
      <c r="M1799" s="12" t="s">
        <v>571</v>
      </c>
      <c r="N1799" s="13">
        <f t="shared" si="47"/>
        <v>2160</v>
      </c>
    </row>
    <row r="1800" spans="1:14">
      <c r="A1800" s="12">
        <v>1799</v>
      </c>
      <c r="B1800" s="1" t="s">
        <v>1637</v>
      </c>
      <c r="C1800" s="42" t="s">
        <v>1638</v>
      </c>
      <c r="D1800" s="42" t="s">
        <v>2811</v>
      </c>
      <c r="E1800" s="42" t="s">
        <v>2593</v>
      </c>
      <c r="F1800" s="4">
        <v>14810.25</v>
      </c>
      <c r="G1800" s="47" t="s">
        <v>60</v>
      </c>
      <c r="H1800" s="29" t="s">
        <v>1641</v>
      </c>
      <c r="I1800" s="4">
        <v>0</v>
      </c>
      <c r="J1800" s="4">
        <v>0</v>
      </c>
      <c r="K1800" s="4">
        <v>705.25</v>
      </c>
      <c r="L1800" s="4">
        <v>0</v>
      </c>
      <c r="M1800" s="12" t="s">
        <v>571</v>
      </c>
      <c r="N1800" s="13">
        <f t="shared" si="47"/>
        <v>705.25</v>
      </c>
    </row>
    <row r="1801" spans="1:14">
      <c r="A1801" s="12">
        <v>1800</v>
      </c>
      <c r="B1801" s="1" t="s">
        <v>1637</v>
      </c>
      <c r="C1801" s="42" t="s">
        <v>1638</v>
      </c>
      <c r="D1801" s="42" t="s">
        <v>2812</v>
      </c>
      <c r="E1801" s="42" t="s">
        <v>2638</v>
      </c>
      <c r="F1801" s="4">
        <v>12699.75</v>
      </c>
      <c r="G1801" s="47" t="s">
        <v>60</v>
      </c>
      <c r="H1801" s="29" t="s">
        <v>1641</v>
      </c>
      <c r="I1801" s="4">
        <v>0</v>
      </c>
      <c r="J1801" s="4">
        <v>0</v>
      </c>
      <c r="K1801" s="4">
        <v>604.75</v>
      </c>
      <c r="L1801" s="4">
        <v>0</v>
      </c>
      <c r="M1801" s="12" t="s">
        <v>571</v>
      </c>
      <c r="N1801" s="13">
        <f t="shared" si="47"/>
        <v>604.75</v>
      </c>
    </row>
    <row r="1802" spans="1:14">
      <c r="A1802" s="12">
        <v>1801</v>
      </c>
      <c r="B1802" s="1" t="s">
        <v>1637</v>
      </c>
      <c r="C1802" s="42" t="s">
        <v>1638</v>
      </c>
      <c r="D1802" s="42" t="s">
        <v>2813</v>
      </c>
      <c r="E1802" s="42" t="s">
        <v>2638</v>
      </c>
      <c r="F1802" s="4">
        <v>28320</v>
      </c>
      <c r="G1802" s="47" t="s">
        <v>60</v>
      </c>
      <c r="H1802" s="12">
        <v>7310</v>
      </c>
      <c r="I1802" s="4">
        <v>0</v>
      </c>
      <c r="J1802" s="4">
        <v>0</v>
      </c>
      <c r="K1802" s="4">
        <v>4320</v>
      </c>
      <c r="L1802" s="4">
        <v>0</v>
      </c>
      <c r="M1802" s="12" t="s">
        <v>571</v>
      </c>
      <c r="N1802" s="13">
        <f t="shared" si="47"/>
        <v>4320</v>
      </c>
    </row>
    <row r="1803" spans="1:14">
      <c r="A1803" s="12">
        <v>1802</v>
      </c>
      <c r="B1803" s="1" t="s">
        <v>1637</v>
      </c>
      <c r="C1803" s="42" t="s">
        <v>1638</v>
      </c>
      <c r="D1803" s="42" t="s">
        <v>2814</v>
      </c>
      <c r="E1803" s="42" t="s">
        <v>2638</v>
      </c>
      <c r="F1803" s="4">
        <v>9501.4500000000007</v>
      </c>
      <c r="G1803" s="47" t="s">
        <v>60</v>
      </c>
      <c r="H1803" s="29" t="s">
        <v>1641</v>
      </c>
      <c r="I1803" s="4">
        <v>0</v>
      </c>
      <c r="J1803" s="4">
        <v>0</v>
      </c>
      <c r="K1803" s="4">
        <v>452.45</v>
      </c>
      <c r="L1803" s="4">
        <v>0</v>
      </c>
      <c r="M1803" s="12" t="s">
        <v>571</v>
      </c>
      <c r="N1803" s="13">
        <f t="shared" si="47"/>
        <v>452.45</v>
      </c>
    </row>
    <row r="1804" spans="1:14">
      <c r="A1804" s="12">
        <v>1803</v>
      </c>
      <c r="B1804" s="1" t="s">
        <v>1637</v>
      </c>
      <c r="C1804" s="42" t="s">
        <v>1638</v>
      </c>
      <c r="D1804" s="42" t="s">
        <v>2815</v>
      </c>
      <c r="E1804" s="42" t="s">
        <v>2638</v>
      </c>
      <c r="F1804" s="4">
        <v>2419</v>
      </c>
      <c r="G1804" s="47" t="s">
        <v>60</v>
      </c>
      <c r="H1804" s="12">
        <v>3923</v>
      </c>
      <c r="I1804" s="4">
        <v>0</v>
      </c>
      <c r="J1804" s="4">
        <v>0</v>
      </c>
      <c r="K1804" s="4">
        <v>369</v>
      </c>
      <c r="L1804" s="4">
        <v>0</v>
      </c>
      <c r="M1804" s="12" t="s">
        <v>571</v>
      </c>
      <c r="N1804" s="13">
        <f t="shared" si="47"/>
        <v>369</v>
      </c>
    </row>
    <row r="1805" spans="1:14">
      <c r="A1805" s="12">
        <v>1804</v>
      </c>
      <c r="B1805" s="1" t="s">
        <v>1637</v>
      </c>
      <c r="C1805" s="42" t="s">
        <v>1638</v>
      </c>
      <c r="D1805" s="42" t="s">
        <v>2816</v>
      </c>
      <c r="E1805" s="42" t="s">
        <v>2638</v>
      </c>
      <c r="F1805" s="4">
        <v>77826</v>
      </c>
      <c r="G1805" s="47" t="s">
        <v>60</v>
      </c>
      <c r="H1805" s="29" t="s">
        <v>1641</v>
      </c>
      <c r="I1805" s="4">
        <v>0</v>
      </c>
      <c r="J1805" s="4">
        <v>0</v>
      </c>
      <c r="K1805" s="4">
        <v>3706</v>
      </c>
      <c r="L1805" s="4">
        <v>0</v>
      </c>
      <c r="M1805" s="12" t="s">
        <v>571</v>
      </c>
      <c r="N1805" s="13">
        <f t="shared" si="47"/>
        <v>3706</v>
      </c>
    </row>
    <row r="1806" spans="1:14">
      <c r="A1806" s="12">
        <v>1805</v>
      </c>
      <c r="B1806" s="1" t="s">
        <v>1637</v>
      </c>
      <c r="C1806" s="42" t="s">
        <v>1638</v>
      </c>
      <c r="D1806" s="42" t="s">
        <v>2817</v>
      </c>
      <c r="E1806" s="42" t="s">
        <v>2560</v>
      </c>
      <c r="F1806" s="4">
        <v>25932.9</v>
      </c>
      <c r="G1806" s="47" t="s">
        <v>60</v>
      </c>
      <c r="H1806" s="29" t="s">
        <v>1641</v>
      </c>
      <c r="I1806" s="4">
        <v>0</v>
      </c>
      <c r="J1806" s="4">
        <v>0</v>
      </c>
      <c r="K1806" s="4">
        <v>1234.9000000000001</v>
      </c>
      <c r="L1806" s="4">
        <v>0</v>
      </c>
      <c r="M1806" s="12" t="s">
        <v>571</v>
      </c>
      <c r="N1806" s="13">
        <f t="shared" si="47"/>
        <v>1234.9000000000001</v>
      </c>
    </row>
    <row r="1807" spans="1:14">
      <c r="A1807" s="12">
        <v>1806</v>
      </c>
      <c r="B1807" s="1" t="s">
        <v>1637</v>
      </c>
      <c r="C1807" s="42" t="s">
        <v>1638</v>
      </c>
      <c r="D1807" s="42" t="s">
        <v>2818</v>
      </c>
      <c r="E1807" s="42" t="s">
        <v>2560</v>
      </c>
      <c r="F1807" s="4">
        <v>33169.800000000003</v>
      </c>
      <c r="G1807" s="47" t="s">
        <v>60</v>
      </c>
      <c r="H1807" s="12">
        <v>7310</v>
      </c>
      <c r="I1807" s="4">
        <v>0</v>
      </c>
      <c r="J1807" s="4">
        <v>0</v>
      </c>
      <c r="K1807" s="4">
        <v>5059.8</v>
      </c>
      <c r="L1807" s="4">
        <v>0</v>
      </c>
      <c r="M1807" s="12" t="s">
        <v>571</v>
      </c>
      <c r="N1807" s="13">
        <f t="shared" si="47"/>
        <v>5059.8</v>
      </c>
    </row>
    <row r="1808" spans="1:14">
      <c r="A1808" s="12">
        <v>1807</v>
      </c>
      <c r="B1808" s="1" t="s">
        <v>1637</v>
      </c>
      <c r="C1808" s="42" t="s">
        <v>1638</v>
      </c>
      <c r="D1808" s="42" t="s">
        <v>2819</v>
      </c>
      <c r="E1808" s="42" t="s">
        <v>2560</v>
      </c>
      <c r="F1808" s="4">
        <v>22656</v>
      </c>
      <c r="G1808" s="47" t="s">
        <v>60</v>
      </c>
      <c r="H1808" s="12">
        <v>7310</v>
      </c>
      <c r="I1808" s="4">
        <v>0</v>
      </c>
      <c r="J1808" s="4">
        <v>0</v>
      </c>
      <c r="K1808" s="4">
        <v>3456</v>
      </c>
      <c r="L1808" s="4">
        <v>0</v>
      </c>
      <c r="M1808" s="12" t="s">
        <v>571</v>
      </c>
      <c r="N1808" s="13">
        <f t="shared" si="47"/>
        <v>3456</v>
      </c>
    </row>
    <row r="1809" spans="1:14">
      <c r="A1809" s="12">
        <v>1808</v>
      </c>
      <c r="B1809" s="1" t="s">
        <v>1637</v>
      </c>
      <c r="C1809" s="42" t="s">
        <v>1638</v>
      </c>
      <c r="D1809" s="42" t="s">
        <v>2820</v>
      </c>
      <c r="E1809" s="42" t="s">
        <v>2641</v>
      </c>
      <c r="F1809" s="4">
        <v>69347.25</v>
      </c>
      <c r="G1809" s="47" t="s">
        <v>60</v>
      </c>
      <c r="H1809" s="29" t="s">
        <v>1641</v>
      </c>
      <c r="I1809" s="4">
        <v>0</v>
      </c>
      <c r="J1809" s="4">
        <v>0</v>
      </c>
      <c r="K1809" s="4">
        <v>3302.25</v>
      </c>
      <c r="L1809" s="4">
        <v>0</v>
      </c>
      <c r="M1809" s="12" t="s">
        <v>571</v>
      </c>
      <c r="N1809" s="13">
        <f t="shared" ref="N1809:N1872" si="48">SUM(I1809:K1809)</f>
        <v>3302.25</v>
      </c>
    </row>
    <row r="1810" spans="1:14">
      <c r="A1810" s="12">
        <v>1809</v>
      </c>
      <c r="B1810" s="1" t="s">
        <v>1637</v>
      </c>
      <c r="C1810" s="42" t="s">
        <v>1638</v>
      </c>
      <c r="D1810" s="42" t="s">
        <v>2821</v>
      </c>
      <c r="E1810" s="42" t="s">
        <v>2599</v>
      </c>
      <c r="F1810" s="4">
        <v>54477.94</v>
      </c>
      <c r="G1810" s="47" t="s">
        <v>60</v>
      </c>
      <c r="H1810" s="29" t="s">
        <v>1641</v>
      </c>
      <c r="I1810" s="4">
        <v>0</v>
      </c>
      <c r="J1810" s="4">
        <v>0</v>
      </c>
      <c r="K1810" s="4">
        <v>2594.19</v>
      </c>
      <c r="L1810" s="4">
        <v>0</v>
      </c>
      <c r="M1810" s="12" t="s">
        <v>571</v>
      </c>
      <c r="N1810" s="13">
        <f t="shared" si="48"/>
        <v>2594.19</v>
      </c>
    </row>
    <row r="1811" spans="1:14">
      <c r="A1811" s="12">
        <v>1810</v>
      </c>
      <c r="B1811" s="1" t="s">
        <v>1637</v>
      </c>
      <c r="C1811" s="42" t="s">
        <v>1638</v>
      </c>
      <c r="D1811" s="42" t="s">
        <v>2822</v>
      </c>
      <c r="E1811" s="42" t="s">
        <v>2599</v>
      </c>
      <c r="F1811" s="4">
        <v>19824</v>
      </c>
      <c r="G1811" s="47" t="s">
        <v>60</v>
      </c>
      <c r="H1811" s="12">
        <v>7310</v>
      </c>
      <c r="I1811" s="4">
        <v>0</v>
      </c>
      <c r="J1811" s="4">
        <v>0</v>
      </c>
      <c r="K1811" s="4">
        <v>3024</v>
      </c>
      <c r="L1811" s="4">
        <v>0</v>
      </c>
      <c r="M1811" s="12" t="s">
        <v>571</v>
      </c>
      <c r="N1811" s="13">
        <f t="shared" si="48"/>
        <v>3024</v>
      </c>
    </row>
    <row r="1812" spans="1:14">
      <c r="A1812" s="12">
        <v>1811</v>
      </c>
      <c r="B1812" s="1" t="s">
        <v>1637</v>
      </c>
      <c r="C1812" s="42" t="s">
        <v>1638</v>
      </c>
      <c r="D1812" s="42" t="s">
        <v>2823</v>
      </c>
      <c r="E1812" s="42" t="s">
        <v>2572</v>
      </c>
      <c r="F1812" s="4">
        <v>90667.5</v>
      </c>
      <c r="G1812" s="47" t="s">
        <v>60</v>
      </c>
      <c r="H1812" s="29" t="s">
        <v>1641</v>
      </c>
      <c r="I1812" s="4">
        <v>0</v>
      </c>
      <c r="J1812" s="4">
        <v>0</v>
      </c>
      <c r="K1812" s="4">
        <v>4317.5</v>
      </c>
      <c r="L1812" s="4">
        <v>0</v>
      </c>
      <c r="M1812" s="12" t="s">
        <v>571</v>
      </c>
      <c r="N1812" s="13">
        <f t="shared" si="48"/>
        <v>4317.5</v>
      </c>
    </row>
    <row r="1813" spans="1:14">
      <c r="A1813" s="12">
        <v>1812</v>
      </c>
      <c r="B1813" s="1" t="s">
        <v>1637</v>
      </c>
      <c r="C1813" s="42" t="s">
        <v>1638</v>
      </c>
      <c r="D1813" s="42" t="s">
        <v>2824</v>
      </c>
      <c r="E1813" s="42" t="s">
        <v>2572</v>
      </c>
      <c r="F1813" s="4">
        <v>8342.8799999999992</v>
      </c>
      <c r="G1813" s="47" t="s">
        <v>60</v>
      </c>
      <c r="H1813" s="29" t="s">
        <v>1641</v>
      </c>
      <c r="I1813" s="4">
        <v>0</v>
      </c>
      <c r="J1813" s="4">
        <v>0</v>
      </c>
      <c r="K1813" s="4">
        <v>397.28</v>
      </c>
      <c r="L1813" s="4">
        <v>0</v>
      </c>
      <c r="M1813" s="12" t="s">
        <v>571</v>
      </c>
      <c r="N1813" s="13">
        <f t="shared" si="48"/>
        <v>397.28</v>
      </c>
    </row>
    <row r="1814" spans="1:14">
      <c r="A1814" s="12">
        <v>1813</v>
      </c>
      <c r="B1814" s="1" t="s">
        <v>1637</v>
      </c>
      <c r="C1814" s="42" t="s">
        <v>1638</v>
      </c>
      <c r="D1814" s="42" t="s">
        <v>2825</v>
      </c>
      <c r="E1814" s="42" t="s">
        <v>2645</v>
      </c>
      <c r="F1814" s="4">
        <v>183750</v>
      </c>
      <c r="G1814" s="47" t="s">
        <v>60</v>
      </c>
      <c r="H1814" s="29" t="s">
        <v>1641</v>
      </c>
      <c r="I1814" s="4">
        <v>0</v>
      </c>
      <c r="J1814" s="4">
        <v>0</v>
      </c>
      <c r="K1814" s="4">
        <v>8750</v>
      </c>
      <c r="L1814" s="4">
        <v>0</v>
      </c>
      <c r="M1814" s="12" t="s">
        <v>571</v>
      </c>
      <c r="N1814" s="13">
        <f t="shared" si="48"/>
        <v>8750</v>
      </c>
    </row>
    <row r="1815" spans="1:14">
      <c r="A1815" s="12">
        <v>1814</v>
      </c>
      <c r="B1815" s="1" t="s">
        <v>1637</v>
      </c>
      <c r="C1815" s="42" t="s">
        <v>1638</v>
      </c>
      <c r="D1815" s="42" t="s">
        <v>2826</v>
      </c>
      <c r="E1815" s="42" t="s">
        <v>2645</v>
      </c>
      <c r="F1815" s="4">
        <v>15989</v>
      </c>
      <c r="G1815" s="47" t="s">
        <v>60</v>
      </c>
      <c r="H1815" s="12">
        <v>7310</v>
      </c>
      <c r="I1815" s="4">
        <v>0</v>
      </c>
      <c r="J1815" s="4">
        <v>0</v>
      </c>
      <c r="K1815" s="4">
        <v>2439</v>
      </c>
      <c r="L1815" s="4">
        <v>0</v>
      </c>
      <c r="M1815" s="12" t="s">
        <v>571</v>
      </c>
      <c r="N1815" s="13">
        <f t="shared" si="48"/>
        <v>2439</v>
      </c>
    </row>
    <row r="1816" spans="1:14">
      <c r="A1816" s="12">
        <v>1815</v>
      </c>
      <c r="B1816" s="1" t="s">
        <v>1637</v>
      </c>
      <c r="C1816" s="42" t="s">
        <v>1638</v>
      </c>
      <c r="D1816" s="42" t="s">
        <v>2827</v>
      </c>
      <c r="E1816" s="42" t="s">
        <v>2645</v>
      </c>
      <c r="F1816" s="4">
        <v>50200.5</v>
      </c>
      <c r="G1816" s="47" t="s">
        <v>60</v>
      </c>
      <c r="H1816" s="29" t="s">
        <v>1641</v>
      </c>
      <c r="I1816" s="4">
        <v>0</v>
      </c>
      <c r="J1816" s="4">
        <v>0</v>
      </c>
      <c r="K1816" s="4">
        <v>2390.5</v>
      </c>
      <c r="L1816" s="4">
        <v>0</v>
      </c>
      <c r="M1816" s="12" t="s">
        <v>571</v>
      </c>
      <c r="N1816" s="13">
        <f t="shared" si="48"/>
        <v>2390.5</v>
      </c>
    </row>
    <row r="1817" spans="1:14">
      <c r="A1817" s="12">
        <v>1816</v>
      </c>
      <c r="B1817" s="1" t="s">
        <v>1637</v>
      </c>
      <c r="C1817" s="42" t="s">
        <v>1638</v>
      </c>
      <c r="D1817" s="42" t="s">
        <v>2828</v>
      </c>
      <c r="E1817" s="42" t="s">
        <v>2647</v>
      </c>
      <c r="F1817" s="4">
        <v>31140.9</v>
      </c>
      <c r="G1817" s="47" t="s">
        <v>60</v>
      </c>
      <c r="H1817" s="29" t="s">
        <v>1641</v>
      </c>
      <c r="I1817" s="4">
        <v>0</v>
      </c>
      <c r="J1817" s="4">
        <v>0</v>
      </c>
      <c r="K1817" s="4">
        <v>1482.9</v>
      </c>
      <c r="L1817" s="4">
        <v>0</v>
      </c>
      <c r="M1817" s="12" t="s">
        <v>571</v>
      </c>
      <c r="N1817" s="13">
        <f t="shared" si="48"/>
        <v>1482.9</v>
      </c>
    </row>
    <row r="1818" spans="1:14">
      <c r="A1818" s="12">
        <v>1817</v>
      </c>
      <c r="B1818" s="1" t="s">
        <v>1637</v>
      </c>
      <c r="C1818" s="42" t="s">
        <v>1638</v>
      </c>
      <c r="D1818" s="42" t="s">
        <v>2829</v>
      </c>
      <c r="E1818" s="42" t="s">
        <v>2647</v>
      </c>
      <c r="F1818" s="4">
        <v>18585</v>
      </c>
      <c r="G1818" s="47" t="s">
        <v>60</v>
      </c>
      <c r="H1818" s="12">
        <v>3923</v>
      </c>
      <c r="I1818" s="4">
        <v>0</v>
      </c>
      <c r="J1818" s="4">
        <v>0</v>
      </c>
      <c r="K1818" s="4">
        <v>2835</v>
      </c>
      <c r="L1818" s="4">
        <v>0</v>
      </c>
      <c r="M1818" s="12" t="s">
        <v>571</v>
      </c>
      <c r="N1818" s="13">
        <f t="shared" si="48"/>
        <v>2835</v>
      </c>
    </row>
    <row r="1819" spans="1:14">
      <c r="A1819" s="12">
        <v>1818</v>
      </c>
      <c r="B1819" s="1" t="s">
        <v>1637</v>
      </c>
      <c r="C1819" s="42" t="s">
        <v>1638</v>
      </c>
      <c r="D1819" s="42" t="s">
        <v>2830</v>
      </c>
      <c r="E1819" s="42" t="s">
        <v>2610</v>
      </c>
      <c r="F1819" s="4">
        <v>25402.65</v>
      </c>
      <c r="G1819" s="47" t="s">
        <v>60</v>
      </c>
      <c r="H1819" s="29" t="s">
        <v>1641</v>
      </c>
      <c r="I1819" s="4">
        <v>0</v>
      </c>
      <c r="J1819" s="4">
        <v>0</v>
      </c>
      <c r="K1819" s="4">
        <v>1209.6500000000001</v>
      </c>
      <c r="L1819" s="4">
        <v>0</v>
      </c>
      <c r="M1819" s="12" t="s">
        <v>571</v>
      </c>
      <c r="N1819" s="13">
        <f t="shared" si="48"/>
        <v>1209.6500000000001</v>
      </c>
    </row>
    <row r="1820" spans="1:14">
      <c r="A1820" s="12">
        <v>1819</v>
      </c>
      <c r="B1820" s="1" t="s">
        <v>1637</v>
      </c>
      <c r="C1820" s="42" t="s">
        <v>1638</v>
      </c>
      <c r="D1820" s="42" t="s">
        <v>2831</v>
      </c>
      <c r="E1820" s="42" t="s">
        <v>2610</v>
      </c>
      <c r="F1820" s="4">
        <v>8496</v>
      </c>
      <c r="G1820" s="47" t="s">
        <v>60</v>
      </c>
      <c r="H1820" s="12">
        <v>7310</v>
      </c>
      <c r="I1820" s="4">
        <v>0</v>
      </c>
      <c r="J1820" s="4">
        <v>0</v>
      </c>
      <c r="K1820" s="4">
        <v>1296</v>
      </c>
      <c r="L1820" s="4">
        <v>0</v>
      </c>
      <c r="M1820" s="12" t="s">
        <v>571</v>
      </c>
      <c r="N1820" s="13">
        <f t="shared" si="48"/>
        <v>1296</v>
      </c>
    </row>
    <row r="1821" spans="1:14">
      <c r="A1821" s="12">
        <v>1820</v>
      </c>
      <c r="B1821" s="1" t="s">
        <v>1637</v>
      </c>
      <c r="C1821" s="42" t="s">
        <v>1638</v>
      </c>
      <c r="D1821" s="42" t="s">
        <v>2832</v>
      </c>
      <c r="E1821" s="42" t="s">
        <v>2650</v>
      </c>
      <c r="F1821" s="4">
        <v>49969.5</v>
      </c>
      <c r="G1821" s="47" t="s">
        <v>60</v>
      </c>
      <c r="H1821" s="29" t="s">
        <v>1641</v>
      </c>
      <c r="I1821" s="4">
        <v>0</v>
      </c>
      <c r="J1821" s="4">
        <v>0</v>
      </c>
      <c r="K1821" s="4">
        <v>2379.5</v>
      </c>
      <c r="L1821" s="4">
        <v>0</v>
      </c>
      <c r="M1821" s="12" t="s">
        <v>571</v>
      </c>
      <c r="N1821" s="13">
        <f t="shared" si="48"/>
        <v>2379.5</v>
      </c>
    </row>
    <row r="1822" spans="1:14">
      <c r="A1822" s="12">
        <v>1821</v>
      </c>
      <c r="B1822" s="1" t="s">
        <v>1637</v>
      </c>
      <c r="C1822" s="42" t="s">
        <v>1638</v>
      </c>
      <c r="D1822" s="42" t="s">
        <v>2833</v>
      </c>
      <c r="E1822" s="42" t="s">
        <v>2650</v>
      </c>
      <c r="F1822" s="4">
        <v>23482</v>
      </c>
      <c r="G1822" s="47" t="s">
        <v>60</v>
      </c>
      <c r="H1822" s="12">
        <v>7310</v>
      </c>
      <c r="I1822" s="4">
        <v>0</v>
      </c>
      <c r="J1822" s="4">
        <v>0</v>
      </c>
      <c r="K1822" s="4">
        <v>3582</v>
      </c>
      <c r="L1822" s="4">
        <v>0</v>
      </c>
      <c r="M1822" s="12" t="s">
        <v>571</v>
      </c>
      <c r="N1822" s="13">
        <f t="shared" si="48"/>
        <v>3582</v>
      </c>
    </row>
    <row r="1823" spans="1:14">
      <c r="A1823" s="12">
        <v>1822</v>
      </c>
      <c r="B1823" s="1" t="s">
        <v>1637</v>
      </c>
      <c r="C1823" s="42" t="s">
        <v>1638</v>
      </c>
      <c r="D1823" s="42" t="s">
        <v>2834</v>
      </c>
      <c r="E1823" s="42" t="s">
        <v>2650</v>
      </c>
      <c r="F1823" s="4">
        <v>27720</v>
      </c>
      <c r="G1823" s="47" t="s">
        <v>60</v>
      </c>
      <c r="H1823" s="29" t="s">
        <v>1641</v>
      </c>
      <c r="I1823" s="4">
        <v>0</v>
      </c>
      <c r="J1823" s="4">
        <v>0</v>
      </c>
      <c r="K1823" s="4">
        <v>1320</v>
      </c>
      <c r="L1823" s="4">
        <v>0</v>
      </c>
      <c r="M1823" s="12" t="s">
        <v>571</v>
      </c>
      <c r="N1823" s="13">
        <f t="shared" si="48"/>
        <v>1320</v>
      </c>
    </row>
    <row r="1824" spans="1:14">
      <c r="A1824" s="12">
        <v>1823</v>
      </c>
      <c r="B1824" s="1" t="s">
        <v>1637</v>
      </c>
      <c r="C1824" s="42" t="s">
        <v>1638</v>
      </c>
      <c r="D1824" s="42" t="s">
        <v>2835</v>
      </c>
      <c r="E1824" s="42" t="s">
        <v>2650</v>
      </c>
      <c r="F1824" s="4">
        <v>16992</v>
      </c>
      <c r="G1824" s="47" t="s">
        <v>60</v>
      </c>
      <c r="H1824" s="12">
        <v>7310</v>
      </c>
      <c r="I1824" s="4">
        <v>0</v>
      </c>
      <c r="J1824" s="4">
        <v>0</v>
      </c>
      <c r="K1824" s="4">
        <v>2592</v>
      </c>
      <c r="L1824" s="4">
        <v>0</v>
      </c>
      <c r="M1824" s="12" t="s">
        <v>571</v>
      </c>
      <c r="N1824" s="13">
        <f t="shared" si="48"/>
        <v>2592</v>
      </c>
    </row>
    <row r="1825" spans="1:14">
      <c r="A1825" s="12">
        <v>1824</v>
      </c>
      <c r="B1825" s="1" t="s">
        <v>1637</v>
      </c>
      <c r="C1825" s="42" t="s">
        <v>1638</v>
      </c>
      <c r="D1825" s="42" t="s">
        <v>2836</v>
      </c>
      <c r="E1825" s="42" t="s">
        <v>2650</v>
      </c>
      <c r="F1825" s="4">
        <v>45927</v>
      </c>
      <c r="G1825" s="47" t="s">
        <v>60</v>
      </c>
      <c r="H1825" s="29" t="s">
        <v>1641</v>
      </c>
      <c r="I1825" s="4">
        <v>0</v>
      </c>
      <c r="J1825" s="4">
        <v>0</v>
      </c>
      <c r="K1825" s="4">
        <v>2187</v>
      </c>
      <c r="L1825" s="4">
        <v>0</v>
      </c>
      <c r="M1825" s="12" t="s">
        <v>571</v>
      </c>
      <c r="N1825" s="13">
        <f t="shared" si="48"/>
        <v>2187</v>
      </c>
    </row>
    <row r="1826" spans="1:14">
      <c r="A1826" s="12">
        <v>1825</v>
      </c>
      <c r="B1826" s="1" t="s">
        <v>1637</v>
      </c>
      <c r="C1826" s="42" t="s">
        <v>1638</v>
      </c>
      <c r="D1826" s="42" t="s">
        <v>2837</v>
      </c>
      <c r="E1826" s="42" t="s">
        <v>2576</v>
      </c>
      <c r="F1826" s="4">
        <v>19017.599999999999</v>
      </c>
      <c r="G1826" s="47" t="s">
        <v>60</v>
      </c>
      <c r="H1826" s="29" t="s">
        <v>1641</v>
      </c>
      <c r="I1826" s="4">
        <v>0</v>
      </c>
      <c r="J1826" s="4">
        <v>0</v>
      </c>
      <c r="K1826" s="4">
        <v>905.6</v>
      </c>
      <c r="L1826" s="4">
        <v>0</v>
      </c>
      <c r="M1826" s="12" t="s">
        <v>571</v>
      </c>
      <c r="N1826" s="13">
        <f t="shared" si="48"/>
        <v>905.6</v>
      </c>
    </row>
    <row r="1827" spans="1:14">
      <c r="A1827" s="12">
        <v>1826</v>
      </c>
      <c r="B1827" s="1" t="s">
        <v>1637</v>
      </c>
      <c r="C1827" s="42" t="s">
        <v>1638</v>
      </c>
      <c r="D1827" s="42" t="s">
        <v>2838</v>
      </c>
      <c r="E1827" s="42" t="s">
        <v>2576</v>
      </c>
      <c r="F1827" s="4">
        <v>27818.5</v>
      </c>
      <c r="G1827" s="47" t="s">
        <v>60</v>
      </c>
      <c r="H1827" s="12">
        <v>7310</v>
      </c>
      <c r="I1827" s="4">
        <v>0</v>
      </c>
      <c r="J1827" s="4">
        <v>0</v>
      </c>
      <c r="K1827" s="4">
        <v>4243.5</v>
      </c>
      <c r="L1827" s="4">
        <v>0</v>
      </c>
      <c r="M1827" s="12" t="s">
        <v>571</v>
      </c>
      <c r="N1827" s="13">
        <f t="shared" si="48"/>
        <v>4243.5</v>
      </c>
    </row>
    <row r="1828" spans="1:14">
      <c r="A1828" s="12">
        <v>1827</v>
      </c>
      <c r="B1828" s="1" t="s">
        <v>1637</v>
      </c>
      <c r="C1828" s="42" t="s">
        <v>1638</v>
      </c>
      <c r="D1828" s="42" t="s">
        <v>2839</v>
      </c>
      <c r="E1828" s="42" t="s">
        <v>2617</v>
      </c>
      <c r="F1828" s="4">
        <v>54310.2</v>
      </c>
      <c r="G1828" s="47" t="s">
        <v>60</v>
      </c>
      <c r="H1828" s="29" t="s">
        <v>1641</v>
      </c>
      <c r="I1828" s="4">
        <v>0</v>
      </c>
      <c r="J1828" s="4">
        <v>0</v>
      </c>
      <c r="K1828" s="4">
        <v>2586.1999999999998</v>
      </c>
      <c r="L1828" s="4">
        <v>0</v>
      </c>
      <c r="M1828" s="12" t="s">
        <v>571</v>
      </c>
      <c r="N1828" s="13">
        <f t="shared" si="48"/>
        <v>2586.1999999999998</v>
      </c>
    </row>
    <row r="1829" spans="1:14">
      <c r="A1829" s="12">
        <v>1828</v>
      </c>
      <c r="B1829" s="1" t="s">
        <v>1637</v>
      </c>
      <c r="C1829" s="42" t="s">
        <v>1638</v>
      </c>
      <c r="D1829" s="42" t="s">
        <v>2840</v>
      </c>
      <c r="E1829" s="42" t="s">
        <v>2617</v>
      </c>
      <c r="F1829" s="4">
        <v>12744</v>
      </c>
      <c r="G1829" s="47" t="s">
        <v>60</v>
      </c>
      <c r="H1829" s="12">
        <v>7310</v>
      </c>
      <c r="I1829" s="4">
        <v>0</v>
      </c>
      <c r="J1829" s="4">
        <v>0</v>
      </c>
      <c r="K1829" s="4">
        <v>1944</v>
      </c>
      <c r="L1829" s="4">
        <v>0</v>
      </c>
      <c r="M1829" s="12" t="s">
        <v>571</v>
      </c>
      <c r="N1829" s="13">
        <f t="shared" si="48"/>
        <v>1944</v>
      </c>
    </row>
    <row r="1830" spans="1:14">
      <c r="A1830" s="12">
        <v>1829</v>
      </c>
      <c r="B1830" s="1" t="s">
        <v>1637</v>
      </c>
      <c r="C1830" s="42" t="s">
        <v>1638</v>
      </c>
      <c r="D1830" s="42" t="s">
        <v>2841</v>
      </c>
      <c r="E1830" s="42" t="s">
        <v>2617</v>
      </c>
      <c r="F1830" s="4">
        <v>8496</v>
      </c>
      <c r="G1830" s="47" t="s">
        <v>60</v>
      </c>
      <c r="H1830" s="12">
        <v>3923</v>
      </c>
      <c r="I1830" s="4">
        <v>0</v>
      </c>
      <c r="J1830" s="4">
        <v>0</v>
      </c>
      <c r="K1830" s="4">
        <v>1296</v>
      </c>
      <c r="L1830" s="4">
        <v>0</v>
      </c>
      <c r="M1830" s="12" t="s">
        <v>571</v>
      </c>
      <c r="N1830" s="13">
        <f t="shared" si="48"/>
        <v>1296</v>
      </c>
    </row>
    <row r="1831" spans="1:14">
      <c r="A1831" s="12">
        <v>1830</v>
      </c>
      <c r="B1831" s="1" t="s">
        <v>1637</v>
      </c>
      <c r="C1831" s="42" t="s">
        <v>1638</v>
      </c>
      <c r="D1831" s="42" t="s">
        <v>2842</v>
      </c>
      <c r="E1831" s="42" t="s">
        <v>2601</v>
      </c>
      <c r="F1831" s="4">
        <v>43743</v>
      </c>
      <c r="G1831" s="47" t="s">
        <v>60</v>
      </c>
      <c r="H1831" s="29" t="s">
        <v>1641</v>
      </c>
      <c r="I1831" s="4">
        <v>0</v>
      </c>
      <c r="J1831" s="4">
        <v>0</v>
      </c>
      <c r="K1831" s="4">
        <v>2083</v>
      </c>
      <c r="L1831" s="4">
        <v>0</v>
      </c>
      <c r="M1831" s="12" t="s">
        <v>571</v>
      </c>
      <c r="N1831" s="13">
        <f t="shared" si="48"/>
        <v>2083</v>
      </c>
    </row>
    <row r="1832" spans="1:14">
      <c r="A1832" s="12">
        <v>1831</v>
      </c>
      <c r="B1832" s="1" t="s">
        <v>1637</v>
      </c>
      <c r="C1832" s="42" t="s">
        <v>1638</v>
      </c>
      <c r="D1832" s="42" t="s">
        <v>2843</v>
      </c>
      <c r="E1832" s="42" t="s">
        <v>2601</v>
      </c>
      <c r="F1832" s="4">
        <v>24933.4</v>
      </c>
      <c r="G1832" s="47" t="s">
        <v>60</v>
      </c>
      <c r="H1832" s="12">
        <v>7310</v>
      </c>
      <c r="I1832" s="4">
        <v>0</v>
      </c>
      <c r="J1832" s="4">
        <v>0</v>
      </c>
      <c r="K1832" s="4">
        <v>3803.4</v>
      </c>
      <c r="L1832" s="4">
        <v>0</v>
      </c>
      <c r="M1832" s="12" t="s">
        <v>571</v>
      </c>
      <c r="N1832" s="13">
        <f t="shared" si="48"/>
        <v>3803.4</v>
      </c>
    </row>
    <row r="1833" spans="1:14">
      <c r="A1833" s="12">
        <v>1832</v>
      </c>
      <c r="B1833" s="1" t="s">
        <v>1637</v>
      </c>
      <c r="C1833" s="42" t="s">
        <v>1638</v>
      </c>
      <c r="D1833" s="42" t="s">
        <v>2844</v>
      </c>
      <c r="E1833" s="42" t="s">
        <v>2601</v>
      </c>
      <c r="F1833" s="4">
        <v>2572.5</v>
      </c>
      <c r="G1833" s="47" t="s">
        <v>60</v>
      </c>
      <c r="H1833" s="29" t="s">
        <v>1641</v>
      </c>
      <c r="I1833" s="4">
        <v>0</v>
      </c>
      <c r="J1833" s="4">
        <v>0</v>
      </c>
      <c r="K1833" s="4">
        <v>122.5</v>
      </c>
      <c r="L1833" s="4">
        <v>0</v>
      </c>
      <c r="M1833" s="12" t="s">
        <v>571</v>
      </c>
      <c r="N1833" s="13">
        <f t="shared" si="48"/>
        <v>122.5</v>
      </c>
    </row>
    <row r="1834" spans="1:14">
      <c r="A1834" s="12">
        <v>1833</v>
      </c>
      <c r="B1834" s="1" t="s">
        <v>1637</v>
      </c>
      <c r="C1834" s="42" t="s">
        <v>1638</v>
      </c>
      <c r="D1834" s="42" t="s">
        <v>2845</v>
      </c>
      <c r="E1834" s="42" t="s">
        <v>2601</v>
      </c>
      <c r="F1834" s="4">
        <v>7992.6</v>
      </c>
      <c r="G1834" s="47" t="s">
        <v>60</v>
      </c>
      <c r="H1834" s="29" t="s">
        <v>1641</v>
      </c>
      <c r="I1834" s="4">
        <v>0</v>
      </c>
      <c r="J1834" s="4">
        <v>0</v>
      </c>
      <c r="K1834" s="4">
        <v>380.6</v>
      </c>
      <c r="L1834" s="4">
        <v>0</v>
      </c>
      <c r="M1834" s="12" t="s">
        <v>571</v>
      </c>
      <c r="N1834" s="13">
        <f t="shared" si="48"/>
        <v>380.6</v>
      </c>
    </row>
    <row r="1835" spans="1:14">
      <c r="A1835" s="12">
        <v>1834</v>
      </c>
      <c r="B1835" s="1" t="s">
        <v>1637</v>
      </c>
      <c r="C1835" s="42" t="s">
        <v>1638</v>
      </c>
      <c r="D1835" s="42" t="s">
        <v>2846</v>
      </c>
      <c r="E1835" s="42" t="s">
        <v>2655</v>
      </c>
      <c r="F1835" s="4">
        <v>32067</v>
      </c>
      <c r="G1835" s="47" t="s">
        <v>60</v>
      </c>
      <c r="H1835" s="29" t="s">
        <v>1641</v>
      </c>
      <c r="I1835" s="4">
        <v>0</v>
      </c>
      <c r="J1835" s="4">
        <v>0</v>
      </c>
      <c r="K1835" s="4">
        <v>1527</v>
      </c>
      <c r="L1835" s="4">
        <v>0</v>
      </c>
      <c r="M1835" s="12" t="s">
        <v>571</v>
      </c>
      <c r="N1835" s="13">
        <f t="shared" si="48"/>
        <v>1527</v>
      </c>
    </row>
    <row r="1836" spans="1:14">
      <c r="A1836" s="12">
        <v>1835</v>
      </c>
      <c r="B1836" s="1" t="s">
        <v>1637</v>
      </c>
      <c r="C1836" s="42" t="s">
        <v>1638</v>
      </c>
      <c r="D1836" s="42" t="s">
        <v>2847</v>
      </c>
      <c r="E1836" s="42" t="s">
        <v>2580</v>
      </c>
      <c r="F1836" s="4">
        <v>20333.46</v>
      </c>
      <c r="G1836" s="47" t="s">
        <v>60</v>
      </c>
      <c r="H1836" s="29" t="s">
        <v>1641</v>
      </c>
      <c r="I1836" s="4">
        <v>0</v>
      </c>
      <c r="J1836" s="4">
        <v>0</v>
      </c>
      <c r="K1836" s="4">
        <v>968.26</v>
      </c>
      <c r="L1836" s="4">
        <v>0</v>
      </c>
      <c r="M1836" s="12" t="s">
        <v>571</v>
      </c>
      <c r="N1836" s="13">
        <f t="shared" si="48"/>
        <v>968.26</v>
      </c>
    </row>
    <row r="1837" spans="1:14">
      <c r="A1837" s="12">
        <v>1836</v>
      </c>
      <c r="B1837" s="1" t="s">
        <v>1637</v>
      </c>
      <c r="C1837" s="42" t="s">
        <v>1638</v>
      </c>
      <c r="D1837" s="42" t="s">
        <v>2848</v>
      </c>
      <c r="E1837" s="42" t="s">
        <v>2580</v>
      </c>
      <c r="F1837" s="4">
        <v>106790.25</v>
      </c>
      <c r="G1837" s="47" t="s">
        <v>60</v>
      </c>
      <c r="H1837" s="29" t="s">
        <v>1641</v>
      </c>
      <c r="I1837" s="4">
        <v>0</v>
      </c>
      <c r="J1837" s="4">
        <v>0</v>
      </c>
      <c r="K1837" s="4">
        <v>5085.25</v>
      </c>
      <c r="L1837" s="4">
        <v>0</v>
      </c>
      <c r="M1837" s="12" t="s">
        <v>571</v>
      </c>
      <c r="N1837" s="13">
        <f t="shared" si="48"/>
        <v>5085.25</v>
      </c>
    </row>
    <row r="1838" spans="1:14">
      <c r="A1838" s="12">
        <v>1837</v>
      </c>
      <c r="B1838" s="1" t="s">
        <v>1637</v>
      </c>
      <c r="C1838" s="42" t="s">
        <v>1638</v>
      </c>
      <c r="D1838" s="42" t="s">
        <v>2849</v>
      </c>
      <c r="E1838" s="42" t="s">
        <v>2658</v>
      </c>
      <c r="F1838" s="4">
        <v>26491</v>
      </c>
      <c r="G1838" s="47" t="s">
        <v>60</v>
      </c>
      <c r="H1838" s="12">
        <v>7310</v>
      </c>
      <c r="I1838" s="4">
        <v>0</v>
      </c>
      <c r="J1838" s="4">
        <v>0</v>
      </c>
      <c r="K1838" s="4">
        <v>4041</v>
      </c>
      <c r="L1838" s="4">
        <v>0</v>
      </c>
      <c r="M1838" s="12" t="s">
        <v>571</v>
      </c>
      <c r="N1838" s="13">
        <f t="shared" si="48"/>
        <v>4041</v>
      </c>
    </row>
    <row r="1839" spans="1:14">
      <c r="A1839" s="12">
        <v>1838</v>
      </c>
      <c r="B1839" s="1" t="s">
        <v>1637</v>
      </c>
      <c r="C1839" s="42" t="s">
        <v>1638</v>
      </c>
      <c r="D1839" s="42" t="s">
        <v>2850</v>
      </c>
      <c r="E1839" s="42" t="s">
        <v>2658</v>
      </c>
      <c r="F1839" s="4">
        <v>8778</v>
      </c>
      <c r="G1839" s="47" t="s">
        <v>60</v>
      </c>
      <c r="H1839" s="29" t="s">
        <v>1641</v>
      </c>
      <c r="I1839" s="4">
        <v>0</v>
      </c>
      <c r="J1839" s="4">
        <v>0</v>
      </c>
      <c r="K1839" s="4">
        <v>418</v>
      </c>
      <c r="L1839" s="4">
        <v>0</v>
      </c>
      <c r="M1839" s="12" t="s">
        <v>571</v>
      </c>
      <c r="N1839" s="13">
        <f t="shared" si="48"/>
        <v>418</v>
      </c>
    </row>
    <row r="1840" spans="1:14">
      <c r="A1840" s="12">
        <v>1839</v>
      </c>
      <c r="B1840" s="1" t="s">
        <v>1637</v>
      </c>
      <c r="C1840" s="42" t="s">
        <v>1638</v>
      </c>
      <c r="D1840" s="42" t="s">
        <v>2851</v>
      </c>
      <c r="E1840" s="42" t="s">
        <v>2658</v>
      </c>
      <c r="F1840" s="4">
        <v>13106.1</v>
      </c>
      <c r="G1840" s="47" t="s">
        <v>60</v>
      </c>
      <c r="H1840" s="29" t="s">
        <v>1641</v>
      </c>
      <c r="I1840" s="4">
        <v>0</v>
      </c>
      <c r="J1840" s="4">
        <v>0</v>
      </c>
      <c r="K1840" s="4">
        <v>624.1</v>
      </c>
      <c r="L1840" s="4">
        <v>0</v>
      </c>
      <c r="M1840" s="12" t="s">
        <v>571</v>
      </c>
      <c r="N1840" s="13">
        <f t="shared" si="48"/>
        <v>624.1</v>
      </c>
    </row>
    <row r="1841" spans="1:14">
      <c r="A1841" s="12">
        <v>1840</v>
      </c>
      <c r="B1841" s="1" t="s">
        <v>1637</v>
      </c>
      <c r="C1841" s="42" t="s">
        <v>1638</v>
      </c>
      <c r="D1841" s="42" t="s">
        <v>2852</v>
      </c>
      <c r="E1841" s="42" t="s">
        <v>2612</v>
      </c>
      <c r="F1841" s="4">
        <v>59994.38</v>
      </c>
      <c r="G1841" s="47" t="s">
        <v>60</v>
      </c>
      <c r="H1841" s="29" t="s">
        <v>1641</v>
      </c>
      <c r="I1841" s="4">
        <v>0</v>
      </c>
      <c r="J1841" s="4">
        <v>0</v>
      </c>
      <c r="K1841" s="4">
        <v>2856.88</v>
      </c>
      <c r="L1841" s="4">
        <v>0</v>
      </c>
      <c r="M1841" s="12" t="s">
        <v>571</v>
      </c>
      <c r="N1841" s="13">
        <f t="shared" si="48"/>
        <v>2856.88</v>
      </c>
    </row>
    <row r="1842" spans="1:14">
      <c r="A1842" s="12">
        <v>1841</v>
      </c>
      <c r="B1842" s="1" t="s">
        <v>1637</v>
      </c>
      <c r="C1842" s="42" t="s">
        <v>1638</v>
      </c>
      <c r="D1842" s="42" t="s">
        <v>2853</v>
      </c>
      <c r="E1842" s="42" t="s">
        <v>2612</v>
      </c>
      <c r="F1842" s="4">
        <v>8059.4</v>
      </c>
      <c r="G1842" s="47" t="s">
        <v>60</v>
      </c>
      <c r="H1842" s="12">
        <v>7310</v>
      </c>
      <c r="I1842" s="4">
        <v>0</v>
      </c>
      <c r="J1842" s="4">
        <v>0</v>
      </c>
      <c r="K1842" s="4">
        <v>1229.4000000000001</v>
      </c>
      <c r="L1842" s="4">
        <v>0</v>
      </c>
      <c r="M1842" s="12" t="s">
        <v>571</v>
      </c>
      <c r="N1842" s="13">
        <f t="shared" si="48"/>
        <v>1229.4000000000001</v>
      </c>
    </row>
    <row r="1843" spans="1:14">
      <c r="A1843" s="12">
        <v>1842</v>
      </c>
      <c r="B1843" s="1" t="s">
        <v>1637</v>
      </c>
      <c r="C1843" s="42" t="s">
        <v>1638</v>
      </c>
      <c r="D1843" s="42" t="s">
        <v>2854</v>
      </c>
      <c r="E1843" s="42" t="s">
        <v>2612</v>
      </c>
      <c r="F1843" s="4">
        <v>98513.63</v>
      </c>
      <c r="G1843" s="47" t="s">
        <v>60</v>
      </c>
      <c r="H1843" s="29" t="s">
        <v>1641</v>
      </c>
      <c r="I1843" s="4">
        <v>0</v>
      </c>
      <c r="J1843" s="4">
        <v>0</v>
      </c>
      <c r="K1843" s="4">
        <v>4691.13</v>
      </c>
      <c r="L1843" s="4">
        <v>0</v>
      </c>
      <c r="M1843" s="12" t="s">
        <v>571</v>
      </c>
      <c r="N1843" s="13">
        <f t="shared" si="48"/>
        <v>4691.13</v>
      </c>
    </row>
    <row r="1844" spans="1:14">
      <c r="A1844" s="12">
        <v>1843</v>
      </c>
      <c r="B1844" s="1" t="s">
        <v>1637</v>
      </c>
      <c r="C1844" s="42" t="s">
        <v>1638</v>
      </c>
      <c r="D1844" s="42" t="s">
        <v>2855</v>
      </c>
      <c r="E1844" s="42" t="s">
        <v>2568</v>
      </c>
      <c r="F1844" s="4">
        <v>6788.25</v>
      </c>
      <c r="G1844" s="47" t="s">
        <v>60</v>
      </c>
      <c r="H1844" s="29" t="s">
        <v>1641</v>
      </c>
      <c r="I1844" s="4">
        <v>0</v>
      </c>
      <c r="J1844" s="4">
        <v>0</v>
      </c>
      <c r="K1844" s="4">
        <v>323.25</v>
      </c>
      <c r="L1844" s="4">
        <v>0</v>
      </c>
      <c r="M1844" s="12" t="s">
        <v>571</v>
      </c>
      <c r="N1844" s="13">
        <f t="shared" si="48"/>
        <v>323.25</v>
      </c>
    </row>
    <row r="1845" spans="1:14">
      <c r="A1845" s="12">
        <v>1844</v>
      </c>
      <c r="B1845" s="1" t="s">
        <v>1637</v>
      </c>
      <c r="C1845" s="42" t="s">
        <v>1638</v>
      </c>
      <c r="D1845" s="42" t="s">
        <v>2856</v>
      </c>
      <c r="E1845" s="42" t="s">
        <v>2568</v>
      </c>
      <c r="F1845" s="4">
        <v>1083.24</v>
      </c>
      <c r="G1845" s="47" t="s">
        <v>60</v>
      </c>
      <c r="H1845" s="12">
        <v>3923</v>
      </c>
      <c r="I1845" s="4">
        <v>0</v>
      </c>
      <c r="J1845" s="4">
        <v>0</v>
      </c>
      <c r="K1845" s="4">
        <v>165.24</v>
      </c>
      <c r="L1845" s="4">
        <v>0</v>
      </c>
      <c r="M1845" s="12" t="s">
        <v>571</v>
      </c>
      <c r="N1845" s="13">
        <f t="shared" si="48"/>
        <v>165.24</v>
      </c>
    </row>
    <row r="1846" spans="1:14">
      <c r="A1846" s="12">
        <v>1845</v>
      </c>
      <c r="B1846" s="1" t="s">
        <v>1637</v>
      </c>
      <c r="C1846" s="42" t="s">
        <v>1638</v>
      </c>
      <c r="D1846" s="42" t="s">
        <v>2857</v>
      </c>
      <c r="E1846" s="42" t="s">
        <v>2568</v>
      </c>
      <c r="F1846" s="4">
        <v>22911</v>
      </c>
      <c r="G1846" s="47" t="s">
        <v>60</v>
      </c>
      <c r="H1846" s="29" t="s">
        <v>1641</v>
      </c>
      <c r="I1846" s="4">
        <v>0</v>
      </c>
      <c r="J1846" s="4">
        <v>0</v>
      </c>
      <c r="K1846" s="4">
        <v>1091</v>
      </c>
      <c r="L1846" s="4">
        <v>0</v>
      </c>
      <c r="M1846" s="12" t="s">
        <v>571</v>
      </c>
      <c r="N1846" s="13">
        <f t="shared" si="48"/>
        <v>1091</v>
      </c>
    </row>
    <row r="1847" spans="1:14">
      <c r="A1847" s="12">
        <v>1846</v>
      </c>
      <c r="B1847" s="1" t="s">
        <v>1637</v>
      </c>
      <c r="C1847" s="42" t="s">
        <v>1638</v>
      </c>
      <c r="D1847" s="42" t="s">
        <v>2858</v>
      </c>
      <c r="E1847" s="42" t="s">
        <v>2568</v>
      </c>
      <c r="F1847" s="4">
        <v>18837</v>
      </c>
      <c r="G1847" s="47" t="s">
        <v>60</v>
      </c>
      <c r="H1847" s="29" t="s">
        <v>1641</v>
      </c>
      <c r="I1847" s="4">
        <v>0</v>
      </c>
      <c r="J1847" s="4">
        <v>0</v>
      </c>
      <c r="K1847" s="4">
        <v>897</v>
      </c>
      <c r="L1847" s="4">
        <v>0</v>
      </c>
      <c r="M1847" s="12" t="s">
        <v>571</v>
      </c>
      <c r="N1847" s="13">
        <f t="shared" si="48"/>
        <v>897</v>
      </c>
    </row>
    <row r="1848" spans="1:14">
      <c r="A1848" s="12">
        <v>1847</v>
      </c>
      <c r="B1848" s="1" t="s">
        <v>1637</v>
      </c>
      <c r="C1848" s="42" t="s">
        <v>1638</v>
      </c>
      <c r="D1848" s="42" t="s">
        <v>2859</v>
      </c>
      <c r="E1848" s="42" t="s">
        <v>2763</v>
      </c>
      <c r="F1848" s="4">
        <v>41515.32</v>
      </c>
      <c r="G1848" s="47" t="s">
        <v>60</v>
      </c>
      <c r="H1848" s="29" t="s">
        <v>1641</v>
      </c>
      <c r="I1848" s="4">
        <v>0</v>
      </c>
      <c r="J1848" s="4">
        <v>0</v>
      </c>
      <c r="K1848" s="4">
        <v>1976.92</v>
      </c>
      <c r="L1848" s="4">
        <v>0</v>
      </c>
      <c r="M1848" s="12" t="s">
        <v>571</v>
      </c>
      <c r="N1848" s="13">
        <f t="shared" si="48"/>
        <v>1976.92</v>
      </c>
    </row>
    <row r="1849" spans="1:14">
      <c r="A1849" s="12">
        <v>1848</v>
      </c>
      <c r="B1849" s="1" t="s">
        <v>1637</v>
      </c>
      <c r="C1849" s="42" t="s">
        <v>1638</v>
      </c>
      <c r="D1849" s="42" t="s">
        <v>2860</v>
      </c>
      <c r="E1849" s="42" t="s">
        <v>2763</v>
      </c>
      <c r="F1849" s="4">
        <v>10944.5</v>
      </c>
      <c r="G1849" s="47" t="s">
        <v>60</v>
      </c>
      <c r="H1849" s="12">
        <v>4819</v>
      </c>
      <c r="I1849" s="4">
        <v>0</v>
      </c>
      <c r="J1849" s="4">
        <v>0</v>
      </c>
      <c r="K1849" s="4">
        <v>1669.5</v>
      </c>
      <c r="L1849" s="4">
        <v>0</v>
      </c>
      <c r="M1849" s="12" t="s">
        <v>571</v>
      </c>
      <c r="N1849" s="13">
        <f t="shared" si="48"/>
        <v>1669.5</v>
      </c>
    </row>
    <row r="1850" spans="1:14">
      <c r="A1850" s="12">
        <v>1849</v>
      </c>
      <c r="B1850" s="1" t="s">
        <v>1637</v>
      </c>
      <c r="C1850" s="42" t="s">
        <v>1638</v>
      </c>
      <c r="D1850" s="42" t="s">
        <v>2861</v>
      </c>
      <c r="E1850" s="42" t="s">
        <v>2777</v>
      </c>
      <c r="F1850" s="4">
        <v>37395.75</v>
      </c>
      <c r="G1850" s="47" t="s">
        <v>60</v>
      </c>
      <c r="H1850" s="29" t="s">
        <v>1641</v>
      </c>
      <c r="I1850" s="4">
        <v>0</v>
      </c>
      <c r="J1850" s="4">
        <v>0</v>
      </c>
      <c r="K1850" s="4">
        <v>1780.75</v>
      </c>
      <c r="L1850" s="4">
        <v>0</v>
      </c>
      <c r="M1850" s="12" t="s">
        <v>571</v>
      </c>
      <c r="N1850" s="13">
        <f t="shared" si="48"/>
        <v>1780.75</v>
      </c>
    </row>
    <row r="1851" spans="1:14">
      <c r="A1851" s="12">
        <v>1850</v>
      </c>
      <c r="B1851" s="1" t="s">
        <v>1637</v>
      </c>
      <c r="C1851" s="42" t="s">
        <v>1638</v>
      </c>
      <c r="D1851" s="42" t="s">
        <v>2862</v>
      </c>
      <c r="E1851" s="42" t="s">
        <v>2777</v>
      </c>
      <c r="F1851" s="4">
        <v>11497.5</v>
      </c>
      <c r="G1851" s="47" t="s">
        <v>60</v>
      </c>
      <c r="H1851" s="29" t="s">
        <v>1641</v>
      </c>
      <c r="I1851" s="4">
        <v>0</v>
      </c>
      <c r="J1851" s="4">
        <v>0</v>
      </c>
      <c r="K1851" s="4">
        <v>547.5</v>
      </c>
      <c r="L1851" s="4">
        <v>0</v>
      </c>
      <c r="M1851" s="12" t="s">
        <v>571</v>
      </c>
      <c r="N1851" s="13">
        <f t="shared" si="48"/>
        <v>547.5</v>
      </c>
    </row>
    <row r="1852" spans="1:14">
      <c r="A1852" s="12">
        <v>1851</v>
      </c>
      <c r="B1852" s="1" t="s">
        <v>1637</v>
      </c>
      <c r="C1852" s="42" t="s">
        <v>1638</v>
      </c>
      <c r="D1852" s="42" t="s">
        <v>2863</v>
      </c>
      <c r="E1852" s="42" t="s">
        <v>2864</v>
      </c>
      <c r="F1852" s="4">
        <v>43506.76</v>
      </c>
      <c r="G1852" s="47" t="s">
        <v>60</v>
      </c>
      <c r="H1852" s="29" t="s">
        <v>1641</v>
      </c>
      <c r="I1852" s="4">
        <v>0</v>
      </c>
      <c r="J1852" s="4">
        <v>0</v>
      </c>
      <c r="K1852" s="4">
        <v>2071.75</v>
      </c>
      <c r="L1852" s="4">
        <v>0</v>
      </c>
      <c r="M1852" s="12" t="s">
        <v>571</v>
      </c>
      <c r="N1852" s="13">
        <f t="shared" si="48"/>
        <v>2071.75</v>
      </c>
    </row>
    <row r="1853" spans="1:14">
      <c r="A1853" s="12">
        <v>1852</v>
      </c>
      <c r="B1853" s="1" t="s">
        <v>1637</v>
      </c>
      <c r="C1853" s="42" t="s">
        <v>1638</v>
      </c>
      <c r="D1853" s="42" t="s">
        <v>2865</v>
      </c>
      <c r="E1853" s="42" t="s">
        <v>2866</v>
      </c>
      <c r="F1853" s="4">
        <v>41874</v>
      </c>
      <c r="G1853" s="47" t="s">
        <v>60</v>
      </c>
      <c r="H1853" s="29" t="s">
        <v>1641</v>
      </c>
      <c r="I1853" s="4">
        <v>0</v>
      </c>
      <c r="J1853" s="4">
        <v>0</v>
      </c>
      <c r="K1853" s="4">
        <v>1994</v>
      </c>
      <c r="L1853" s="4">
        <v>0</v>
      </c>
      <c r="M1853" s="12" t="s">
        <v>571</v>
      </c>
      <c r="N1853" s="13">
        <f t="shared" si="48"/>
        <v>1994</v>
      </c>
    </row>
    <row r="1854" spans="1:14">
      <c r="A1854" s="12">
        <v>1853</v>
      </c>
      <c r="B1854" s="1" t="s">
        <v>1637</v>
      </c>
      <c r="C1854" s="42" t="s">
        <v>1638</v>
      </c>
      <c r="D1854" s="42" t="s">
        <v>2867</v>
      </c>
      <c r="E1854" s="42" t="s">
        <v>2866</v>
      </c>
      <c r="F1854" s="4">
        <v>41085.19</v>
      </c>
      <c r="G1854" s="47" t="s">
        <v>60</v>
      </c>
      <c r="H1854" s="29" t="s">
        <v>1641</v>
      </c>
      <c r="I1854" s="4">
        <v>0</v>
      </c>
      <c r="J1854" s="4">
        <v>0</v>
      </c>
      <c r="K1854" s="4">
        <v>1956.44</v>
      </c>
      <c r="L1854" s="4">
        <v>0</v>
      </c>
      <c r="M1854" s="12" t="s">
        <v>571</v>
      </c>
      <c r="N1854" s="13">
        <f t="shared" si="48"/>
        <v>1956.44</v>
      </c>
    </row>
    <row r="1855" spans="1:14">
      <c r="A1855" s="12">
        <v>1854</v>
      </c>
      <c r="B1855" s="1" t="s">
        <v>1637</v>
      </c>
      <c r="C1855" s="42" t="s">
        <v>1638</v>
      </c>
      <c r="D1855" s="42" t="s">
        <v>2868</v>
      </c>
      <c r="E1855" s="42" t="s">
        <v>2866</v>
      </c>
      <c r="F1855" s="4">
        <v>33236.699999999997</v>
      </c>
      <c r="G1855" s="47" t="s">
        <v>60</v>
      </c>
      <c r="H1855" s="29" t="s">
        <v>1641</v>
      </c>
      <c r="I1855" s="4">
        <v>0</v>
      </c>
      <c r="J1855" s="4">
        <v>0</v>
      </c>
      <c r="K1855" s="4">
        <v>1582.7</v>
      </c>
      <c r="L1855" s="4">
        <v>0</v>
      </c>
      <c r="M1855" s="12" t="s">
        <v>571</v>
      </c>
      <c r="N1855" s="13">
        <f t="shared" si="48"/>
        <v>1582.7</v>
      </c>
    </row>
    <row r="1856" spans="1:14">
      <c r="A1856" s="12">
        <v>1855</v>
      </c>
      <c r="B1856" s="1" t="s">
        <v>1637</v>
      </c>
      <c r="C1856" s="42" t="s">
        <v>1638</v>
      </c>
      <c r="D1856" s="42" t="s">
        <v>2869</v>
      </c>
      <c r="E1856" s="42" t="s">
        <v>2870</v>
      </c>
      <c r="F1856" s="4">
        <v>44940</v>
      </c>
      <c r="G1856" s="47" t="s">
        <v>60</v>
      </c>
      <c r="H1856" s="29" t="s">
        <v>1641</v>
      </c>
      <c r="I1856" s="4">
        <v>0</v>
      </c>
      <c r="J1856" s="4">
        <v>0</v>
      </c>
      <c r="K1856" s="4">
        <v>2140</v>
      </c>
      <c r="L1856" s="4">
        <v>0</v>
      </c>
      <c r="M1856" s="12" t="s">
        <v>571</v>
      </c>
      <c r="N1856" s="13">
        <f t="shared" si="48"/>
        <v>2140</v>
      </c>
    </row>
    <row r="1857" spans="1:14">
      <c r="A1857" s="12">
        <v>1856</v>
      </c>
      <c r="B1857" s="1" t="s">
        <v>1637</v>
      </c>
      <c r="C1857" s="42" t="s">
        <v>1638</v>
      </c>
      <c r="D1857" s="42" t="s">
        <v>2871</v>
      </c>
      <c r="E1857" s="42" t="s">
        <v>2870</v>
      </c>
      <c r="F1857" s="4">
        <v>3304</v>
      </c>
      <c r="G1857" s="47" t="s">
        <v>60</v>
      </c>
      <c r="H1857" s="12">
        <v>7310</v>
      </c>
      <c r="I1857" s="4">
        <v>0</v>
      </c>
      <c r="J1857" s="4">
        <v>0</v>
      </c>
      <c r="K1857" s="4">
        <v>504</v>
      </c>
      <c r="L1857" s="4">
        <v>0</v>
      </c>
      <c r="M1857" s="12" t="s">
        <v>571</v>
      </c>
      <c r="N1857" s="13">
        <f t="shared" si="48"/>
        <v>504</v>
      </c>
    </row>
    <row r="1858" spans="1:14">
      <c r="A1858" s="12">
        <v>1857</v>
      </c>
      <c r="B1858" s="1" t="s">
        <v>1637</v>
      </c>
      <c r="C1858" s="42" t="s">
        <v>1638</v>
      </c>
      <c r="D1858" s="42" t="s">
        <v>2872</v>
      </c>
      <c r="E1858" s="42" t="s">
        <v>2765</v>
      </c>
      <c r="F1858" s="4">
        <v>84785.4</v>
      </c>
      <c r="G1858" s="47" t="s">
        <v>60</v>
      </c>
      <c r="H1858" s="29" t="s">
        <v>1641</v>
      </c>
      <c r="I1858" s="4">
        <v>0</v>
      </c>
      <c r="J1858" s="4">
        <v>0</v>
      </c>
      <c r="K1858" s="4">
        <v>4037.4</v>
      </c>
      <c r="L1858" s="4">
        <v>0</v>
      </c>
      <c r="M1858" s="12" t="s">
        <v>571</v>
      </c>
      <c r="N1858" s="13">
        <f t="shared" si="48"/>
        <v>4037.4</v>
      </c>
    </row>
    <row r="1859" spans="1:14">
      <c r="A1859" s="12">
        <v>1858</v>
      </c>
      <c r="B1859" s="1" t="s">
        <v>1637</v>
      </c>
      <c r="C1859" s="42" t="s">
        <v>1638</v>
      </c>
      <c r="D1859" s="42" t="s">
        <v>2873</v>
      </c>
      <c r="E1859" s="42" t="s">
        <v>2765</v>
      </c>
      <c r="F1859" s="4">
        <v>12242.5</v>
      </c>
      <c r="G1859" s="47" t="s">
        <v>60</v>
      </c>
      <c r="H1859" s="12">
        <v>4819</v>
      </c>
      <c r="I1859" s="4">
        <v>0</v>
      </c>
      <c r="J1859" s="4">
        <v>0</v>
      </c>
      <c r="K1859" s="4">
        <v>1867.5</v>
      </c>
      <c r="L1859" s="4">
        <v>0</v>
      </c>
      <c r="M1859" s="12" t="s">
        <v>571</v>
      </c>
      <c r="N1859" s="13">
        <f t="shared" si="48"/>
        <v>1867.5</v>
      </c>
    </row>
    <row r="1860" spans="1:14">
      <c r="A1860" s="12">
        <v>1859</v>
      </c>
      <c r="B1860" s="1" t="s">
        <v>1637</v>
      </c>
      <c r="C1860" s="42" t="s">
        <v>1638</v>
      </c>
      <c r="D1860" s="42" t="s">
        <v>2874</v>
      </c>
      <c r="E1860" s="42" t="s">
        <v>2765</v>
      </c>
      <c r="F1860" s="4">
        <v>5118.75</v>
      </c>
      <c r="G1860" s="47" t="s">
        <v>60</v>
      </c>
      <c r="H1860" s="29" t="s">
        <v>1641</v>
      </c>
      <c r="I1860" s="4">
        <v>0</v>
      </c>
      <c r="J1860" s="4">
        <v>0</v>
      </c>
      <c r="K1860" s="4">
        <v>243.75</v>
      </c>
      <c r="L1860" s="4">
        <v>0</v>
      </c>
      <c r="M1860" s="12" t="s">
        <v>571</v>
      </c>
      <c r="N1860" s="13">
        <f t="shared" si="48"/>
        <v>243.75</v>
      </c>
    </row>
    <row r="1861" spans="1:14">
      <c r="A1861" s="12">
        <v>1860</v>
      </c>
      <c r="B1861" s="1" t="s">
        <v>1637</v>
      </c>
      <c r="C1861" s="42" t="s">
        <v>1638</v>
      </c>
      <c r="D1861" s="42" t="s">
        <v>2875</v>
      </c>
      <c r="E1861" s="42" t="s">
        <v>2765</v>
      </c>
      <c r="F1861" s="4">
        <v>151189.92000000001</v>
      </c>
      <c r="G1861" s="47" t="s">
        <v>60</v>
      </c>
      <c r="H1861" s="29" t="s">
        <v>1641</v>
      </c>
      <c r="I1861" s="4">
        <v>0</v>
      </c>
      <c r="J1861" s="4">
        <v>0</v>
      </c>
      <c r="K1861" s="4">
        <v>7199.52</v>
      </c>
      <c r="L1861" s="4">
        <v>0</v>
      </c>
      <c r="M1861" s="12" t="s">
        <v>571</v>
      </c>
      <c r="N1861" s="13">
        <f t="shared" si="48"/>
        <v>7199.52</v>
      </c>
    </row>
    <row r="1862" spans="1:14">
      <c r="A1862" s="12">
        <v>1861</v>
      </c>
      <c r="B1862" s="1" t="s">
        <v>1637</v>
      </c>
      <c r="C1862" s="42" t="s">
        <v>1638</v>
      </c>
      <c r="D1862" s="42" t="s">
        <v>2876</v>
      </c>
      <c r="E1862" s="42" t="s">
        <v>2765</v>
      </c>
      <c r="F1862" s="4">
        <v>15104</v>
      </c>
      <c r="G1862" s="47" t="s">
        <v>60</v>
      </c>
      <c r="H1862" s="12">
        <v>7310</v>
      </c>
      <c r="I1862" s="4">
        <v>0</v>
      </c>
      <c r="J1862" s="4">
        <v>0</v>
      </c>
      <c r="K1862" s="4">
        <v>2304</v>
      </c>
      <c r="L1862" s="4">
        <v>0</v>
      </c>
      <c r="M1862" s="12" t="s">
        <v>571</v>
      </c>
      <c r="N1862" s="13">
        <f t="shared" si="48"/>
        <v>2304</v>
      </c>
    </row>
    <row r="1863" spans="1:14">
      <c r="A1863" s="12">
        <v>1862</v>
      </c>
      <c r="B1863" s="1" t="s">
        <v>1637</v>
      </c>
      <c r="C1863" s="42" t="s">
        <v>1638</v>
      </c>
      <c r="D1863" s="42" t="s">
        <v>2877</v>
      </c>
      <c r="E1863" s="42" t="s">
        <v>2878</v>
      </c>
      <c r="F1863" s="4">
        <v>102140.85</v>
      </c>
      <c r="G1863" s="47" t="s">
        <v>60</v>
      </c>
      <c r="H1863" s="29" t="s">
        <v>1641</v>
      </c>
      <c r="I1863" s="4">
        <v>0</v>
      </c>
      <c r="J1863" s="4">
        <v>0</v>
      </c>
      <c r="K1863" s="4">
        <v>4863.8500000000004</v>
      </c>
      <c r="L1863" s="4">
        <v>0</v>
      </c>
      <c r="M1863" s="12" t="s">
        <v>571</v>
      </c>
      <c r="N1863" s="13">
        <f t="shared" si="48"/>
        <v>4863.8500000000004</v>
      </c>
    </row>
    <row r="1864" spans="1:14">
      <c r="A1864" s="12">
        <v>1863</v>
      </c>
      <c r="B1864" s="1" t="s">
        <v>1637</v>
      </c>
      <c r="C1864" s="42" t="s">
        <v>1638</v>
      </c>
      <c r="D1864" s="42" t="s">
        <v>2879</v>
      </c>
      <c r="E1864" s="42" t="s">
        <v>2779</v>
      </c>
      <c r="F1864" s="4">
        <v>70765.8</v>
      </c>
      <c r="G1864" s="47" t="s">
        <v>60</v>
      </c>
      <c r="H1864" s="29" t="s">
        <v>1641</v>
      </c>
      <c r="I1864" s="4">
        <v>0</v>
      </c>
      <c r="J1864" s="4">
        <v>0</v>
      </c>
      <c r="K1864" s="4">
        <v>3369.8</v>
      </c>
      <c r="L1864" s="4">
        <v>0</v>
      </c>
      <c r="M1864" s="12" t="s">
        <v>571</v>
      </c>
      <c r="N1864" s="13">
        <f t="shared" si="48"/>
        <v>3369.8</v>
      </c>
    </row>
    <row r="1865" spans="1:14">
      <c r="A1865" s="12">
        <v>1864</v>
      </c>
      <c r="B1865" s="1" t="s">
        <v>1637</v>
      </c>
      <c r="C1865" s="42" t="s">
        <v>1638</v>
      </c>
      <c r="D1865" s="42" t="s">
        <v>2880</v>
      </c>
      <c r="E1865" s="42" t="s">
        <v>2779</v>
      </c>
      <c r="F1865" s="4">
        <v>5187</v>
      </c>
      <c r="G1865" s="47" t="s">
        <v>60</v>
      </c>
      <c r="H1865" s="29" t="s">
        <v>1641</v>
      </c>
      <c r="I1865" s="4">
        <v>0</v>
      </c>
      <c r="J1865" s="4">
        <v>0</v>
      </c>
      <c r="K1865" s="4">
        <v>247</v>
      </c>
      <c r="L1865" s="4">
        <v>0</v>
      </c>
      <c r="M1865" s="12" t="s">
        <v>571</v>
      </c>
      <c r="N1865" s="13">
        <f t="shared" si="48"/>
        <v>247</v>
      </c>
    </row>
    <row r="1866" spans="1:14">
      <c r="A1866" s="12">
        <v>1865</v>
      </c>
      <c r="B1866" s="1" t="s">
        <v>1637</v>
      </c>
      <c r="C1866" s="42" t="s">
        <v>1638</v>
      </c>
      <c r="D1866" s="42" t="s">
        <v>2881</v>
      </c>
      <c r="E1866" s="42" t="s">
        <v>2779</v>
      </c>
      <c r="F1866" s="4">
        <v>1203.5999999999999</v>
      </c>
      <c r="G1866" s="47" t="s">
        <v>60</v>
      </c>
      <c r="H1866" s="12">
        <v>4819</v>
      </c>
      <c r="I1866" s="4">
        <v>0</v>
      </c>
      <c r="J1866" s="4">
        <v>0</v>
      </c>
      <c r="K1866" s="4">
        <v>183.6</v>
      </c>
      <c r="L1866" s="4">
        <v>0</v>
      </c>
      <c r="M1866" s="12" t="s">
        <v>571</v>
      </c>
      <c r="N1866" s="13">
        <f t="shared" si="48"/>
        <v>183.6</v>
      </c>
    </row>
    <row r="1867" spans="1:14">
      <c r="A1867" s="12">
        <v>1866</v>
      </c>
      <c r="B1867" s="1" t="s">
        <v>1637</v>
      </c>
      <c r="C1867" s="42" t="s">
        <v>1638</v>
      </c>
      <c r="D1867" s="42" t="s">
        <v>2882</v>
      </c>
      <c r="E1867" s="42" t="s">
        <v>2883</v>
      </c>
      <c r="F1867" s="4">
        <v>38771.25</v>
      </c>
      <c r="G1867" s="47" t="s">
        <v>60</v>
      </c>
      <c r="H1867" s="29" t="s">
        <v>1641</v>
      </c>
      <c r="I1867" s="4">
        <v>0</v>
      </c>
      <c r="J1867" s="4">
        <v>0</v>
      </c>
      <c r="K1867" s="4">
        <v>1846.25</v>
      </c>
      <c r="L1867" s="4">
        <v>0</v>
      </c>
      <c r="M1867" s="12" t="s">
        <v>571</v>
      </c>
      <c r="N1867" s="13">
        <f t="shared" si="48"/>
        <v>1846.25</v>
      </c>
    </row>
    <row r="1868" spans="1:14">
      <c r="A1868" s="12">
        <v>1867</v>
      </c>
      <c r="B1868" s="1" t="s">
        <v>1637</v>
      </c>
      <c r="C1868" s="42" t="s">
        <v>1638</v>
      </c>
      <c r="D1868" s="42" t="s">
        <v>2884</v>
      </c>
      <c r="E1868" s="42" t="s">
        <v>2883</v>
      </c>
      <c r="F1868" s="4">
        <v>36276.980000000003</v>
      </c>
      <c r="G1868" s="47" t="s">
        <v>60</v>
      </c>
      <c r="H1868" s="29" t="s">
        <v>1641</v>
      </c>
      <c r="I1868" s="4">
        <v>0</v>
      </c>
      <c r="J1868" s="4">
        <v>0</v>
      </c>
      <c r="K1868" s="4">
        <v>1727.48</v>
      </c>
      <c r="L1868" s="4">
        <v>0</v>
      </c>
      <c r="M1868" s="12" t="s">
        <v>571</v>
      </c>
      <c r="N1868" s="13">
        <f t="shared" si="48"/>
        <v>1727.48</v>
      </c>
    </row>
    <row r="1869" spans="1:14">
      <c r="A1869" s="12">
        <v>1868</v>
      </c>
      <c r="B1869" s="1" t="s">
        <v>1637</v>
      </c>
      <c r="C1869" s="42" t="s">
        <v>1638</v>
      </c>
      <c r="D1869" s="42" t="s">
        <v>2885</v>
      </c>
      <c r="E1869" s="42" t="s">
        <v>2883</v>
      </c>
      <c r="F1869" s="4">
        <v>4349.4799999999996</v>
      </c>
      <c r="G1869" s="47" t="s">
        <v>60</v>
      </c>
      <c r="H1869" s="12">
        <v>4819</v>
      </c>
      <c r="I1869" s="4">
        <v>0</v>
      </c>
      <c r="J1869" s="4">
        <v>0</v>
      </c>
      <c r="K1869" s="4">
        <v>663.48</v>
      </c>
      <c r="L1869" s="4">
        <v>0</v>
      </c>
      <c r="M1869" s="12" t="s">
        <v>571</v>
      </c>
      <c r="N1869" s="13">
        <f t="shared" si="48"/>
        <v>663.48</v>
      </c>
    </row>
    <row r="1870" spans="1:14">
      <c r="A1870" s="12">
        <v>1869</v>
      </c>
      <c r="B1870" s="1" t="s">
        <v>1637</v>
      </c>
      <c r="C1870" s="42" t="s">
        <v>1638</v>
      </c>
      <c r="D1870" s="42" t="s">
        <v>2886</v>
      </c>
      <c r="E1870" s="42" t="s">
        <v>2887</v>
      </c>
      <c r="F1870" s="4">
        <v>20626.2</v>
      </c>
      <c r="G1870" s="47" t="s">
        <v>60</v>
      </c>
      <c r="H1870" s="29" t="s">
        <v>1641</v>
      </c>
      <c r="I1870" s="4">
        <v>0</v>
      </c>
      <c r="J1870" s="4">
        <v>0</v>
      </c>
      <c r="K1870" s="4">
        <v>982.2</v>
      </c>
      <c r="L1870" s="4">
        <v>0</v>
      </c>
      <c r="M1870" s="12" t="s">
        <v>571</v>
      </c>
      <c r="N1870" s="13">
        <f t="shared" si="48"/>
        <v>982.2</v>
      </c>
    </row>
    <row r="1871" spans="1:14">
      <c r="A1871" s="12">
        <v>1870</v>
      </c>
      <c r="B1871" s="1" t="s">
        <v>1637</v>
      </c>
      <c r="C1871" s="42" t="s">
        <v>1638</v>
      </c>
      <c r="D1871" s="42" t="s">
        <v>2888</v>
      </c>
      <c r="E1871" s="42" t="s">
        <v>2887</v>
      </c>
      <c r="F1871" s="4">
        <v>7198</v>
      </c>
      <c r="G1871" s="47" t="s">
        <v>60</v>
      </c>
      <c r="H1871" s="12">
        <v>3923</v>
      </c>
      <c r="I1871" s="4">
        <v>0</v>
      </c>
      <c r="J1871" s="4">
        <v>0</v>
      </c>
      <c r="K1871" s="4">
        <v>1098</v>
      </c>
      <c r="L1871" s="4">
        <v>0</v>
      </c>
      <c r="M1871" s="12" t="s">
        <v>571</v>
      </c>
      <c r="N1871" s="13">
        <f t="shared" si="48"/>
        <v>1098</v>
      </c>
    </row>
    <row r="1872" spans="1:14">
      <c r="A1872" s="12">
        <v>1871</v>
      </c>
      <c r="B1872" s="1" t="s">
        <v>1637</v>
      </c>
      <c r="C1872" s="42" t="s">
        <v>1638</v>
      </c>
      <c r="D1872" s="42" t="s">
        <v>2889</v>
      </c>
      <c r="E1872" s="42" t="s">
        <v>2887</v>
      </c>
      <c r="F1872" s="4">
        <v>2832.27</v>
      </c>
      <c r="G1872" s="47" t="s">
        <v>60</v>
      </c>
      <c r="H1872" s="29" t="s">
        <v>1641</v>
      </c>
      <c r="I1872" s="4">
        <v>0</v>
      </c>
      <c r="J1872" s="4">
        <v>0</v>
      </c>
      <c r="K1872" s="4">
        <v>134.87</v>
      </c>
      <c r="L1872" s="4">
        <v>0</v>
      </c>
      <c r="M1872" s="12" t="s">
        <v>571</v>
      </c>
      <c r="N1872" s="13">
        <f t="shared" si="48"/>
        <v>134.87</v>
      </c>
    </row>
    <row r="1873" spans="1:14">
      <c r="A1873" s="12">
        <v>1872</v>
      </c>
      <c r="B1873" s="1" t="s">
        <v>1637</v>
      </c>
      <c r="C1873" s="42" t="s">
        <v>1638</v>
      </c>
      <c r="D1873" s="42" t="s">
        <v>2890</v>
      </c>
      <c r="E1873" s="42" t="s">
        <v>2891</v>
      </c>
      <c r="F1873" s="4">
        <v>36536.85</v>
      </c>
      <c r="G1873" s="47" t="s">
        <v>60</v>
      </c>
      <c r="H1873" s="29" t="s">
        <v>1641</v>
      </c>
      <c r="I1873" s="4">
        <v>0</v>
      </c>
      <c r="J1873" s="4">
        <v>0</v>
      </c>
      <c r="K1873" s="4">
        <v>1739.85</v>
      </c>
      <c r="L1873" s="4">
        <v>0</v>
      </c>
      <c r="M1873" s="12" t="s">
        <v>571</v>
      </c>
      <c r="N1873" s="13">
        <f t="shared" ref="N1873:N1936" si="49">SUM(I1873:K1873)</f>
        <v>1739.85</v>
      </c>
    </row>
    <row r="1874" spans="1:14">
      <c r="A1874" s="12">
        <v>1873</v>
      </c>
      <c r="B1874" s="1" t="s">
        <v>1637</v>
      </c>
      <c r="C1874" s="42" t="s">
        <v>1638</v>
      </c>
      <c r="D1874" s="42" t="s">
        <v>2892</v>
      </c>
      <c r="E1874" s="42" t="s">
        <v>2891</v>
      </c>
      <c r="F1874" s="4">
        <v>4277.5</v>
      </c>
      <c r="G1874" s="47" t="s">
        <v>60</v>
      </c>
      <c r="H1874" s="12">
        <v>3923</v>
      </c>
      <c r="I1874" s="4">
        <v>0</v>
      </c>
      <c r="J1874" s="4">
        <v>0</v>
      </c>
      <c r="K1874" s="4">
        <v>652.5</v>
      </c>
      <c r="L1874" s="4">
        <v>0</v>
      </c>
      <c r="M1874" s="12" t="s">
        <v>571</v>
      </c>
      <c r="N1874" s="13">
        <f t="shared" si="49"/>
        <v>652.5</v>
      </c>
    </row>
    <row r="1875" spans="1:14">
      <c r="A1875" s="12">
        <v>1874</v>
      </c>
      <c r="B1875" s="1" t="s">
        <v>1637</v>
      </c>
      <c r="C1875" s="42" t="s">
        <v>1638</v>
      </c>
      <c r="D1875" s="42" t="s">
        <v>2893</v>
      </c>
      <c r="E1875" s="42" t="s">
        <v>2894</v>
      </c>
      <c r="F1875" s="4">
        <v>43795.5</v>
      </c>
      <c r="G1875" s="47" t="s">
        <v>60</v>
      </c>
      <c r="H1875" s="29" t="s">
        <v>1641</v>
      </c>
      <c r="I1875" s="4">
        <v>0</v>
      </c>
      <c r="J1875" s="4">
        <v>0</v>
      </c>
      <c r="K1875" s="4">
        <v>2085.5</v>
      </c>
      <c r="L1875" s="4">
        <v>0</v>
      </c>
      <c r="M1875" s="12" t="s">
        <v>571</v>
      </c>
      <c r="N1875" s="13">
        <f t="shared" si="49"/>
        <v>2085.5</v>
      </c>
    </row>
    <row r="1876" spans="1:14">
      <c r="A1876" s="12">
        <v>1875</v>
      </c>
      <c r="B1876" s="1" t="s">
        <v>1637</v>
      </c>
      <c r="C1876" s="42" t="s">
        <v>1638</v>
      </c>
      <c r="D1876" s="42" t="s">
        <v>2895</v>
      </c>
      <c r="E1876" s="42" t="s">
        <v>2894</v>
      </c>
      <c r="F1876" s="4">
        <v>1038.4000000000001</v>
      </c>
      <c r="G1876" s="47" t="s">
        <v>60</v>
      </c>
      <c r="H1876" s="12">
        <v>4819</v>
      </c>
      <c r="I1876" s="4">
        <v>0</v>
      </c>
      <c r="J1876" s="4">
        <v>0</v>
      </c>
      <c r="K1876" s="4">
        <v>158.4</v>
      </c>
      <c r="L1876" s="4">
        <v>0</v>
      </c>
      <c r="M1876" s="12" t="s">
        <v>571</v>
      </c>
      <c r="N1876" s="13">
        <f t="shared" si="49"/>
        <v>158.4</v>
      </c>
    </row>
    <row r="1877" spans="1:14">
      <c r="A1877" s="12">
        <v>1876</v>
      </c>
      <c r="B1877" s="1" t="s">
        <v>1637</v>
      </c>
      <c r="C1877" s="42" t="s">
        <v>1638</v>
      </c>
      <c r="D1877" s="42" t="s">
        <v>2896</v>
      </c>
      <c r="E1877" s="42" t="s">
        <v>2897</v>
      </c>
      <c r="F1877" s="4">
        <v>11576.25</v>
      </c>
      <c r="G1877" s="47" t="s">
        <v>60</v>
      </c>
      <c r="H1877" s="29" t="s">
        <v>1641</v>
      </c>
      <c r="I1877" s="4">
        <v>0</v>
      </c>
      <c r="J1877" s="4">
        <v>0</v>
      </c>
      <c r="K1877" s="4">
        <v>551.25</v>
      </c>
      <c r="L1877" s="4">
        <v>0</v>
      </c>
      <c r="M1877" s="12" t="s">
        <v>571</v>
      </c>
      <c r="N1877" s="13">
        <f t="shared" si="49"/>
        <v>551.25</v>
      </c>
    </row>
    <row r="1878" spans="1:14">
      <c r="A1878" s="12">
        <v>1877</v>
      </c>
      <c r="B1878" s="1" t="s">
        <v>1637</v>
      </c>
      <c r="C1878" s="42" t="s">
        <v>1638</v>
      </c>
      <c r="D1878" s="42" t="s">
        <v>2898</v>
      </c>
      <c r="E1878" s="42" t="s">
        <v>2899</v>
      </c>
      <c r="F1878" s="4">
        <v>17155.95</v>
      </c>
      <c r="G1878" s="47" t="s">
        <v>60</v>
      </c>
      <c r="H1878" s="29" t="s">
        <v>1641</v>
      </c>
      <c r="I1878" s="4">
        <v>0</v>
      </c>
      <c r="J1878" s="4">
        <v>0</v>
      </c>
      <c r="K1878" s="4">
        <v>816.95</v>
      </c>
      <c r="L1878" s="4">
        <v>0</v>
      </c>
      <c r="M1878" s="12" t="s">
        <v>571</v>
      </c>
      <c r="N1878" s="13">
        <f t="shared" si="49"/>
        <v>816.95</v>
      </c>
    </row>
    <row r="1879" spans="1:14">
      <c r="A1879" s="12">
        <v>1878</v>
      </c>
      <c r="B1879" s="1" t="s">
        <v>1637</v>
      </c>
      <c r="C1879" s="42" t="s">
        <v>1638</v>
      </c>
      <c r="D1879" s="42" t="s">
        <v>2900</v>
      </c>
      <c r="E1879" s="42" t="s">
        <v>2899</v>
      </c>
      <c r="F1879" s="4">
        <v>2180.64</v>
      </c>
      <c r="G1879" s="47" t="s">
        <v>60</v>
      </c>
      <c r="H1879" s="12">
        <v>4821</v>
      </c>
      <c r="I1879" s="4">
        <v>0</v>
      </c>
      <c r="J1879" s="4">
        <v>0</v>
      </c>
      <c r="K1879" s="4">
        <v>332.64</v>
      </c>
      <c r="L1879" s="4">
        <v>0</v>
      </c>
      <c r="M1879" s="12" t="s">
        <v>571</v>
      </c>
      <c r="N1879" s="13">
        <f t="shared" si="49"/>
        <v>332.64</v>
      </c>
    </row>
    <row r="1880" spans="1:14">
      <c r="A1880" s="12">
        <v>1879</v>
      </c>
      <c r="B1880" s="1" t="s">
        <v>1637</v>
      </c>
      <c r="C1880" s="42" t="s">
        <v>1638</v>
      </c>
      <c r="D1880" s="42" t="s">
        <v>2901</v>
      </c>
      <c r="E1880" s="42" t="s">
        <v>2902</v>
      </c>
      <c r="F1880" s="4">
        <v>17770.62</v>
      </c>
      <c r="G1880" s="47" t="s">
        <v>60</v>
      </c>
      <c r="H1880" s="29" t="s">
        <v>1641</v>
      </c>
      <c r="I1880" s="4">
        <v>0</v>
      </c>
      <c r="J1880" s="4">
        <v>0</v>
      </c>
      <c r="K1880" s="4">
        <v>846.22</v>
      </c>
      <c r="L1880" s="4">
        <v>0</v>
      </c>
      <c r="M1880" s="12" t="s">
        <v>571</v>
      </c>
      <c r="N1880" s="13">
        <f t="shared" si="49"/>
        <v>846.22</v>
      </c>
    </row>
    <row r="1881" spans="1:14">
      <c r="A1881" s="12">
        <v>1880</v>
      </c>
      <c r="B1881" s="1" t="s">
        <v>1637</v>
      </c>
      <c r="C1881" s="42" t="s">
        <v>1638</v>
      </c>
      <c r="D1881" s="42" t="s">
        <v>2903</v>
      </c>
      <c r="E1881" s="42" t="s">
        <v>2904</v>
      </c>
      <c r="F1881" s="4">
        <v>1038.4000000000001</v>
      </c>
      <c r="G1881" s="47" t="s">
        <v>60</v>
      </c>
      <c r="H1881" s="12">
        <v>4819</v>
      </c>
      <c r="I1881" s="4">
        <v>0</v>
      </c>
      <c r="J1881" s="4">
        <v>0</v>
      </c>
      <c r="K1881" s="4">
        <v>158.4</v>
      </c>
      <c r="L1881" s="4">
        <v>0</v>
      </c>
      <c r="M1881" s="12" t="s">
        <v>571</v>
      </c>
      <c r="N1881" s="13">
        <f t="shared" si="49"/>
        <v>158.4</v>
      </c>
    </row>
    <row r="1882" spans="1:14">
      <c r="A1882" s="12">
        <v>1881</v>
      </c>
      <c r="B1882" s="1" t="s">
        <v>1637</v>
      </c>
      <c r="C1882" s="42" t="s">
        <v>1638</v>
      </c>
      <c r="D1882" s="42" t="s">
        <v>2905</v>
      </c>
      <c r="E1882" s="42" t="s">
        <v>2906</v>
      </c>
      <c r="F1882" s="4">
        <v>49150.5</v>
      </c>
      <c r="G1882" s="47" t="s">
        <v>60</v>
      </c>
      <c r="H1882" s="29" t="s">
        <v>1641</v>
      </c>
      <c r="I1882" s="4">
        <v>0</v>
      </c>
      <c r="J1882" s="4">
        <v>0</v>
      </c>
      <c r="K1882" s="4">
        <v>2340.5</v>
      </c>
      <c r="L1882" s="4">
        <v>0</v>
      </c>
      <c r="M1882" s="12" t="s">
        <v>571</v>
      </c>
      <c r="N1882" s="13">
        <f t="shared" si="49"/>
        <v>2340.5</v>
      </c>
    </row>
    <row r="1883" spans="1:14">
      <c r="A1883" s="12">
        <v>1882</v>
      </c>
      <c r="B1883" s="1" t="s">
        <v>1637</v>
      </c>
      <c r="C1883" s="42" t="s">
        <v>1638</v>
      </c>
      <c r="D1883" s="42" t="s">
        <v>2907</v>
      </c>
      <c r="E1883" s="42" t="s">
        <v>2908</v>
      </c>
      <c r="F1883" s="4">
        <v>26455.8</v>
      </c>
      <c r="G1883" s="47" t="s">
        <v>60</v>
      </c>
      <c r="H1883" s="29" t="s">
        <v>1641</v>
      </c>
      <c r="I1883" s="4">
        <v>0</v>
      </c>
      <c r="J1883" s="4">
        <v>0</v>
      </c>
      <c r="K1883" s="4">
        <v>1259.8</v>
      </c>
      <c r="L1883" s="4">
        <v>0</v>
      </c>
      <c r="M1883" s="12" t="s">
        <v>571</v>
      </c>
      <c r="N1883" s="13">
        <f t="shared" si="49"/>
        <v>1259.8</v>
      </c>
    </row>
    <row r="1884" spans="1:14">
      <c r="A1884" s="12">
        <v>1883</v>
      </c>
      <c r="B1884" s="1" t="s">
        <v>1637</v>
      </c>
      <c r="C1884" s="42" t="s">
        <v>1638</v>
      </c>
      <c r="D1884" s="42" t="s">
        <v>2909</v>
      </c>
      <c r="E1884" s="42" t="s">
        <v>2908</v>
      </c>
      <c r="F1884" s="4">
        <v>23420.73</v>
      </c>
      <c r="G1884" s="47" t="s">
        <v>60</v>
      </c>
      <c r="H1884" s="29" t="s">
        <v>1641</v>
      </c>
      <c r="I1884" s="4">
        <v>0</v>
      </c>
      <c r="J1884" s="4">
        <v>0</v>
      </c>
      <c r="K1884" s="4">
        <v>1115.27</v>
      </c>
      <c r="L1884" s="4">
        <v>0</v>
      </c>
      <c r="M1884" s="12" t="s">
        <v>571</v>
      </c>
      <c r="N1884" s="13">
        <f t="shared" si="49"/>
        <v>1115.27</v>
      </c>
    </row>
    <row r="1885" spans="1:14">
      <c r="A1885" s="12">
        <v>1884</v>
      </c>
      <c r="B1885" s="1" t="s">
        <v>1637</v>
      </c>
      <c r="C1885" s="42" t="s">
        <v>1638</v>
      </c>
      <c r="D1885" s="42" t="s">
        <v>2910</v>
      </c>
      <c r="E1885" s="42" t="s">
        <v>2911</v>
      </c>
      <c r="F1885" s="4">
        <v>6844</v>
      </c>
      <c r="G1885" s="47" t="s">
        <v>60</v>
      </c>
      <c r="H1885" s="12">
        <v>3923</v>
      </c>
      <c r="I1885" s="4">
        <v>0</v>
      </c>
      <c r="J1885" s="4">
        <v>0</v>
      </c>
      <c r="K1885" s="4">
        <v>1044</v>
      </c>
      <c r="L1885" s="4">
        <v>0</v>
      </c>
      <c r="M1885" s="12" t="s">
        <v>571</v>
      </c>
      <c r="N1885" s="13">
        <f t="shared" si="49"/>
        <v>1044</v>
      </c>
    </row>
    <row r="1886" spans="1:14">
      <c r="A1886" s="12">
        <v>1885</v>
      </c>
      <c r="B1886" s="1" t="s">
        <v>1637</v>
      </c>
      <c r="C1886" s="42" t="s">
        <v>1638</v>
      </c>
      <c r="D1886" s="42" t="s">
        <v>2912</v>
      </c>
      <c r="E1886" s="42" t="s">
        <v>2913</v>
      </c>
      <c r="F1886" s="4">
        <v>1786.74</v>
      </c>
      <c r="G1886" s="47" t="s">
        <v>60</v>
      </c>
      <c r="H1886" s="29" t="s">
        <v>1641</v>
      </c>
      <c r="I1886" s="4">
        <v>0</v>
      </c>
      <c r="J1886" s="4">
        <v>0</v>
      </c>
      <c r="K1886" s="4">
        <v>85.08</v>
      </c>
      <c r="L1886" s="4">
        <v>0</v>
      </c>
      <c r="M1886" s="12" t="s">
        <v>571</v>
      </c>
      <c r="N1886" s="13">
        <f t="shared" si="49"/>
        <v>85.08</v>
      </c>
    </row>
    <row r="1887" spans="1:14">
      <c r="A1887" s="12">
        <v>1886</v>
      </c>
      <c r="B1887" s="1" t="s">
        <v>1637</v>
      </c>
      <c r="C1887" s="42" t="s">
        <v>1638</v>
      </c>
      <c r="D1887" s="42" t="s">
        <v>2914</v>
      </c>
      <c r="E1887" s="42" t="s">
        <v>2913</v>
      </c>
      <c r="F1887" s="4">
        <v>27945.75</v>
      </c>
      <c r="G1887" s="47" t="s">
        <v>60</v>
      </c>
      <c r="H1887" s="29" t="s">
        <v>1641</v>
      </c>
      <c r="I1887" s="4">
        <v>0</v>
      </c>
      <c r="J1887" s="4">
        <v>0</v>
      </c>
      <c r="K1887" s="4">
        <v>1330.75</v>
      </c>
      <c r="L1887" s="4">
        <v>0</v>
      </c>
      <c r="M1887" s="12" t="s">
        <v>571</v>
      </c>
      <c r="N1887" s="13">
        <f t="shared" si="49"/>
        <v>1330.75</v>
      </c>
    </row>
    <row r="1888" spans="1:14">
      <c r="A1888" s="12">
        <v>1887</v>
      </c>
      <c r="B1888" s="1" t="s">
        <v>1637</v>
      </c>
      <c r="C1888" s="42" t="s">
        <v>1638</v>
      </c>
      <c r="D1888" s="42" t="s">
        <v>2915</v>
      </c>
      <c r="E1888" s="42" t="s">
        <v>2767</v>
      </c>
      <c r="F1888" s="4">
        <v>8027.25</v>
      </c>
      <c r="G1888" s="47" t="s">
        <v>60</v>
      </c>
      <c r="H1888" s="29" t="s">
        <v>1641</v>
      </c>
      <c r="I1888" s="4">
        <v>0</v>
      </c>
      <c r="J1888" s="4">
        <v>0</v>
      </c>
      <c r="K1888" s="4">
        <v>382.25</v>
      </c>
      <c r="L1888" s="4">
        <v>0</v>
      </c>
      <c r="M1888" s="12" t="s">
        <v>571</v>
      </c>
      <c r="N1888" s="13">
        <f t="shared" si="49"/>
        <v>382.25</v>
      </c>
    </row>
    <row r="1889" spans="1:14">
      <c r="A1889" s="12">
        <v>1888</v>
      </c>
      <c r="B1889" s="1" t="s">
        <v>1637</v>
      </c>
      <c r="C1889" s="42" t="s">
        <v>1638</v>
      </c>
      <c r="D1889" s="42" t="s">
        <v>2916</v>
      </c>
      <c r="E1889" s="42" t="s">
        <v>2917</v>
      </c>
      <c r="F1889" s="4">
        <v>26407.5</v>
      </c>
      <c r="G1889" s="47" t="s">
        <v>60</v>
      </c>
      <c r="H1889" s="29" t="s">
        <v>1641</v>
      </c>
      <c r="I1889" s="4">
        <v>0</v>
      </c>
      <c r="J1889" s="4">
        <v>0</v>
      </c>
      <c r="K1889" s="4">
        <v>1257.5</v>
      </c>
      <c r="L1889" s="4">
        <v>0</v>
      </c>
      <c r="M1889" s="12" t="s">
        <v>571</v>
      </c>
      <c r="N1889" s="13">
        <f t="shared" si="49"/>
        <v>1257.5</v>
      </c>
    </row>
    <row r="1890" spans="1:14">
      <c r="A1890" s="12">
        <v>1889</v>
      </c>
      <c r="B1890" s="1" t="s">
        <v>1637</v>
      </c>
      <c r="C1890" s="42" t="s">
        <v>1638</v>
      </c>
      <c r="D1890" s="42" t="s">
        <v>2918</v>
      </c>
      <c r="E1890" s="42" t="s">
        <v>2919</v>
      </c>
      <c r="F1890" s="4">
        <v>3766.56</v>
      </c>
      <c r="G1890" s="47" t="s">
        <v>60</v>
      </c>
      <c r="H1890" s="12">
        <v>7310</v>
      </c>
      <c r="I1890" s="4">
        <v>0</v>
      </c>
      <c r="J1890" s="4">
        <v>0</v>
      </c>
      <c r="K1890" s="4">
        <v>574.55999999999995</v>
      </c>
      <c r="L1890" s="4">
        <v>0</v>
      </c>
      <c r="M1890" s="12" t="s">
        <v>571</v>
      </c>
      <c r="N1890" s="13">
        <f t="shared" si="49"/>
        <v>574.55999999999995</v>
      </c>
    </row>
    <row r="1891" spans="1:14">
      <c r="A1891" s="12">
        <v>1890</v>
      </c>
      <c r="B1891" s="1" t="s">
        <v>1637</v>
      </c>
      <c r="C1891" s="42" t="s">
        <v>1638</v>
      </c>
      <c r="D1891" s="42" t="s">
        <v>2920</v>
      </c>
      <c r="E1891" s="42" t="s">
        <v>2919</v>
      </c>
      <c r="F1891" s="4">
        <v>6694.8</v>
      </c>
      <c r="G1891" s="47" t="s">
        <v>60</v>
      </c>
      <c r="H1891" s="29" t="s">
        <v>1641</v>
      </c>
      <c r="I1891" s="4">
        <v>0</v>
      </c>
      <c r="J1891" s="4">
        <v>0</v>
      </c>
      <c r="K1891" s="4">
        <v>318.8</v>
      </c>
      <c r="L1891" s="4">
        <v>0</v>
      </c>
      <c r="M1891" s="12" t="s">
        <v>571</v>
      </c>
      <c r="N1891" s="13">
        <f t="shared" si="49"/>
        <v>318.8</v>
      </c>
    </row>
    <row r="1892" spans="1:14">
      <c r="A1892" s="12">
        <v>1891</v>
      </c>
      <c r="B1892" s="1" t="s">
        <v>1637</v>
      </c>
      <c r="C1892" s="42" t="s">
        <v>1638</v>
      </c>
      <c r="D1892" s="42" t="s">
        <v>2921</v>
      </c>
      <c r="E1892" s="42" t="s">
        <v>2922</v>
      </c>
      <c r="F1892" s="4">
        <v>47489.82</v>
      </c>
      <c r="G1892" s="47" t="s">
        <v>60</v>
      </c>
      <c r="H1892" s="29" t="s">
        <v>1641</v>
      </c>
      <c r="I1892" s="4">
        <v>0</v>
      </c>
      <c r="J1892" s="4">
        <v>0</v>
      </c>
      <c r="K1892" s="4">
        <v>2261.42</v>
      </c>
      <c r="L1892" s="4">
        <v>0</v>
      </c>
      <c r="M1892" s="12" t="s">
        <v>571</v>
      </c>
      <c r="N1892" s="13">
        <f t="shared" si="49"/>
        <v>2261.42</v>
      </c>
    </row>
    <row r="1893" spans="1:14">
      <c r="A1893" s="12">
        <v>1892</v>
      </c>
      <c r="B1893" s="1" t="s">
        <v>1637</v>
      </c>
      <c r="C1893" s="42" t="s">
        <v>1638</v>
      </c>
      <c r="D1893" s="42" t="s">
        <v>2923</v>
      </c>
      <c r="E1893" s="42" t="s">
        <v>2924</v>
      </c>
      <c r="F1893" s="4">
        <v>6525.4</v>
      </c>
      <c r="G1893" s="47" t="s">
        <v>60</v>
      </c>
      <c r="H1893" s="12">
        <v>4819</v>
      </c>
      <c r="I1893" s="4">
        <v>0</v>
      </c>
      <c r="J1893" s="4">
        <v>0</v>
      </c>
      <c r="K1893" s="4">
        <v>995.4</v>
      </c>
      <c r="L1893" s="4">
        <v>0</v>
      </c>
      <c r="M1893" s="12" t="s">
        <v>571</v>
      </c>
      <c r="N1893" s="13">
        <f t="shared" si="49"/>
        <v>995.4</v>
      </c>
    </row>
    <row r="1894" spans="1:14">
      <c r="A1894" s="12">
        <v>1893</v>
      </c>
      <c r="B1894" s="1" t="s">
        <v>1637</v>
      </c>
      <c r="C1894" s="42" t="s">
        <v>1638</v>
      </c>
      <c r="D1894" s="42" t="s">
        <v>2925</v>
      </c>
      <c r="E1894" s="42" t="s">
        <v>2924</v>
      </c>
      <c r="F1894" s="4">
        <v>42063</v>
      </c>
      <c r="G1894" s="47" t="s">
        <v>60</v>
      </c>
      <c r="H1894" s="29" t="s">
        <v>1641</v>
      </c>
      <c r="I1894" s="4">
        <v>0</v>
      </c>
      <c r="J1894" s="4">
        <v>0</v>
      </c>
      <c r="K1894" s="4">
        <v>2003</v>
      </c>
      <c r="L1894" s="4">
        <v>0</v>
      </c>
      <c r="M1894" s="12" t="s">
        <v>571</v>
      </c>
      <c r="N1894" s="13">
        <f t="shared" si="49"/>
        <v>2003</v>
      </c>
    </row>
    <row r="1895" spans="1:14">
      <c r="A1895" s="12">
        <v>1894</v>
      </c>
      <c r="B1895" s="1" t="s">
        <v>1637</v>
      </c>
      <c r="C1895" s="42" t="s">
        <v>1638</v>
      </c>
      <c r="D1895" s="42" t="s">
        <v>2926</v>
      </c>
      <c r="E1895" s="42" t="s">
        <v>2927</v>
      </c>
      <c r="F1895" s="4">
        <v>41647.199999999997</v>
      </c>
      <c r="G1895" s="47" t="s">
        <v>60</v>
      </c>
      <c r="H1895" s="29" t="s">
        <v>1641</v>
      </c>
      <c r="I1895" s="4">
        <v>0</v>
      </c>
      <c r="J1895" s="4">
        <v>0</v>
      </c>
      <c r="K1895" s="4">
        <v>1983.2</v>
      </c>
      <c r="L1895" s="4">
        <v>0</v>
      </c>
      <c r="M1895" s="12" t="s">
        <v>571</v>
      </c>
      <c r="N1895" s="13">
        <f t="shared" si="49"/>
        <v>1983.2</v>
      </c>
    </row>
    <row r="1896" spans="1:14">
      <c r="A1896" s="12">
        <v>1895</v>
      </c>
      <c r="B1896" s="1" t="s">
        <v>1637</v>
      </c>
      <c r="C1896" s="42" t="s">
        <v>1638</v>
      </c>
      <c r="D1896" s="42" t="s">
        <v>2928</v>
      </c>
      <c r="E1896" s="42" t="s">
        <v>2927</v>
      </c>
      <c r="F1896" s="4">
        <v>2553.77</v>
      </c>
      <c r="G1896" s="47" t="s">
        <v>60</v>
      </c>
      <c r="H1896" s="29" t="s">
        <v>1641</v>
      </c>
      <c r="I1896" s="4">
        <v>0</v>
      </c>
      <c r="J1896" s="4">
        <v>0</v>
      </c>
      <c r="K1896" s="4">
        <v>121.61</v>
      </c>
      <c r="L1896" s="4">
        <v>0</v>
      </c>
      <c r="M1896" s="12" t="s">
        <v>571</v>
      </c>
      <c r="N1896" s="13">
        <f t="shared" si="49"/>
        <v>121.61</v>
      </c>
    </row>
    <row r="1897" spans="1:14">
      <c r="A1897" s="12">
        <v>1896</v>
      </c>
      <c r="B1897" s="1" t="s">
        <v>1637</v>
      </c>
      <c r="C1897" s="42" t="s">
        <v>1638</v>
      </c>
      <c r="D1897" s="42" t="s">
        <v>2929</v>
      </c>
      <c r="E1897" s="42" t="s">
        <v>2930</v>
      </c>
      <c r="F1897" s="4">
        <v>93135</v>
      </c>
      <c r="G1897" s="47" t="s">
        <v>60</v>
      </c>
      <c r="H1897" s="29" t="s">
        <v>1641</v>
      </c>
      <c r="I1897" s="4">
        <v>0</v>
      </c>
      <c r="J1897" s="4">
        <v>0</v>
      </c>
      <c r="K1897" s="4">
        <v>4435</v>
      </c>
      <c r="L1897" s="4">
        <v>0</v>
      </c>
      <c r="M1897" s="12" t="s">
        <v>571</v>
      </c>
      <c r="N1897" s="13">
        <f t="shared" si="49"/>
        <v>4435</v>
      </c>
    </row>
    <row r="1898" spans="1:14">
      <c r="A1898" s="12">
        <v>1897</v>
      </c>
      <c r="B1898" s="1" t="s">
        <v>1637</v>
      </c>
      <c r="C1898" s="42" t="s">
        <v>1638</v>
      </c>
      <c r="D1898" s="42" t="s">
        <v>2931</v>
      </c>
      <c r="E1898" s="42" t="s">
        <v>2758</v>
      </c>
      <c r="F1898" s="4">
        <v>1995</v>
      </c>
      <c r="G1898" s="47" t="s">
        <v>60</v>
      </c>
      <c r="H1898" s="29" t="s">
        <v>1641</v>
      </c>
      <c r="I1898" s="4">
        <v>0</v>
      </c>
      <c r="J1898" s="4">
        <v>0</v>
      </c>
      <c r="K1898" s="4">
        <v>95</v>
      </c>
      <c r="L1898" s="4">
        <v>0</v>
      </c>
      <c r="M1898" s="12" t="s">
        <v>571</v>
      </c>
      <c r="N1898" s="13">
        <f t="shared" si="49"/>
        <v>95</v>
      </c>
    </row>
    <row r="1899" spans="1:14">
      <c r="A1899" s="12">
        <v>1898</v>
      </c>
      <c r="B1899" s="1" t="s">
        <v>1637</v>
      </c>
      <c r="C1899" s="42" t="s">
        <v>1638</v>
      </c>
      <c r="D1899" s="42" t="s">
        <v>2932</v>
      </c>
      <c r="E1899" s="42" t="s">
        <v>2758</v>
      </c>
      <c r="F1899" s="4">
        <v>45221.66</v>
      </c>
      <c r="G1899" s="47" t="s">
        <v>60</v>
      </c>
      <c r="H1899" s="29" t="s">
        <v>1641</v>
      </c>
      <c r="I1899" s="4">
        <v>0</v>
      </c>
      <c r="J1899" s="4">
        <v>0</v>
      </c>
      <c r="K1899" s="4">
        <v>2153.41</v>
      </c>
      <c r="L1899" s="4">
        <v>0</v>
      </c>
      <c r="M1899" s="12" t="s">
        <v>571</v>
      </c>
      <c r="N1899" s="13">
        <f t="shared" si="49"/>
        <v>2153.41</v>
      </c>
    </row>
    <row r="1900" spans="1:14">
      <c r="A1900" s="12">
        <v>1899</v>
      </c>
      <c r="B1900" s="1" t="s">
        <v>1766</v>
      </c>
      <c r="C1900" s="42" t="s">
        <v>1767</v>
      </c>
      <c r="D1900" s="42" t="s">
        <v>2933</v>
      </c>
      <c r="E1900" s="42" t="s">
        <v>2927</v>
      </c>
      <c r="F1900" s="4">
        <v>461.08</v>
      </c>
      <c r="G1900" s="47" t="s">
        <v>570</v>
      </c>
      <c r="H1900" s="12">
        <v>996511</v>
      </c>
      <c r="I1900" s="4">
        <v>0</v>
      </c>
      <c r="J1900" s="4">
        <v>0</v>
      </c>
      <c r="K1900" s="4">
        <v>70.319999999999993</v>
      </c>
      <c r="L1900" s="4">
        <v>0</v>
      </c>
      <c r="M1900" s="12" t="s">
        <v>571</v>
      </c>
      <c r="N1900" s="13">
        <f t="shared" si="49"/>
        <v>70.319999999999993</v>
      </c>
    </row>
    <row r="1901" spans="1:14">
      <c r="A1901" s="12">
        <v>1900</v>
      </c>
      <c r="B1901" s="1" t="s">
        <v>1766</v>
      </c>
      <c r="C1901" s="42" t="s">
        <v>1767</v>
      </c>
      <c r="D1901" s="42" t="s">
        <v>2934</v>
      </c>
      <c r="E1901" s="42" t="s">
        <v>2927</v>
      </c>
      <c r="F1901" s="4">
        <v>31153</v>
      </c>
      <c r="G1901" s="47" t="s">
        <v>570</v>
      </c>
      <c r="H1901" s="12">
        <v>996511</v>
      </c>
      <c r="I1901" s="4">
        <v>0</v>
      </c>
      <c r="J1901" s="4">
        <v>0</v>
      </c>
      <c r="K1901" s="4">
        <v>4752.21</v>
      </c>
      <c r="L1901" s="4">
        <v>0</v>
      </c>
      <c r="M1901" s="12" t="s">
        <v>571</v>
      </c>
      <c r="N1901" s="13">
        <f t="shared" si="49"/>
        <v>4752.21</v>
      </c>
    </row>
    <row r="1902" spans="1:14">
      <c r="A1902" s="12">
        <v>1901</v>
      </c>
      <c r="B1902" s="1" t="s">
        <v>2935</v>
      </c>
      <c r="C1902" s="42" t="s">
        <v>2936</v>
      </c>
      <c r="D1902" s="42" t="s">
        <v>2937</v>
      </c>
      <c r="E1902" s="42" t="s">
        <v>2887</v>
      </c>
      <c r="F1902" s="4">
        <v>70800</v>
      </c>
      <c r="G1902" s="47" t="s">
        <v>570</v>
      </c>
      <c r="H1902" s="12">
        <v>998596</v>
      </c>
      <c r="I1902" s="4">
        <v>5400</v>
      </c>
      <c r="J1902" s="4">
        <v>5400</v>
      </c>
      <c r="K1902" s="4">
        <v>0</v>
      </c>
      <c r="L1902" s="4">
        <v>0</v>
      </c>
      <c r="M1902" s="12" t="s">
        <v>571</v>
      </c>
      <c r="N1902" s="13">
        <f t="shared" si="49"/>
        <v>10800</v>
      </c>
    </row>
    <row r="1903" spans="1:14">
      <c r="A1903" s="12">
        <v>1902</v>
      </c>
      <c r="B1903" s="1" t="s">
        <v>2938</v>
      </c>
      <c r="C1903" s="42" t="s">
        <v>2939</v>
      </c>
      <c r="D1903" s="42" t="s">
        <v>2940</v>
      </c>
      <c r="E1903" s="42" t="s">
        <v>2647</v>
      </c>
      <c r="F1903" s="4">
        <v>486</v>
      </c>
      <c r="G1903" s="47" t="s">
        <v>1772</v>
      </c>
      <c r="H1903" s="12">
        <v>3924</v>
      </c>
      <c r="I1903" s="4">
        <v>37.07</v>
      </c>
      <c r="J1903" s="4">
        <v>37.07</v>
      </c>
      <c r="K1903" s="4">
        <v>0</v>
      </c>
      <c r="L1903" s="4">
        <v>0</v>
      </c>
      <c r="M1903" s="12" t="s">
        <v>571</v>
      </c>
      <c r="N1903" s="13">
        <f t="shared" si="49"/>
        <v>74.14</v>
      </c>
    </row>
    <row r="1904" spans="1:14">
      <c r="A1904" s="12">
        <v>1903</v>
      </c>
      <c r="B1904" s="1" t="s">
        <v>1776</v>
      </c>
      <c r="C1904" s="42" t="s">
        <v>1777</v>
      </c>
      <c r="D1904" s="42" t="s">
        <v>2941</v>
      </c>
      <c r="E1904" s="42" t="s">
        <v>2917</v>
      </c>
      <c r="F1904" s="4">
        <v>4513.5</v>
      </c>
      <c r="G1904" s="47" t="s">
        <v>570</v>
      </c>
      <c r="H1904" s="12">
        <v>3923</v>
      </c>
      <c r="I1904" s="4">
        <v>344.25</v>
      </c>
      <c r="J1904" s="4">
        <v>344.25</v>
      </c>
      <c r="K1904" s="4">
        <v>0</v>
      </c>
      <c r="L1904" s="4">
        <v>0</v>
      </c>
      <c r="M1904" s="12" t="s">
        <v>571</v>
      </c>
      <c r="N1904" s="13">
        <f t="shared" si="49"/>
        <v>688.5</v>
      </c>
    </row>
    <row r="1905" spans="1:14">
      <c r="A1905" s="12">
        <v>1904</v>
      </c>
      <c r="B1905" s="1" t="s">
        <v>1776</v>
      </c>
      <c r="C1905" s="42" t="s">
        <v>1777</v>
      </c>
      <c r="D1905" s="42" t="s">
        <v>2942</v>
      </c>
      <c r="E1905" s="42" t="s">
        <v>2917</v>
      </c>
      <c r="F1905" s="4">
        <v>5699.4</v>
      </c>
      <c r="G1905" s="47" t="s">
        <v>570</v>
      </c>
      <c r="H1905" s="12">
        <v>3923</v>
      </c>
      <c r="I1905" s="4">
        <v>434.7</v>
      </c>
      <c r="J1905" s="4">
        <v>434.7</v>
      </c>
      <c r="K1905" s="4">
        <v>0</v>
      </c>
      <c r="L1905" s="4">
        <v>0</v>
      </c>
      <c r="M1905" s="12" t="s">
        <v>571</v>
      </c>
      <c r="N1905" s="13">
        <f t="shared" si="49"/>
        <v>869.4</v>
      </c>
    </row>
    <row r="1906" spans="1:14">
      <c r="A1906" s="12">
        <v>1905</v>
      </c>
      <c r="B1906" s="1" t="s">
        <v>1776</v>
      </c>
      <c r="C1906" s="42" t="s">
        <v>1777</v>
      </c>
      <c r="D1906" s="42" t="s">
        <v>2943</v>
      </c>
      <c r="E1906" s="42" t="s">
        <v>2917</v>
      </c>
      <c r="F1906" s="4">
        <v>2342.3000000000002</v>
      </c>
      <c r="G1906" s="47" t="s">
        <v>570</v>
      </c>
      <c r="H1906" s="12">
        <v>3923</v>
      </c>
      <c r="I1906" s="4">
        <v>178.65</v>
      </c>
      <c r="J1906" s="4">
        <v>178.65</v>
      </c>
      <c r="K1906" s="4">
        <v>0</v>
      </c>
      <c r="L1906" s="4">
        <v>0</v>
      </c>
      <c r="M1906" s="12" t="s">
        <v>571</v>
      </c>
      <c r="N1906" s="13">
        <f t="shared" si="49"/>
        <v>357.3</v>
      </c>
    </row>
    <row r="1907" spans="1:14">
      <c r="A1907" s="12">
        <v>1906</v>
      </c>
      <c r="B1907" s="1" t="s">
        <v>1776</v>
      </c>
      <c r="C1907" s="42" t="s">
        <v>1777</v>
      </c>
      <c r="D1907" s="42" t="s">
        <v>2944</v>
      </c>
      <c r="E1907" s="42" t="s">
        <v>2917</v>
      </c>
      <c r="F1907" s="4">
        <v>1587.1</v>
      </c>
      <c r="G1907" s="47" t="s">
        <v>570</v>
      </c>
      <c r="H1907" s="12">
        <v>3923</v>
      </c>
      <c r="I1907" s="4">
        <v>121.05</v>
      </c>
      <c r="J1907" s="4">
        <v>121.05</v>
      </c>
      <c r="K1907" s="4">
        <v>0</v>
      </c>
      <c r="L1907" s="4">
        <v>0</v>
      </c>
      <c r="M1907" s="12" t="s">
        <v>571</v>
      </c>
      <c r="N1907" s="13">
        <f t="shared" si="49"/>
        <v>242.1</v>
      </c>
    </row>
    <row r="1908" spans="1:14">
      <c r="A1908" s="12">
        <v>1907</v>
      </c>
      <c r="B1908" s="1" t="s">
        <v>1776</v>
      </c>
      <c r="C1908" s="42" t="s">
        <v>1777</v>
      </c>
      <c r="D1908" s="42" t="s">
        <v>2945</v>
      </c>
      <c r="E1908" s="42" t="s">
        <v>2917</v>
      </c>
      <c r="F1908" s="4">
        <v>5174.3</v>
      </c>
      <c r="G1908" s="47" t="s">
        <v>570</v>
      </c>
      <c r="H1908" s="12">
        <v>3923</v>
      </c>
      <c r="I1908" s="4">
        <v>394.65</v>
      </c>
      <c r="J1908" s="4">
        <v>394.65</v>
      </c>
      <c r="K1908" s="4">
        <v>0</v>
      </c>
      <c r="L1908" s="4">
        <v>0</v>
      </c>
      <c r="M1908" s="12" t="s">
        <v>571</v>
      </c>
      <c r="N1908" s="13">
        <f t="shared" si="49"/>
        <v>789.3</v>
      </c>
    </row>
    <row r="1909" spans="1:14">
      <c r="A1909" s="12">
        <v>1908</v>
      </c>
      <c r="B1909" s="1" t="s">
        <v>2040</v>
      </c>
      <c r="C1909" s="42" t="s">
        <v>2041</v>
      </c>
      <c r="D1909" s="42" t="s">
        <v>2946</v>
      </c>
      <c r="E1909" s="42" t="s">
        <v>2767</v>
      </c>
      <c r="F1909" s="4">
        <v>736</v>
      </c>
      <c r="G1909" s="47" t="s">
        <v>570</v>
      </c>
      <c r="H1909" s="12">
        <v>998346</v>
      </c>
      <c r="I1909" s="4">
        <v>0</v>
      </c>
      <c r="J1909" s="4">
        <v>0</v>
      </c>
      <c r="K1909" s="4">
        <v>3</v>
      </c>
      <c r="L1909" s="4">
        <v>0</v>
      </c>
      <c r="M1909" s="12" t="s">
        <v>571</v>
      </c>
      <c r="N1909" s="13">
        <f t="shared" si="49"/>
        <v>3</v>
      </c>
    </row>
    <row r="1910" spans="1:14">
      <c r="A1910" s="12">
        <v>1909</v>
      </c>
      <c r="B1910" s="1" t="s">
        <v>2040</v>
      </c>
      <c r="C1910" s="42" t="s">
        <v>2041</v>
      </c>
      <c r="D1910" s="42" t="s">
        <v>2946</v>
      </c>
      <c r="E1910" s="42" t="s">
        <v>2767</v>
      </c>
      <c r="F1910" s="4">
        <v>736</v>
      </c>
      <c r="G1910" s="47" t="s">
        <v>570</v>
      </c>
      <c r="H1910" s="12">
        <v>998346</v>
      </c>
      <c r="I1910" s="4">
        <v>0</v>
      </c>
      <c r="J1910" s="4">
        <v>0</v>
      </c>
      <c r="K1910" s="4">
        <v>108</v>
      </c>
      <c r="L1910" s="4">
        <v>0</v>
      </c>
      <c r="M1910" s="12" t="s">
        <v>571</v>
      </c>
      <c r="N1910" s="13">
        <f t="shared" si="49"/>
        <v>108</v>
      </c>
    </row>
    <row r="1911" spans="1:14">
      <c r="A1911" s="12">
        <v>1910</v>
      </c>
      <c r="B1911" s="1" t="s">
        <v>1737</v>
      </c>
      <c r="C1911" s="42" t="s">
        <v>1738</v>
      </c>
      <c r="D1911" s="42" t="s">
        <v>2947</v>
      </c>
      <c r="E1911" s="42" t="s">
        <v>2758</v>
      </c>
      <c r="F1911" s="4">
        <v>43212</v>
      </c>
      <c r="G1911" s="47" t="s">
        <v>60</v>
      </c>
      <c r="H1911" s="12">
        <v>4911</v>
      </c>
      <c r="I1911" s="4">
        <v>3295.8</v>
      </c>
      <c r="J1911" s="4">
        <v>3295.8</v>
      </c>
      <c r="K1911" s="4">
        <v>0</v>
      </c>
      <c r="L1911" s="4">
        <v>0</v>
      </c>
      <c r="M1911" s="12" t="s">
        <v>571</v>
      </c>
      <c r="N1911" s="13">
        <f t="shared" si="49"/>
        <v>6591.6</v>
      </c>
    </row>
    <row r="1912" spans="1:14">
      <c r="A1912" s="12">
        <v>1911</v>
      </c>
      <c r="B1912" s="1" t="s">
        <v>2541</v>
      </c>
      <c r="C1912" s="42" t="s">
        <v>2542</v>
      </c>
      <c r="D1912" s="42" t="s">
        <v>2948</v>
      </c>
      <c r="E1912" s="42" t="s">
        <v>2878</v>
      </c>
      <c r="F1912" s="4">
        <v>58800</v>
      </c>
      <c r="G1912" s="47" t="s">
        <v>60</v>
      </c>
      <c r="H1912" s="29" t="s">
        <v>1806</v>
      </c>
      <c r="I1912" s="4">
        <v>0</v>
      </c>
      <c r="J1912" s="4">
        <v>0</v>
      </c>
      <c r="K1912" s="4">
        <v>2800</v>
      </c>
      <c r="L1912" s="4">
        <v>0</v>
      </c>
      <c r="M1912" s="12" t="s">
        <v>571</v>
      </c>
      <c r="N1912" s="13">
        <f t="shared" si="49"/>
        <v>2800</v>
      </c>
    </row>
    <row r="1913" spans="1:14">
      <c r="A1913" s="12">
        <v>1912</v>
      </c>
      <c r="B1913" s="1" t="s">
        <v>2541</v>
      </c>
      <c r="C1913" s="42" t="s">
        <v>2542</v>
      </c>
      <c r="D1913" s="42" t="s">
        <v>2949</v>
      </c>
      <c r="E1913" s="42" t="s">
        <v>2767</v>
      </c>
      <c r="F1913" s="4">
        <v>17640</v>
      </c>
      <c r="G1913" s="47" t="s">
        <v>60</v>
      </c>
      <c r="H1913" s="29" t="s">
        <v>1806</v>
      </c>
      <c r="I1913" s="4">
        <v>0</v>
      </c>
      <c r="J1913" s="4">
        <v>0</v>
      </c>
      <c r="K1913" s="4">
        <v>840</v>
      </c>
      <c r="L1913" s="4">
        <v>0</v>
      </c>
      <c r="M1913" s="12" t="s">
        <v>571</v>
      </c>
      <c r="N1913" s="13">
        <f t="shared" si="49"/>
        <v>840</v>
      </c>
    </row>
    <row r="1914" spans="1:14">
      <c r="A1914" s="12">
        <v>1913</v>
      </c>
      <c r="B1914" s="1" t="s">
        <v>1759</v>
      </c>
      <c r="C1914" s="42" t="s">
        <v>1760</v>
      </c>
      <c r="D1914" s="42" t="s">
        <v>2950</v>
      </c>
      <c r="E1914" s="42" t="s">
        <v>2758</v>
      </c>
      <c r="F1914" s="4">
        <v>1982.4</v>
      </c>
      <c r="G1914" s="47" t="s">
        <v>570</v>
      </c>
      <c r="H1914" s="12">
        <v>997159</v>
      </c>
      <c r="I1914" s="4">
        <v>0</v>
      </c>
      <c r="J1914" s="4">
        <v>0</v>
      </c>
      <c r="K1914" s="4">
        <v>302.39999999999998</v>
      </c>
      <c r="L1914" s="4">
        <v>0</v>
      </c>
      <c r="M1914" s="12" t="s">
        <v>571</v>
      </c>
      <c r="N1914" s="13">
        <f t="shared" si="49"/>
        <v>302.39999999999998</v>
      </c>
    </row>
    <row r="1915" spans="1:14">
      <c r="A1915" s="12">
        <v>1914</v>
      </c>
      <c r="B1915" s="1" t="s">
        <v>1759</v>
      </c>
      <c r="C1915" s="42" t="s">
        <v>1760</v>
      </c>
      <c r="D1915" s="42" t="s">
        <v>2951</v>
      </c>
      <c r="E1915" s="42" t="s">
        <v>2758</v>
      </c>
      <c r="F1915" s="4">
        <v>6045.98</v>
      </c>
      <c r="G1915" s="47" t="s">
        <v>570</v>
      </c>
      <c r="H1915" s="12">
        <v>997159</v>
      </c>
      <c r="I1915" s="4">
        <v>0</v>
      </c>
      <c r="J1915" s="4">
        <v>0</v>
      </c>
      <c r="K1915" s="4">
        <v>922.27</v>
      </c>
      <c r="L1915" s="4">
        <v>0</v>
      </c>
      <c r="M1915" s="12" t="s">
        <v>571</v>
      </c>
      <c r="N1915" s="13">
        <f t="shared" si="49"/>
        <v>922.27</v>
      </c>
    </row>
    <row r="1916" spans="1:14">
      <c r="A1916" s="12">
        <v>1915</v>
      </c>
      <c r="B1916" s="1" t="s">
        <v>1762</v>
      </c>
      <c r="C1916" s="42" t="s">
        <v>1763</v>
      </c>
      <c r="D1916" s="42" t="s">
        <v>2952</v>
      </c>
      <c r="E1916" s="42" t="s">
        <v>2763</v>
      </c>
      <c r="F1916" s="4">
        <v>7608</v>
      </c>
      <c r="G1916" s="47" t="s">
        <v>570</v>
      </c>
      <c r="H1916" s="12">
        <v>9987</v>
      </c>
      <c r="I1916" s="4">
        <v>580.32000000000005</v>
      </c>
      <c r="J1916" s="4">
        <v>580.32000000000005</v>
      </c>
      <c r="K1916" s="4">
        <v>0</v>
      </c>
      <c r="L1916" s="4">
        <v>0</v>
      </c>
      <c r="M1916" s="12" t="s">
        <v>571</v>
      </c>
      <c r="N1916" s="13">
        <f t="shared" si="49"/>
        <v>1160.6400000000001</v>
      </c>
    </row>
    <row r="1917" spans="1:14">
      <c r="A1917" s="12">
        <v>1916</v>
      </c>
      <c r="B1917" s="1" t="s">
        <v>1762</v>
      </c>
      <c r="C1917" s="42" t="s">
        <v>1763</v>
      </c>
      <c r="D1917" s="42" t="s">
        <v>2953</v>
      </c>
      <c r="E1917" s="42" t="s">
        <v>2763</v>
      </c>
      <c r="F1917" s="4">
        <v>3949</v>
      </c>
      <c r="G1917" s="47" t="s">
        <v>570</v>
      </c>
      <c r="H1917" s="12">
        <v>9987</v>
      </c>
      <c r="I1917" s="4">
        <v>301.23</v>
      </c>
      <c r="J1917" s="4">
        <v>301.23</v>
      </c>
      <c r="K1917" s="4">
        <v>0</v>
      </c>
      <c r="L1917" s="4">
        <v>0</v>
      </c>
      <c r="M1917" s="12" t="s">
        <v>571</v>
      </c>
      <c r="N1917" s="13">
        <f t="shared" si="49"/>
        <v>602.46</v>
      </c>
    </row>
    <row r="1918" spans="1:14">
      <c r="A1918" s="12">
        <v>1917</v>
      </c>
      <c r="B1918" s="1" t="s">
        <v>2954</v>
      </c>
      <c r="C1918" s="42" t="s">
        <v>2955</v>
      </c>
      <c r="D1918" s="42" t="s">
        <v>2956</v>
      </c>
      <c r="E1918" s="42" t="s">
        <v>2779</v>
      </c>
      <c r="F1918" s="4">
        <v>93492</v>
      </c>
      <c r="G1918" s="47" t="s">
        <v>60</v>
      </c>
      <c r="H1918" s="12">
        <v>74181021</v>
      </c>
      <c r="I1918" s="4">
        <v>0</v>
      </c>
      <c r="J1918" s="4">
        <v>0</v>
      </c>
      <c r="K1918" s="4">
        <v>10017</v>
      </c>
      <c r="L1918" s="4">
        <v>0</v>
      </c>
      <c r="M1918" s="12" t="s">
        <v>571</v>
      </c>
      <c r="N1918" s="13">
        <f t="shared" si="49"/>
        <v>10017</v>
      </c>
    </row>
    <row r="1919" spans="1:14">
      <c r="A1919" s="12">
        <v>1918</v>
      </c>
      <c r="B1919" s="1" t="s">
        <v>2954</v>
      </c>
      <c r="C1919" s="42" t="s">
        <v>2955</v>
      </c>
      <c r="D1919" s="42" t="s">
        <v>2957</v>
      </c>
      <c r="E1919" s="42" t="s">
        <v>2758</v>
      </c>
      <c r="F1919" s="4">
        <v>102054</v>
      </c>
      <c r="G1919" s="47" t="s">
        <v>60</v>
      </c>
      <c r="H1919" s="12">
        <v>74181021</v>
      </c>
      <c r="I1919" s="4">
        <v>0</v>
      </c>
      <c r="J1919" s="4">
        <v>0</v>
      </c>
      <c r="K1919" s="4">
        <v>10934.4</v>
      </c>
      <c r="L1919" s="4">
        <v>0</v>
      </c>
      <c r="M1919" s="12" t="s">
        <v>571</v>
      </c>
      <c r="N1919" s="13">
        <f t="shared" si="49"/>
        <v>10934.4</v>
      </c>
    </row>
    <row r="1920" spans="1:14">
      <c r="A1920" s="12">
        <v>1919</v>
      </c>
      <c r="B1920" s="1" t="s">
        <v>1740</v>
      </c>
      <c r="C1920" s="42" t="s">
        <v>1741</v>
      </c>
      <c r="D1920" s="42" t="s">
        <v>2958</v>
      </c>
      <c r="E1920" s="42" t="s">
        <v>2917</v>
      </c>
      <c r="F1920" s="4">
        <v>19210</v>
      </c>
      <c r="G1920" s="47" t="s">
        <v>60</v>
      </c>
      <c r="H1920" s="29" t="s">
        <v>1700</v>
      </c>
      <c r="I1920" s="4">
        <v>0</v>
      </c>
      <c r="J1920" s="4">
        <v>0</v>
      </c>
      <c r="K1920" s="4">
        <v>860</v>
      </c>
      <c r="L1920" s="4">
        <v>0</v>
      </c>
      <c r="M1920" s="12" t="s">
        <v>571</v>
      </c>
      <c r="N1920" s="13">
        <f t="shared" si="49"/>
        <v>860</v>
      </c>
    </row>
    <row r="1921" spans="1:14">
      <c r="A1921" s="12">
        <v>1920</v>
      </c>
      <c r="B1921" s="1" t="s">
        <v>2959</v>
      </c>
      <c r="C1921" s="42" t="s">
        <v>2939</v>
      </c>
      <c r="D1921" s="42" t="s">
        <v>2960</v>
      </c>
      <c r="E1921" s="42" t="s">
        <v>2878</v>
      </c>
      <c r="F1921" s="4">
        <v>9499</v>
      </c>
      <c r="G1921" s="47" t="s">
        <v>1772</v>
      </c>
      <c r="H1921" s="12">
        <v>3924</v>
      </c>
      <c r="I1921" s="4">
        <v>0</v>
      </c>
      <c r="J1921" s="4">
        <v>0</v>
      </c>
      <c r="K1921" s="4">
        <v>1449</v>
      </c>
      <c r="L1921" s="4">
        <v>0</v>
      </c>
      <c r="M1921" s="12" t="s">
        <v>571</v>
      </c>
      <c r="N1921" s="13">
        <f t="shared" si="49"/>
        <v>1449</v>
      </c>
    </row>
    <row r="1922" spans="1:14">
      <c r="A1922" s="12">
        <v>1921</v>
      </c>
      <c r="B1922" s="1" t="s">
        <v>2961</v>
      </c>
      <c r="C1922" s="42" t="s">
        <v>2962</v>
      </c>
      <c r="D1922" s="42" t="s">
        <v>2963</v>
      </c>
      <c r="E1922" s="42" t="s">
        <v>2887</v>
      </c>
      <c r="F1922" s="4">
        <v>649</v>
      </c>
      <c r="G1922" s="47" t="s">
        <v>1772</v>
      </c>
      <c r="H1922" s="12">
        <v>4202</v>
      </c>
      <c r="I1922" s="4">
        <v>0</v>
      </c>
      <c r="J1922" s="4">
        <v>0</v>
      </c>
      <c r="K1922" s="4">
        <v>99</v>
      </c>
      <c r="L1922" s="4">
        <v>0</v>
      </c>
      <c r="M1922" s="12" t="s">
        <v>571</v>
      </c>
      <c r="N1922" s="13">
        <f t="shared" si="49"/>
        <v>99</v>
      </c>
    </row>
    <row r="1923" spans="1:14">
      <c r="A1923" s="12">
        <v>1922</v>
      </c>
      <c r="B1923" s="1" t="s">
        <v>2964</v>
      </c>
      <c r="C1923" s="42" t="s">
        <v>2965</v>
      </c>
      <c r="D1923" s="42" t="s">
        <v>455</v>
      </c>
      <c r="E1923" s="42" t="s">
        <v>2927</v>
      </c>
      <c r="F1923" s="4">
        <v>36108</v>
      </c>
      <c r="G1923" s="47" t="s">
        <v>570</v>
      </c>
      <c r="H1923" s="12">
        <v>998361</v>
      </c>
      <c r="I1923" s="4">
        <v>0</v>
      </c>
      <c r="J1923" s="4">
        <v>0</v>
      </c>
      <c r="K1923" s="4">
        <v>5508</v>
      </c>
      <c r="L1923" s="4">
        <v>0</v>
      </c>
      <c r="M1923" s="12" t="s">
        <v>571</v>
      </c>
      <c r="N1923" s="13">
        <f t="shared" si="49"/>
        <v>5508</v>
      </c>
    </row>
    <row r="1924" spans="1:14">
      <c r="A1924" s="12">
        <v>1923</v>
      </c>
      <c r="B1924" s="1" t="s">
        <v>2020</v>
      </c>
      <c r="C1924" s="42" t="s">
        <v>2021</v>
      </c>
      <c r="D1924" s="42" t="s">
        <v>2966</v>
      </c>
      <c r="E1924" s="42" t="s">
        <v>2758</v>
      </c>
      <c r="F1924" s="4">
        <v>462.32</v>
      </c>
      <c r="G1924" s="47" t="s">
        <v>570</v>
      </c>
      <c r="H1924" s="12">
        <v>998311</v>
      </c>
      <c r="I1924" s="4">
        <v>35.26</v>
      </c>
      <c r="J1924" s="4">
        <v>35.26</v>
      </c>
      <c r="K1924" s="4">
        <v>0</v>
      </c>
      <c r="L1924" s="4">
        <v>0</v>
      </c>
      <c r="M1924" s="12" t="s">
        <v>571</v>
      </c>
      <c r="N1924" s="13">
        <f t="shared" si="49"/>
        <v>70.52</v>
      </c>
    </row>
    <row r="1925" spans="1:14">
      <c r="A1925" s="12">
        <v>1924</v>
      </c>
      <c r="B1925" s="1" t="s">
        <v>557</v>
      </c>
      <c r="C1925" s="42" t="s">
        <v>558</v>
      </c>
      <c r="D1925" s="42" t="s">
        <v>2967</v>
      </c>
      <c r="E1925" s="42" t="s">
        <v>2763</v>
      </c>
      <c r="F1925" s="4">
        <v>3035.42</v>
      </c>
      <c r="G1925" s="47" t="s">
        <v>570</v>
      </c>
      <c r="H1925" s="12">
        <v>998361</v>
      </c>
      <c r="I1925" s="4">
        <v>0</v>
      </c>
      <c r="J1925" s="4">
        <v>0</v>
      </c>
      <c r="K1925" s="4">
        <v>463.03</v>
      </c>
      <c r="L1925" s="4">
        <v>0</v>
      </c>
      <c r="M1925" s="12" t="s">
        <v>571</v>
      </c>
      <c r="N1925" s="13">
        <f t="shared" si="49"/>
        <v>463.03</v>
      </c>
    </row>
    <row r="1926" spans="1:14">
      <c r="A1926" s="12">
        <v>1925</v>
      </c>
      <c r="B1926" s="1" t="s">
        <v>557</v>
      </c>
      <c r="C1926" s="42" t="s">
        <v>558</v>
      </c>
      <c r="D1926" s="42" t="s">
        <v>2968</v>
      </c>
      <c r="E1926" s="42" t="s">
        <v>2777</v>
      </c>
      <c r="F1926" s="4">
        <v>3079.22</v>
      </c>
      <c r="G1926" s="47" t="s">
        <v>570</v>
      </c>
      <c r="H1926" s="12">
        <v>998361</v>
      </c>
      <c r="I1926" s="4">
        <v>0</v>
      </c>
      <c r="J1926" s="4">
        <v>0</v>
      </c>
      <c r="K1926" s="4">
        <v>469.71</v>
      </c>
      <c r="L1926" s="4">
        <v>0</v>
      </c>
      <c r="M1926" s="12" t="s">
        <v>571</v>
      </c>
      <c r="N1926" s="13">
        <f t="shared" si="49"/>
        <v>469.71</v>
      </c>
    </row>
    <row r="1927" spans="1:14">
      <c r="A1927" s="12">
        <v>1926</v>
      </c>
      <c r="B1927" s="1" t="s">
        <v>557</v>
      </c>
      <c r="C1927" s="42" t="s">
        <v>558</v>
      </c>
      <c r="D1927" s="42" t="s">
        <v>2969</v>
      </c>
      <c r="E1927" s="42" t="s">
        <v>2864</v>
      </c>
      <c r="F1927" s="4">
        <v>3055.73</v>
      </c>
      <c r="G1927" s="47" t="s">
        <v>570</v>
      </c>
      <c r="H1927" s="12">
        <v>998361</v>
      </c>
      <c r="I1927" s="4">
        <v>0</v>
      </c>
      <c r="J1927" s="4">
        <v>0</v>
      </c>
      <c r="K1927" s="4">
        <v>466.13</v>
      </c>
      <c r="L1927" s="4">
        <v>0</v>
      </c>
      <c r="M1927" s="12" t="s">
        <v>571</v>
      </c>
      <c r="N1927" s="13">
        <f t="shared" si="49"/>
        <v>466.13</v>
      </c>
    </row>
    <row r="1928" spans="1:14">
      <c r="A1928" s="12">
        <v>1927</v>
      </c>
      <c r="B1928" s="1" t="s">
        <v>557</v>
      </c>
      <c r="C1928" s="42" t="s">
        <v>558</v>
      </c>
      <c r="D1928" s="42" t="s">
        <v>2970</v>
      </c>
      <c r="E1928" s="42" t="s">
        <v>2866</v>
      </c>
      <c r="F1928" s="4">
        <v>2303.42</v>
      </c>
      <c r="G1928" s="47" t="s">
        <v>570</v>
      </c>
      <c r="H1928" s="12">
        <v>998361</v>
      </c>
      <c r="I1928" s="4">
        <v>0</v>
      </c>
      <c r="J1928" s="4">
        <v>0</v>
      </c>
      <c r="K1928" s="4">
        <v>351.37</v>
      </c>
      <c r="L1928" s="4">
        <v>0</v>
      </c>
      <c r="M1928" s="12" t="s">
        <v>571</v>
      </c>
      <c r="N1928" s="13">
        <f t="shared" si="49"/>
        <v>351.37</v>
      </c>
    </row>
    <row r="1929" spans="1:14">
      <c r="A1929" s="12">
        <v>1928</v>
      </c>
      <c r="B1929" s="1" t="s">
        <v>557</v>
      </c>
      <c r="C1929" s="42" t="s">
        <v>558</v>
      </c>
      <c r="D1929" s="42" t="s">
        <v>2971</v>
      </c>
      <c r="E1929" s="42" t="s">
        <v>2870</v>
      </c>
      <c r="F1929" s="4">
        <v>1320.57</v>
      </c>
      <c r="G1929" s="47" t="s">
        <v>570</v>
      </c>
      <c r="H1929" s="12">
        <v>998361</v>
      </c>
      <c r="I1929" s="4">
        <v>0</v>
      </c>
      <c r="J1929" s="4">
        <v>0</v>
      </c>
      <c r="K1929" s="4">
        <v>201.44</v>
      </c>
      <c r="L1929" s="4">
        <v>0</v>
      </c>
      <c r="M1929" s="12" t="s">
        <v>571</v>
      </c>
      <c r="N1929" s="13">
        <f t="shared" si="49"/>
        <v>201.44</v>
      </c>
    </row>
    <row r="1930" spans="1:14">
      <c r="A1930" s="12">
        <v>1929</v>
      </c>
      <c r="B1930" s="1" t="s">
        <v>557</v>
      </c>
      <c r="C1930" s="42" t="s">
        <v>558</v>
      </c>
      <c r="D1930" s="42" t="s">
        <v>2972</v>
      </c>
      <c r="E1930" s="42" t="s">
        <v>2765</v>
      </c>
      <c r="F1930" s="4">
        <v>1307.43</v>
      </c>
      <c r="G1930" s="47" t="s">
        <v>570</v>
      </c>
      <c r="H1930" s="12">
        <v>998361</v>
      </c>
      <c r="I1930" s="4">
        <v>0</v>
      </c>
      <c r="J1930" s="4">
        <v>0</v>
      </c>
      <c r="K1930" s="4">
        <v>199.44</v>
      </c>
      <c r="L1930" s="4">
        <v>0</v>
      </c>
      <c r="M1930" s="12" t="s">
        <v>571</v>
      </c>
      <c r="N1930" s="13">
        <f t="shared" si="49"/>
        <v>199.44</v>
      </c>
    </row>
    <row r="1931" spans="1:14">
      <c r="A1931" s="12">
        <v>1930</v>
      </c>
      <c r="B1931" s="1" t="s">
        <v>557</v>
      </c>
      <c r="C1931" s="42" t="s">
        <v>558</v>
      </c>
      <c r="D1931" s="42" t="s">
        <v>2973</v>
      </c>
      <c r="E1931" s="42" t="s">
        <v>2878</v>
      </c>
      <c r="F1931" s="4">
        <v>898.2</v>
      </c>
      <c r="G1931" s="47" t="s">
        <v>570</v>
      </c>
      <c r="H1931" s="12">
        <v>998361</v>
      </c>
      <c r="I1931" s="4">
        <v>0</v>
      </c>
      <c r="J1931" s="4">
        <v>0</v>
      </c>
      <c r="K1931" s="4">
        <v>137.01</v>
      </c>
      <c r="L1931" s="4">
        <v>0</v>
      </c>
      <c r="M1931" s="12" t="s">
        <v>571</v>
      </c>
      <c r="N1931" s="13">
        <f t="shared" si="49"/>
        <v>137.01</v>
      </c>
    </row>
    <row r="1932" spans="1:14">
      <c r="A1932" s="12">
        <v>1931</v>
      </c>
      <c r="B1932" s="1" t="s">
        <v>557</v>
      </c>
      <c r="C1932" s="42" t="s">
        <v>558</v>
      </c>
      <c r="D1932" s="42" t="s">
        <v>2974</v>
      </c>
      <c r="E1932" s="42" t="s">
        <v>2779</v>
      </c>
      <c r="F1932" s="4">
        <v>1334.89</v>
      </c>
      <c r="G1932" s="47" t="s">
        <v>570</v>
      </c>
      <c r="H1932" s="12">
        <v>998361</v>
      </c>
      <c r="I1932" s="4">
        <v>0</v>
      </c>
      <c r="J1932" s="4">
        <v>0</v>
      </c>
      <c r="K1932" s="4">
        <v>203.63</v>
      </c>
      <c r="L1932" s="4">
        <v>0</v>
      </c>
      <c r="M1932" s="12" t="s">
        <v>571</v>
      </c>
      <c r="N1932" s="13">
        <f t="shared" si="49"/>
        <v>203.63</v>
      </c>
    </row>
    <row r="1933" spans="1:14">
      <c r="A1933" s="12">
        <v>1932</v>
      </c>
      <c r="B1933" s="1" t="s">
        <v>557</v>
      </c>
      <c r="C1933" s="42" t="s">
        <v>558</v>
      </c>
      <c r="D1933" s="42" t="s">
        <v>2975</v>
      </c>
      <c r="E1933" s="42" t="s">
        <v>2883</v>
      </c>
      <c r="F1933" s="4">
        <v>1418.95</v>
      </c>
      <c r="G1933" s="47" t="s">
        <v>570</v>
      </c>
      <c r="H1933" s="12">
        <v>998361</v>
      </c>
      <c r="I1933" s="4">
        <v>0</v>
      </c>
      <c r="J1933" s="4">
        <v>0</v>
      </c>
      <c r="K1933" s="4">
        <v>216.45</v>
      </c>
      <c r="L1933" s="4">
        <v>0</v>
      </c>
      <c r="M1933" s="12" t="s">
        <v>571</v>
      </c>
      <c r="N1933" s="13">
        <f t="shared" si="49"/>
        <v>216.45</v>
      </c>
    </row>
    <row r="1934" spans="1:14">
      <c r="A1934" s="12">
        <v>1933</v>
      </c>
      <c r="B1934" s="1" t="s">
        <v>557</v>
      </c>
      <c r="C1934" s="42" t="s">
        <v>558</v>
      </c>
      <c r="D1934" s="42" t="s">
        <v>2976</v>
      </c>
      <c r="E1934" s="42" t="s">
        <v>2887</v>
      </c>
      <c r="F1934" s="4">
        <v>1429.98</v>
      </c>
      <c r="G1934" s="47" t="s">
        <v>570</v>
      </c>
      <c r="H1934" s="12">
        <v>998361</v>
      </c>
      <c r="I1934" s="4">
        <v>0</v>
      </c>
      <c r="J1934" s="4">
        <v>0</v>
      </c>
      <c r="K1934" s="4">
        <v>218.13</v>
      </c>
      <c r="L1934" s="4">
        <v>0</v>
      </c>
      <c r="M1934" s="12" t="s">
        <v>571</v>
      </c>
      <c r="N1934" s="13">
        <f t="shared" si="49"/>
        <v>218.13</v>
      </c>
    </row>
    <row r="1935" spans="1:14">
      <c r="A1935" s="12">
        <v>1934</v>
      </c>
      <c r="B1935" s="1" t="s">
        <v>557</v>
      </c>
      <c r="C1935" s="42" t="s">
        <v>558</v>
      </c>
      <c r="D1935" s="42" t="s">
        <v>2977</v>
      </c>
      <c r="E1935" s="42" t="s">
        <v>2978</v>
      </c>
      <c r="F1935" s="4">
        <v>1376.71</v>
      </c>
      <c r="G1935" s="47" t="s">
        <v>570</v>
      </c>
      <c r="H1935" s="12">
        <v>998361</v>
      </c>
      <c r="I1935" s="4">
        <v>0</v>
      </c>
      <c r="J1935" s="4">
        <v>0</v>
      </c>
      <c r="K1935" s="4">
        <v>210.01</v>
      </c>
      <c r="L1935" s="4">
        <v>0</v>
      </c>
      <c r="M1935" s="12" t="s">
        <v>571</v>
      </c>
      <c r="N1935" s="13">
        <f t="shared" si="49"/>
        <v>210.01</v>
      </c>
    </row>
    <row r="1936" spans="1:14">
      <c r="A1936" s="12">
        <v>1935</v>
      </c>
      <c r="B1936" s="1" t="s">
        <v>557</v>
      </c>
      <c r="C1936" s="42" t="s">
        <v>558</v>
      </c>
      <c r="D1936" s="42" t="s">
        <v>2979</v>
      </c>
      <c r="E1936" s="42" t="s">
        <v>2980</v>
      </c>
      <c r="F1936" s="4">
        <v>1283.1099999999999</v>
      </c>
      <c r="G1936" s="47" t="s">
        <v>570</v>
      </c>
      <c r="H1936" s="12">
        <v>998361</v>
      </c>
      <c r="I1936" s="4">
        <v>0</v>
      </c>
      <c r="J1936" s="4">
        <v>0</v>
      </c>
      <c r="K1936" s="4">
        <v>195.73</v>
      </c>
      <c r="L1936" s="4">
        <v>0</v>
      </c>
      <c r="M1936" s="12" t="s">
        <v>571</v>
      </c>
      <c r="N1936" s="13">
        <f t="shared" si="49"/>
        <v>195.73</v>
      </c>
    </row>
    <row r="1937" spans="1:14">
      <c r="A1937" s="12">
        <v>1936</v>
      </c>
      <c r="B1937" s="1" t="s">
        <v>557</v>
      </c>
      <c r="C1937" s="42" t="s">
        <v>558</v>
      </c>
      <c r="D1937" s="42" t="s">
        <v>2981</v>
      </c>
      <c r="E1937" s="42" t="s">
        <v>2891</v>
      </c>
      <c r="F1937" s="4">
        <v>1334.29</v>
      </c>
      <c r="G1937" s="47" t="s">
        <v>570</v>
      </c>
      <c r="H1937" s="12">
        <v>998361</v>
      </c>
      <c r="I1937" s="4">
        <v>0</v>
      </c>
      <c r="J1937" s="4">
        <v>0</v>
      </c>
      <c r="K1937" s="4">
        <v>203.54</v>
      </c>
      <c r="L1937" s="4">
        <v>0</v>
      </c>
      <c r="M1937" s="12" t="s">
        <v>571</v>
      </c>
      <c r="N1937" s="13">
        <f t="shared" ref="N1937:N2000" si="50">SUM(I1937:K1937)</f>
        <v>203.54</v>
      </c>
    </row>
    <row r="1938" spans="1:14">
      <c r="A1938" s="12">
        <v>1937</v>
      </c>
      <c r="B1938" s="1" t="s">
        <v>557</v>
      </c>
      <c r="C1938" s="42" t="s">
        <v>558</v>
      </c>
      <c r="D1938" s="42" t="s">
        <v>2982</v>
      </c>
      <c r="E1938" s="42" t="s">
        <v>2894</v>
      </c>
      <c r="F1938" s="4">
        <v>1310.58</v>
      </c>
      <c r="G1938" s="47" t="s">
        <v>570</v>
      </c>
      <c r="H1938" s="12">
        <v>998361</v>
      </c>
      <c r="I1938" s="4">
        <v>0</v>
      </c>
      <c r="J1938" s="4">
        <v>0</v>
      </c>
      <c r="K1938" s="4">
        <v>199.92</v>
      </c>
      <c r="L1938" s="4">
        <v>0</v>
      </c>
      <c r="M1938" s="12" t="s">
        <v>571</v>
      </c>
      <c r="N1938" s="13">
        <f t="shared" si="50"/>
        <v>199.92</v>
      </c>
    </row>
    <row r="1939" spans="1:14">
      <c r="A1939" s="12">
        <v>1938</v>
      </c>
      <c r="B1939" s="1" t="s">
        <v>557</v>
      </c>
      <c r="C1939" s="42" t="s">
        <v>558</v>
      </c>
      <c r="D1939" s="42" t="s">
        <v>2983</v>
      </c>
      <c r="E1939" s="42" t="s">
        <v>2897</v>
      </c>
      <c r="F1939" s="4">
        <v>430.46</v>
      </c>
      <c r="G1939" s="47" t="s">
        <v>570</v>
      </c>
      <c r="H1939" s="12">
        <v>998361</v>
      </c>
      <c r="I1939" s="4">
        <v>0</v>
      </c>
      <c r="J1939" s="4">
        <v>0</v>
      </c>
      <c r="K1939" s="4">
        <v>65.66</v>
      </c>
      <c r="L1939" s="4">
        <v>0</v>
      </c>
      <c r="M1939" s="12" t="s">
        <v>571</v>
      </c>
      <c r="N1939" s="13">
        <f t="shared" si="50"/>
        <v>65.66</v>
      </c>
    </row>
    <row r="1940" spans="1:14">
      <c r="A1940" s="12">
        <v>1939</v>
      </c>
      <c r="B1940" s="1" t="s">
        <v>557</v>
      </c>
      <c r="C1940" s="42" t="s">
        <v>558</v>
      </c>
      <c r="D1940" s="42" t="s">
        <v>2984</v>
      </c>
      <c r="E1940" s="42" t="s">
        <v>2899</v>
      </c>
      <c r="F1940" s="4">
        <v>0.01</v>
      </c>
      <c r="G1940" s="47" t="s">
        <v>570</v>
      </c>
      <c r="H1940" s="12">
        <v>998361</v>
      </c>
      <c r="I1940" s="4">
        <v>0</v>
      </c>
      <c r="J1940" s="4">
        <v>0</v>
      </c>
      <c r="K1940" s="4">
        <v>0</v>
      </c>
      <c r="L1940" s="4">
        <v>0</v>
      </c>
      <c r="M1940" s="12" t="s">
        <v>571</v>
      </c>
      <c r="N1940" s="13">
        <f t="shared" si="50"/>
        <v>0</v>
      </c>
    </row>
    <row r="1941" spans="1:14">
      <c r="A1941" s="12">
        <v>1940</v>
      </c>
      <c r="B1941" s="1" t="s">
        <v>1773</v>
      </c>
      <c r="C1941" s="42" t="s">
        <v>1774</v>
      </c>
      <c r="D1941" s="42" t="s">
        <v>2985</v>
      </c>
      <c r="E1941" s="42" t="s">
        <v>2758</v>
      </c>
      <c r="F1941" s="4">
        <v>5849.52</v>
      </c>
      <c r="G1941" s="47" t="s">
        <v>570</v>
      </c>
      <c r="H1941" s="12">
        <v>997159</v>
      </c>
      <c r="I1941" s="4">
        <v>446.15</v>
      </c>
      <c r="J1941" s="4">
        <v>446.15</v>
      </c>
      <c r="K1941" s="4">
        <v>0</v>
      </c>
      <c r="L1941" s="4">
        <v>0</v>
      </c>
      <c r="M1941" s="12" t="s">
        <v>571</v>
      </c>
      <c r="N1941" s="13">
        <f t="shared" si="50"/>
        <v>892.3</v>
      </c>
    </row>
    <row r="1942" spans="1:14">
      <c r="A1942" s="12">
        <v>1941</v>
      </c>
      <c r="B1942" s="1" t="s">
        <v>2724</v>
      </c>
      <c r="C1942" s="42" t="s">
        <v>2725</v>
      </c>
      <c r="D1942" s="42" t="s">
        <v>2986</v>
      </c>
      <c r="E1942" s="42" t="s">
        <v>2779</v>
      </c>
      <c r="F1942" s="4">
        <v>40950</v>
      </c>
      <c r="G1942" s="47" t="s">
        <v>60</v>
      </c>
      <c r="H1942" s="29" t="s">
        <v>1641</v>
      </c>
      <c r="I1942" s="4">
        <v>0</v>
      </c>
      <c r="J1942" s="4">
        <v>0</v>
      </c>
      <c r="K1942" s="4">
        <v>1950</v>
      </c>
      <c r="L1942" s="4">
        <v>0</v>
      </c>
      <c r="M1942" s="12" t="s">
        <v>571</v>
      </c>
      <c r="N1942" s="13">
        <f t="shared" si="50"/>
        <v>1950</v>
      </c>
    </row>
    <row r="1943" spans="1:14">
      <c r="A1943" s="12">
        <v>1942</v>
      </c>
      <c r="B1943" s="1" t="s">
        <v>1620</v>
      </c>
      <c r="C1943" s="42" t="s">
        <v>1621</v>
      </c>
      <c r="D1943" s="42" t="s">
        <v>2987</v>
      </c>
      <c r="E1943" s="42" t="s">
        <v>2887</v>
      </c>
      <c r="F1943" s="4">
        <v>413</v>
      </c>
      <c r="G1943" s="47" t="s">
        <v>570</v>
      </c>
      <c r="H1943" s="12">
        <v>997159</v>
      </c>
      <c r="I1943" s="4">
        <v>0</v>
      </c>
      <c r="J1943" s="4">
        <v>0</v>
      </c>
      <c r="K1943" s="4">
        <v>63</v>
      </c>
      <c r="L1943" s="4">
        <v>0</v>
      </c>
      <c r="M1943" s="12" t="s">
        <v>571</v>
      </c>
      <c r="N1943" s="13">
        <f t="shared" si="50"/>
        <v>63</v>
      </c>
    </row>
    <row r="1944" spans="1:14">
      <c r="A1944" s="12">
        <v>1943</v>
      </c>
      <c r="B1944" s="1" t="s">
        <v>1620</v>
      </c>
      <c r="C1944" s="42" t="s">
        <v>1621</v>
      </c>
      <c r="D1944" s="42" t="s">
        <v>2988</v>
      </c>
      <c r="E1944" s="42" t="s">
        <v>2758</v>
      </c>
      <c r="F1944" s="4">
        <v>6367.84</v>
      </c>
      <c r="G1944" s="47" t="s">
        <v>570</v>
      </c>
      <c r="H1944" s="12">
        <v>997159</v>
      </c>
      <c r="I1944" s="4">
        <v>0</v>
      </c>
      <c r="J1944" s="4">
        <v>0</v>
      </c>
      <c r="K1944" s="4">
        <v>971.37</v>
      </c>
      <c r="L1944" s="4">
        <v>0</v>
      </c>
      <c r="M1944" s="12" t="s">
        <v>571</v>
      </c>
      <c r="N1944" s="13">
        <f t="shared" si="50"/>
        <v>971.37</v>
      </c>
    </row>
    <row r="1945" spans="1:14">
      <c r="A1945" s="12">
        <v>1944</v>
      </c>
      <c r="B1945" s="1" t="s">
        <v>1799</v>
      </c>
      <c r="C1945" s="42" t="s">
        <v>1800</v>
      </c>
      <c r="D1945" s="42" t="s">
        <v>2989</v>
      </c>
      <c r="E1945" s="42" t="s">
        <v>2758</v>
      </c>
      <c r="F1945" s="4">
        <v>77.400000000000006</v>
      </c>
      <c r="G1945" s="47" t="s">
        <v>570</v>
      </c>
      <c r="H1945" s="12">
        <v>997159</v>
      </c>
      <c r="I1945" s="4">
        <v>5.9</v>
      </c>
      <c r="J1945" s="4">
        <v>5.9</v>
      </c>
      <c r="K1945" s="4">
        <v>0</v>
      </c>
      <c r="L1945" s="4">
        <v>0</v>
      </c>
      <c r="M1945" s="12" t="s">
        <v>571</v>
      </c>
      <c r="N1945" s="13">
        <f t="shared" si="50"/>
        <v>11.8</v>
      </c>
    </row>
    <row r="1946" spans="1:14">
      <c r="A1946" s="12">
        <v>1945</v>
      </c>
      <c r="B1946" s="1" t="s">
        <v>1687</v>
      </c>
      <c r="C1946" s="42" t="s">
        <v>1688</v>
      </c>
      <c r="D1946" s="42" t="s">
        <v>2990</v>
      </c>
      <c r="E1946" s="42" t="s">
        <v>2763</v>
      </c>
      <c r="F1946" s="4">
        <v>2016</v>
      </c>
      <c r="G1946" s="47" t="s">
        <v>60</v>
      </c>
      <c r="H1946" s="29" t="s">
        <v>1641</v>
      </c>
      <c r="I1946" s="4">
        <v>48</v>
      </c>
      <c r="J1946" s="4">
        <v>48</v>
      </c>
      <c r="K1946" s="4">
        <v>0</v>
      </c>
      <c r="L1946" s="4">
        <v>0</v>
      </c>
      <c r="M1946" s="12" t="s">
        <v>571</v>
      </c>
      <c r="N1946" s="13">
        <f t="shared" si="50"/>
        <v>96</v>
      </c>
    </row>
    <row r="1947" spans="1:14">
      <c r="A1947" s="12">
        <v>1946</v>
      </c>
      <c r="B1947" s="1" t="s">
        <v>1687</v>
      </c>
      <c r="C1947" s="42" t="s">
        <v>1688</v>
      </c>
      <c r="D1947" s="42" t="s">
        <v>2991</v>
      </c>
      <c r="E1947" s="42" t="s">
        <v>2777</v>
      </c>
      <c r="F1947" s="4">
        <v>1924</v>
      </c>
      <c r="G1947" s="47" t="s">
        <v>60</v>
      </c>
      <c r="H1947" s="29" t="s">
        <v>1641</v>
      </c>
      <c r="I1947" s="4">
        <v>45.81</v>
      </c>
      <c r="J1947" s="4">
        <v>45.81</v>
      </c>
      <c r="K1947" s="4">
        <v>0</v>
      </c>
      <c r="L1947" s="4">
        <v>0</v>
      </c>
      <c r="M1947" s="12" t="s">
        <v>571</v>
      </c>
      <c r="N1947" s="13">
        <f t="shared" si="50"/>
        <v>91.62</v>
      </c>
    </row>
    <row r="1948" spans="1:14">
      <c r="A1948" s="12">
        <v>1947</v>
      </c>
      <c r="B1948" s="1" t="s">
        <v>1687</v>
      </c>
      <c r="C1948" s="42" t="s">
        <v>1688</v>
      </c>
      <c r="D1948" s="42" t="s">
        <v>2992</v>
      </c>
      <c r="E1948" s="42" t="s">
        <v>2779</v>
      </c>
      <c r="F1948" s="4">
        <v>13563</v>
      </c>
      <c r="G1948" s="47" t="s">
        <v>60</v>
      </c>
      <c r="H1948" s="29" t="s">
        <v>1641</v>
      </c>
      <c r="I1948" s="4">
        <v>322.93</v>
      </c>
      <c r="J1948" s="4">
        <v>322.93</v>
      </c>
      <c r="K1948" s="4">
        <v>0</v>
      </c>
      <c r="L1948" s="4">
        <v>0</v>
      </c>
      <c r="M1948" s="12" t="s">
        <v>571</v>
      </c>
      <c r="N1948" s="13">
        <f t="shared" si="50"/>
        <v>645.86</v>
      </c>
    </row>
    <row r="1949" spans="1:14">
      <c r="A1949" s="12">
        <v>1948</v>
      </c>
      <c r="B1949" s="1" t="s">
        <v>1687</v>
      </c>
      <c r="C1949" s="42" t="s">
        <v>1688</v>
      </c>
      <c r="D1949" s="42" t="s">
        <v>2993</v>
      </c>
      <c r="E1949" s="42" t="s">
        <v>2911</v>
      </c>
      <c r="F1949" s="4">
        <v>4438</v>
      </c>
      <c r="G1949" s="47" t="s">
        <v>60</v>
      </c>
      <c r="H1949" s="29" t="s">
        <v>1641</v>
      </c>
      <c r="I1949" s="4">
        <v>105.67</v>
      </c>
      <c r="J1949" s="4">
        <v>105.67</v>
      </c>
      <c r="K1949" s="4">
        <v>0</v>
      </c>
      <c r="L1949" s="4">
        <v>0</v>
      </c>
      <c r="M1949" s="12" t="s">
        <v>571</v>
      </c>
      <c r="N1949" s="13">
        <f t="shared" si="50"/>
        <v>211.34</v>
      </c>
    </row>
    <row r="1950" spans="1:14">
      <c r="A1950" s="12">
        <v>1949</v>
      </c>
      <c r="B1950" s="1" t="s">
        <v>1687</v>
      </c>
      <c r="C1950" s="42" t="s">
        <v>1688</v>
      </c>
      <c r="D1950" s="42" t="s">
        <v>2994</v>
      </c>
      <c r="E1950" s="42" t="s">
        <v>2917</v>
      </c>
      <c r="F1950" s="4">
        <v>6340</v>
      </c>
      <c r="G1950" s="47" t="s">
        <v>60</v>
      </c>
      <c r="H1950" s="29" t="s">
        <v>1641</v>
      </c>
      <c r="I1950" s="4">
        <v>150.96</v>
      </c>
      <c r="J1950" s="4">
        <v>150.96</v>
      </c>
      <c r="K1950" s="4">
        <v>0</v>
      </c>
      <c r="L1950" s="4">
        <v>0</v>
      </c>
      <c r="M1950" s="12" t="s">
        <v>571</v>
      </c>
      <c r="N1950" s="13">
        <f t="shared" si="50"/>
        <v>301.92</v>
      </c>
    </row>
    <row r="1951" spans="1:14">
      <c r="A1951" s="12">
        <v>1950</v>
      </c>
      <c r="B1951" s="1" t="s">
        <v>1626</v>
      </c>
      <c r="C1951" s="42" t="s">
        <v>1627</v>
      </c>
      <c r="D1951" s="42" t="s">
        <v>2995</v>
      </c>
      <c r="E1951" s="42" t="s">
        <v>2763</v>
      </c>
      <c r="F1951" s="4">
        <v>11593.5</v>
      </c>
      <c r="G1951" s="47" t="s">
        <v>60</v>
      </c>
      <c r="H1951" s="12">
        <v>3923</v>
      </c>
      <c r="I1951" s="4">
        <v>0</v>
      </c>
      <c r="J1951" s="4">
        <v>0</v>
      </c>
      <c r="K1951" s="4">
        <v>1768.5</v>
      </c>
      <c r="L1951" s="4">
        <v>0</v>
      </c>
      <c r="M1951" s="12" t="s">
        <v>571</v>
      </c>
      <c r="N1951" s="13">
        <f t="shared" si="50"/>
        <v>1768.5</v>
      </c>
    </row>
    <row r="1952" spans="1:14">
      <c r="A1952" s="12">
        <v>1951</v>
      </c>
      <c r="B1952" s="1" t="s">
        <v>1844</v>
      </c>
      <c r="C1952" s="42" t="s">
        <v>1845</v>
      </c>
      <c r="D1952" s="42" t="s">
        <v>2996</v>
      </c>
      <c r="E1952" s="42" t="s">
        <v>2758</v>
      </c>
      <c r="F1952" s="4">
        <v>1018.23</v>
      </c>
      <c r="G1952" s="47" t="s">
        <v>570</v>
      </c>
      <c r="H1952" s="12">
        <v>997158</v>
      </c>
      <c r="I1952" s="4">
        <v>0</v>
      </c>
      <c r="J1952" s="4">
        <v>0</v>
      </c>
      <c r="K1952" s="4">
        <v>0</v>
      </c>
      <c r="L1952" s="4">
        <v>0</v>
      </c>
      <c r="M1952" s="12" t="s">
        <v>571</v>
      </c>
      <c r="N1952" s="13">
        <f t="shared" si="50"/>
        <v>0</v>
      </c>
    </row>
    <row r="1953" spans="1:14">
      <c r="A1953" s="12">
        <v>1952</v>
      </c>
      <c r="B1953" s="1" t="s">
        <v>1844</v>
      </c>
      <c r="C1953" s="42" t="s">
        <v>1845</v>
      </c>
      <c r="D1953" s="42" t="s">
        <v>2996</v>
      </c>
      <c r="E1953" s="42" t="s">
        <v>2758</v>
      </c>
      <c r="F1953" s="4">
        <v>1018.23</v>
      </c>
      <c r="G1953" s="47" t="s">
        <v>570</v>
      </c>
      <c r="H1953" s="12">
        <v>997158</v>
      </c>
      <c r="I1953" s="4">
        <v>0</v>
      </c>
      <c r="J1953" s="4">
        <v>0</v>
      </c>
      <c r="K1953" s="4">
        <v>114.1</v>
      </c>
      <c r="L1953" s="4">
        <v>0</v>
      </c>
      <c r="M1953" s="12" t="s">
        <v>571</v>
      </c>
      <c r="N1953" s="13">
        <f t="shared" si="50"/>
        <v>114.1</v>
      </c>
    </row>
    <row r="1954" spans="1:14">
      <c r="A1954" s="12">
        <v>1953</v>
      </c>
      <c r="B1954" s="1" t="s">
        <v>528</v>
      </c>
      <c r="C1954" s="42" t="s">
        <v>529</v>
      </c>
      <c r="D1954" s="42" t="s">
        <v>2997</v>
      </c>
      <c r="E1954" s="42" t="s">
        <v>2908</v>
      </c>
      <c r="F1954" s="4">
        <v>1935.41</v>
      </c>
      <c r="G1954" s="47" t="s">
        <v>570</v>
      </c>
      <c r="H1954" s="12">
        <v>998212</v>
      </c>
      <c r="I1954" s="4">
        <v>147.62</v>
      </c>
      <c r="J1954" s="4">
        <v>147.62</v>
      </c>
      <c r="K1954" s="4">
        <v>0</v>
      </c>
      <c r="L1954" s="4">
        <v>0</v>
      </c>
      <c r="M1954" s="12" t="s">
        <v>571</v>
      </c>
      <c r="N1954" s="13">
        <f t="shared" si="50"/>
        <v>295.24</v>
      </c>
    </row>
    <row r="1955" spans="1:14">
      <c r="A1955" s="12">
        <v>1954</v>
      </c>
      <c r="B1955" s="1" t="s">
        <v>528</v>
      </c>
      <c r="C1955" s="42" t="s">
        <v>529</v>
      </c>
      <c r="D1955" s="42" t="s">
        <v>2998</v>
      </c>
      <c r="E1955" s="42" t="s">
        <v>2758</v>
      </c>
      <c r="F1955" s="4">
        <v>524.97</v>
      </c>
      <c r="G1955" s="47" t="s">
        <v>570</v>
      </c>
      <c r="H1955" s="12">
        <v>998212</v>
      </c>
      <c r="I1955" s="4">
        <v>40.04</v>
      </c>
      <c r="J1955" s="4">
        <v>40.04</v>
      </c>
      <c r="K1955" s="4">
        <v>0</v>
      </c>
      <c r="L1955" s="4">
        <v>0</v>
      </c>
      <c r="M1955" s="12" t="s">
        <v>571</v>
      </c>
      <c r="N1955" s="13">
        <f t="shared" si="50"/>
        <v>80.08</v>
      </c>
    </row>
    <row r="1956" spans="1:14">
      <c r="A1956" s="12">
        <v>1955</v>
      </c>
      <c r="B1956" s="1" t="s">
        <v>528</v>
      </c>
      <c r="C1956" s="42" t="s">
        <v>529</v>
      </c>
      <c r="D1956" s="42" t="s">
        <v>2999</v>
      </c>
      <c r="E1956" s="42" t="s">
        <v>2927</v>
      </c>
      <c r="F1956" s="4">
        <v>413</v>
      </c>
      <c r="G1956" s="47" t="s">
        <v>570</v>
      </c>
      <c r="H1956" s="12">
        <v>998212</v>
      </c>
      <c r="I1956" s="4">
        <v>31.5</v>
      </c>
      <c r="J1956" s="4">
        <v>31.5</v>
      </c>
      <c r="K1956" s="4">
        <v>0</v>
      </c>
      <c r="L1956" s="4">
        <v>0</v>
      </c>
      <c r="M1956" s="12" t="s">
        <v>571</v>
      </c>
      <c r="N1956" s="13">
        <f t="shared" si="50"/>
        <v>63</v>
      </c>
    </row>
    <row r="1957" spans="1:14">
      <c r="A1957" s="12">
        <v>1956</v>
      </c>
      <c r="B1957" s="1" t="s">
        <v>2113</v>
      </c>
      <c r="C1957" s="42" t="s">
        <v>2114</v>
      </c>
      <c r="D1957" s="42" t="s">
        <v>3000</v>
      </c>
      <c r="E1957" s="42" t="s">
        <v>2930</v>
      </c>
      <c r="F1957" s="4">
        <v>18210</v>
      </c>
      <c r="G1957" s="47" t="s">
        <v>60</v>
      </c>
      <c r="H1957" s="12">
        <v>4514</v>
      </c>
      <c r="I1957" s="4">
        <v>0</v>
      </c>
      <c r="J1957" s="4">
        <v>0</v>
      </c>
      <c r="K1957" s="4">
        <v>2777.76</v>
      </c>
      <c r="L1957" s="4">
        <v>0</v>
      </c>
      <c r="M1957" s="12" t="s">
        <v>571</v>
      </c>
      <c r="N1957" s="13">
        <f t="shared" si="50"/>
        <v>2777.76</v>
      </c>
    </row>
    <row r="1958" spans="1:14">
      <c r="A1958" s="12">
        <v>1957</v>
      </c>
      <c r="B1958" s="1" t="s">
        <v>805</v>
      </c>
      <c r="C1958" s="42" t="s">
        <v>806</v>
      </c>
      <c r="D1958" s="42" t="s">
        <v>3001</v>
      </c>
      <c r="E1958" s="42" t="s">
        <v>2758</v>
      </c>
      <c r="F1958" s="4">
        <v>7726.62</v>
      </c>
      <c r="G1958" s="47" t="s">
        <v>570</v>
      </c>
      <c r="H1958" s="29" t="s">
        <v>847</v>
      </c>
      <c r="I1958" s="4">
        <v>0</v>
      </c>
      <c r="J1958" s="4">
        <v>0</v>
      </c>
      <c r="K1958" s="4">
        <v>1178.6400000000001</v>
      </c>
      <c r="L1958" s="4">
        <v>0</v>
      </c>
      <c r="M1958" s="12" t="s">
        <v>571</v>
      </c>
      <c r="N1958" s="13">
        <f t="shared" si="50"/>
        <v>1178.6400000000001</v>
      </c>
    </row>
    <row r="1959" spans="1:14">
      <c r="A1959" s="12">
        <v>1958</v>
      </c>
      <c r="B1959" s="1" t="s">
        <v>3002</v>
      </c>
      <c r="C1959" s="42" t="s">
        <v>3003</v>
      </c>
      <c r="D1959" s="42" t="s">
        <v>3004</v>
      </c>
      <c r="E1959" s="42" t="s">
        <v>2758</v>
      </c>
      <c r="F1959" s="4">
        <v>9486</v>
      </c>
      <c r="G1959" s="47" t="s">
        <v>60</v>
      </c>
      <c r="H1959" s="12">
        <v>2006</v>
      </c>
      <c r="I1959" s="4">
        <v>0</v>
      </c>
      <c r="J1959" s="4">
        <v>0</v>
      </c>
      <c r="K1959" s="4">
        <v>1016.4</v>
      </c>
      <c r="L1959" s="4">
        <v>0</v>
      </c>
      <c r="M1959" s="12" t="s">
        <v>571</v>
      </c>
      <c r="N1959" s="13">
        <f t="shared" si="50"/>
        <v>1016.4</v>
      </c>
    </row>
    <row r="1960" spans="1:14">
      <c r="A1960" s="12">
        <v>1959</v>
      </c>
      <c r="B1960" s="1" t="s">
        <v>1694</v>
      </c>
      <c r="C1960" s="42" t="s">
        <v>1695</v>
      </c>
      <c r="D1960" s="42" t="s">
        <v>3005</v>
      </c>
      <c r="E1960" s="42" t="s">
        <v>2913</v>
      </c>
      <c r="F1960" s="4">
        <v>2640</v>
      </c>
      <c r="G1960" s="47" t="s">
        <v>60</v>
      </c>
      <c r="H1960" s="12">
        <v>7418</v>
      </c>
      <c r="I1960" s="4">
        <v>201.36</v>
      </c>
      <c r="J1960" s="4">
        <v>201.36</v>
      </c>
      <c r="K1960" s="4">
        <v>0</v>
      </c>
      <c r="L1960" s="4">
        <v>0</v>
      </c>
      <c r="M1960" s="12" t="s">
        <v>571</v>
      </c>
      <c r="N1960" s="13">
        <f t="shared" si="50"/>
        <v>402.72</v>
      </c>
    </row>
    <row r="1961" spans="1:14">
      <c r="A1961" s="12">
        <v>1960</v>
      </c>
      <c r="B1961" s="1" t="s">
        <v>1691</v>
      </c>
      <c r="C1961" s="42" t="s">
        <v>1692</v>
      </c>
      <c r="D1961" s="42" t="s">
        <v>3006</v>
      </c>
      <c r="E1961" s="42" t="s">
        <v>2758</v>
      </c>
      <c r="F1961" s="4">
        <v>885</v>
      </c>
      <c r="G1961" s="47" t="s">
        <v>570</v>
      </c>
      <c r="H1961" s="12">
        <v>997159</v>
      </c>
      <c r="I1961" s="4">
        <v>0</v>
      </c>
      <c r="J1961" s="4">
        <v>0</v>
      </c>
      <c r="K1961" s="4">
        <v>135</v>
      </c>
      <c r="L1961" s="4">
        <v>0</v>
      </c>
      <c r="M1961" s="12" t="s">
        <v>571</v>
      </c>
      <c r="N1961" s="13">
        <f t="shared" si="50"/>
        <v>135</v>
      </c>
    </row>
    <row r="1962" spans="1:14">
      <c r="A1962" s="12">
        <v>1961</v>
      </c>
      <c r="B1962" s="1" t="s">
        <v>1832</v>
      </c>
      <c r="C1962" s="42" t="s">
        <v>1833</v>
      </c>
      <c r="D1962" s="42" t="s">
        <v>3007</v>
      </c>
      <c r="E1962" s="42" t="s">
        <v>2902</v>
      </c>
      <c r="F1962" s="4">
        <v>57750</v>
      </c>
      <c r="G1962" s="47" t="s">
        <v>60</v>
      </c>
      <c r="H1962" s="29" t="s">
        <v>1835</v>
      </c>
      <c r="I1962" s="4">
        <v>1375</v>
      </c>
      <c r="J1962" s="4">
        <v>1375</v>
      </c>
      <c r="K1962" s="4">
        <v>0</v>
      </c>
      <c r="L1962" s="4">
        <v>0</v>
      </c>
      <c r="M1962" s="12" t="s">
        <v>571</v>
      </c>
      <c r="N1962" s="13">
        <f t="shared" si="50"/>
        <v>2750</v>
      </c>
    </row>
    <row r="1963" spans="1:14">
      <c r="A1963" s="12">
        <v>1962</v>
      </c>
      <c r="B1963" s="1" t="s">
        <v>1832</v>
      </c>
      <c r="C1963" s="42" t="s">
        <v>1833</v>
      </c>
      <c r="D1963" s="42" t="s">
        <v>3008</v>
      </c>
      <c r="E1963" s="42" t="s">
        <v>2904</v>
      </c>
      <c r="F1963" s="4">
        <v>341</v>
      </c>
      <c r="G1963" s="47" t="s">
        <v>60</v>
      </c>
      <c r="H1963" s="29" t="s">
        <v>1835</v>
      </c>
      <c r="I1963" s="4">
        <v>8.1300000000000008</v>
      </c>
      <c r="J1963" s="4">
        <v>8.1300000000000008</v>
      </c>
      <c r="K1963" s="4">
        <v>0</v>
      </c>
      <c r="L1963" s="4">
        <v>0</v>
      </c>
      <c r="M1963" s="12" t="s">
        <v>571</v>
      </c>
      <c r="N1963" s="13">
        <f t="shared" si="50"/>
        <v>16.260000000000002</v>
      </c>
    </row>
    <row r="1964" spans="1:14">
      <c r="A1964" s="12">
        <v>1963</v>
      </c>
      <c r="B1964" s="1" t="s">
        <v>2269</v>
      </c>
      <c r="C1964" s="42" t="s">
        <v>2270</v>
      </c>
      <c r="D1964" s="42" t="s">
        <v>3009</v>
      </c>
      <c r="E1964" s="42" t="s">
        <v>2777</v>
      </c>
      <c r="F1964" s="4">
        <v>11760</v>
      </c>
      <c r="G1964" s="47" t="s">
        <v>60</v>
      </c>
      <c r="H1964" s="12">
        <v>7418</v>
      </c>
      <c r="I1964" s="4">
        <v>630</v>
      </c>
      <c r="J1964" s="4">
        <v>630</v>
      </c>
      <c r="K1964" s="4">
        <v>0</v>
      </c>
      <c r="L1964" s="4">
        <v>0</v>
      </c>
      <c r="M1964" s="12" t="s">
        <v>571</v>
      </c>
      <c r="N1964" s="13">
        <f t="shared" si="50"/>
        <v>1260</v>
      </c>
    </row>
    <row r="1965" spans="1:14">
      <c r="A1965" s="12">
        <v>1964</v>
      </c>
      <c r="B1965" s="1" t="s">
        <v>2269</v>
      </c>
      <c r="C1965" s="42" t="s">
        <v>2270</v>
      </c>
      <c r="D1965" s="42" t="s">
        <v>3010</v>
      </c>
      <c r="E1965" s="42" t="s">
        <v>2899</v>
      </c>
      <c r="F1965" s="4">
        <v>11760</v>
      </c>
      <c r="G1965" s="47" t="s">
        <v>60</v>
      </c>
      <c r="H1965" s="12">
        <v>7418</v>
      </c>
      <c r="I1965" s="4">
        <v>630</v>
      </c>
      <c r="J1965" s="4">
        <v>630</v>
      </c>
      <c r="K1965" s="4">
        <v>0</v>
      </c>
      <c r="L1965" s="4">
        <v>0</v>
      </c>
      <c r="M1965" s="12" t="s">
        <v>571</v>
      </c>
      <c r="N1965" s="13">
        <f t="shared" si="50"/>
        <v>1260</v>
      </c>
    </row>
    <row r="1966" spans="1:14">
      <c r="A1966" s="12">
        <v>1965</v>
      </c>
      <c r="B1966" s="1" t="s">
        <v>557</v>
      </c>
      <c r="C1966" s="42" t="s">
        <v>558</v>
      </c>
      <c r="D1966" s="42" t="s">
        <v>3011</v>
      </c>
      <c r="E1966" s="42" t="s">
        <v>2911</v>
      </c>
      <c r="F1966" s="12">
        <v>-0.22</v>
      </c>
      <c r="G1966" s="47" t="s">
        <v>570</v>
      </c>
      <c r="H1966" s="12">
        <v>998361</v>
      </c>
      <c r="I1966" s="12">
        <v>0</v>
      </c>
      <c r="J1966" s="12">
        <v>0</v>
      </c>
      <c r="K1966" s="12">
        <v>-0.03</v>
      </c>
      <c r="L1966" s="4">
        <v>0</v>
      </c>
      <c r="M1966" s="12" t="s">
        <v>571</v>
      </c>
      <c r="N1966" s="13">
        <f t="shared" si="50"/>
        <v>-0.03</v>
      </c>
    </row>
    <row r="1967" spans="1:14">
      <c r="A1967" s="12">
        <v>1966</v>
      </c>
      <c r="B1967" s="1" t="s">
        <v>557</v>
      </c>
      <c r="C1967" s="42" t="s">
        <v>558</v>
      </c>
      <c r="D1967" s="42" t="s">
        <v>3012</v>
      </c>
      <c r="E1967" s="42" t="s">
        <v>2911</v>
      </c>
      <c r="F1967" s="12">
        <v>-0.01</v>
      </c>
      <c r="G1967" s="47" t="s">
        <v>570</v>
      </c>
      <c r="H1967" s="12">
        <v>998361</v>
      </c>
      <c r="I1967" s="12">
        <v>0</v>
      </c>
      <c r="J1967" s="12">
        <v>0</v>
      </c>
      <c r="K1967" s="12">
        <v>0</v>
      </c>
      <c r="L1967" s="4">
        <v>0</v>
      </c>
      <c r="M1967" s="12" t="s">
        <v>571</v>
      </c>
      <c r="N1967" s="13">
        <f t="shared" si="50"/>
        <v>0</v>
      </c>
    </row>
    <row r="1968" spans="1:14">
      <c r="A1968" s="12">
        <v>1967</v>
      </c>
      <c r="B1968" s="1" t="s">
        <v>3013</v>
      </c>
      <c r="C1968" s="42" t="s">
        <v>3014</v>
      </c>
      <c r="D1968" s="42" t="s">
        <v>3015</v>
      </c>
      <c r="E1968" s="42" t="s">
        <v>3016</v>
      </c>
      <c r="F1968" s="4">
        <v>420</v>
      </c>
      <c r="G1968" s="47" t="s">
        <v>1772</v>
      </c>
      <c r="H1968" s="12">
        <v>12119099</v>
      </c>
      <c r="I1968" s="4">
        <v>10</v>
      </c>
      <c r="J1968" s="4">
        <v>10</v>
      </c>
      <c r="K1968" s="4">
        <v>0</v>
      </c>
      <c r="L1968" s="4">
        <v>0</v>
      </c>
      <c r="M1968" s="12" t="s">
        <v>571</v>
      </c>
      <c r="N1968" s="13">
        <f t="shared" si="50"/>
        <v>20</v>
      </c>
    </row>
    <row r="1969" spans="1:14">
      <c r="A1969" s="12">
        <v>1968</v>
      </c>
      <c r="B1969" s="1" t="s">
        <v>3017</v>
      </c>
      <c r="C1969" s="42" t="s">
        <v>3018</v>
      </c>
      <c r="D1969" s="42" t="s">
        <v>3019</v>
      </c>
      <c r="E1969" s="42" t="s">
        <v>3020</v>
      </c>
      <c r="F1969" s="4">
        <v>5000</v>
      </c>
      <c r="G1969" s="47" t="s">
        <v>570</v>
      </c>
      <c r="H1969" s="12">
        <v>998713</v>
      </c>
      <c r="I1969" s="4">
        <v>0</v>
      </c>
      <c r="J1969" s="4">
        <v>0</v>
      </c>
      <c r="K1969" s="4">
        <v>762.71</v>
      </c>
      <c r="L1969" s="4">
        <v>0</v>
      </c>
      <c r="M1969" s="12" t="s">
        <v>571</v>
      </c>
      <c r="N1969" s="13">
        <f t="shared" si="50"/>
        <v>762.71</v>
      </c>
    </row>
    <row r="1970" spans="1:14">
      <c r="A1970" s="12">
        <v>1969</v>
      </c>
      <c r="B1970" s="1" t="s">
        <v>3021</v>
      </c>
      <c r="C1970" s="42" t="s">
        <v>3022</v>
      </c>
      <c r="D1970" s="42" t="s">
        <v>3023</v>
      </c>
      <c r="E1970" s="42" t="s">
        <v>3024</v>
      </c>
      <c r="F1970" s="4">
        <v>73750</v>
      </c>
      <c r="G1970" s="47" t="s">
        <v>570</v>
      </c>
      <c r="H1970" s="12">
        <v>998515</v>
      </c>
      <c r="I1970" s="4">
        <v>5625</v>
      </c>
      <c r="J1970" s="4">
        <v>5625</v>
      </c>
      <c r="K1970" s="4">
        <v>0</v>
      </c>
      <c r="L1970" s="4">
        <v>0</v>
      </c>
      <c r="M1970" s="12" t="s">
        <v>571</v>
      </c>
      <c r="N1970" s="13">
        <f t="shared" si="50"/>
        <v>11250</v>
      </c>
    </row>
    <row r="1971" spans="1:14">
      <c r="A1971" s="12">
        <v>1970</v>
      </c>
      <c r="B1971" s="1" t="s">
        <v>1832</v>
      </c>
      <c r="C1971" s="42" t="s">
        <v>1833</v>
      </c>
      <c r="D1971" s="42" t="s">
        <v>3025</v>
      </c>
      <c r="E1971" s="42" t="s">
        <v>3026</v>
      </c>
      <c r="F1971" s="4">
        <v>27531</v>
      </c>
      <c r="G1971" s="47" t="s">
        <v>60</v>
      </c>
      <c r="H1971" s="29" t="s">
        <v>1835</v>
      </c>
      <c r="I1971" s="4">
        <v>655.5</v>
      </c>
      <c r="J1971" s="4">
        <v>655.5</v>
      </c>
      <c r="K1971" s="4">
        <v>0</v>
      </c>
      <c r="L1971" s="4">
        <v>0</v>
      </c>
      <c r="M1971" s="12" t="s">
        <v>571</v>
      </c>
      <c r="N1971" s="13">
        <f t="shared" si="50"/>
        <v>1311</v>
      </c>
    </row>
    <row r="1972" spans="1:14">
      <c r="A1972" s="12">
        <v>1971</v>
      </c>
      <c r="B1972" s="1" t="s">
        <v>1820</v>
      </c>
      <c r="C1972" s="42" t="s">
        <v>1821</v>
      </c>
      <c r="D1972" s="42" t="s">
        <v>3027</v>
      </c>
      <c r="E1972" s="42" t="s">
        <v>3028</v>
      </c>
      <c r="F1972" s="4">
        <v>26670</v>
      </c>
      <c r="G1972" s="47" t="s">
        <v>60</v>
      </c>
      <c r="H1972" s="29" t="s">
        <v>1806</v>
      </c>
      <c r="I1972" s="4">
        <v>0</v>
      </c>
      <c r="J1972" s="4">
        <v>0</v>
      </c>
      <c r="K1972" s="4">
        <v>1270</v>
      </c>
      <c r="L1972" s="4">
        <v>0</v>
      </c>
      <c r="M1972" s="12" t="s">
        <v>571</v>
      </c>
      <c r="N1972" s="13">
        <f t="shared" si="50"/>
        <v>1270</v>
      </c>
    </row>
    <row r="1973" spans="1:14">
      <c r="A1973" s="12">
        <v>1972</v>
      </c>
      <c r="B1973" s="1" t="s">
        <v>1820</v>
      </c>
      <c r="C1973" s="42" t="s">
        <v>1821</v>
      </c>
      <c r="D1973" s="42" t="s">
        <v>390</v>
      </c>
      <c r="E1973" s="42" t="s">
        <v>3029</v>
      </c>
      <c r="F1973" s="4">
        <v>45990</v>
      </c>
      <c r="G1973" s="47" t="s">
        <v>60</v>
      </c>
      <c r="H1973" s="29" t="s">
        <v>1806</v>
      </c>
      <c r="I1973" s="4">
        <v>0</v>
      </c>
      <c r="J1973" s="4">
        <v>0</v>
      </c>
      <c r="K1973" s="4">
        <v>2190</v>
      </c>
      <c r="L1973" s="4">
        <v>0</v>
      </c>
      <c r="M1973" s="12" t="s">
        <v>571</v>
      </c>
      <c r="N1973" s="13">
        <f t="shared" si="50"/>
        <v>2190</v>
      </c>
    </row>
    <row r="1974" spans="1:14">
      <c r="A1974" s="12">
        <v>1973</v>
      </c>
      <c r="B1974" s="1" t="s">
        <v>1820</v>
      </c>
      <c r="C1974" s="42" t="s">
        <v>1821</v>
      </c>
      <c r="D1974" s="42" t="s">
        <v>3030</v>
      </c>
      <c r="E1974" s="42" t="s">
        <v>3024</v>
      </c>
      <c r="F1974" s="4">
        <v>32366</v>
      </c>
      <c r="G1974" s="47" t="s">
        <v>60</v>
      </c>
      <c r="H1974" s="29" t="s">
        <v>1806</v>
      </c>
      <c r="I1974" s="4">
        <v>0</v>
      </c>
      <c r="J1974" s="4">
        <v>0</v>
      </c>
      <c r="K1974" s="4">
        <v>1541.25</v>
      </c>
      <c r="L1974" s="4">
        <v>0</v>
      </c>
      <c r="M1974" s="12" t="s">
        <v>571</v>
      </c>
      <c r="N1974" s="13">
        <f t="shared" si="50"/>
        <v>1541.25</v>
      </c>
    </row>
    <row r="1975" spans="1:14">
      <c r="A1975" s="12">
        <v>1974</v>
      </c>
      <c r="B1975" s="1" t="s">
        <v>1820</v>
      </c>
      <c r="C1975" s="42" t="s">
        <v>1821</v>
      </c>
      <c r="D1975" s="42" t="s">
        <v>3031</v>
      </c>
      <c r="E1975" s="42" t="s">
        <v>3032</v>
      </c>
      <c r="F1975" s="4">
        <v>39690</v>
      </c>
      <c r="G1975" s="47" t="s">
        <v>60</v>
      </c>
      <c r="H1975" s="12">
        <v>1211</v>
      </c>
      <c r="I1975" s="4">
        <v>0</v>
      </c>
      <c r="J1975" s="4">
        <v>0</v>
      </c>
      <c r="K1975" s="4">
        <v>1890</v>
      </c>
      <c r="L1975" s="4">
        <v>0</v>
      </c>
      <c r="M1975" s="12" t="s">
        <v>571</v>
      </c>
      <c r="N1975" s="13">
        <f t="shared" si="50"/>
        <v>1890</v>
      </c>
    </row>
    <row r="1976" spans="1:14">
      <c r="A1976" s="12">
        <v>1975</v>
      </c>
      <c r="B1976" s="1" t="s">
        <v>1820</v>
      </c>
      <c r="C1976" s="42" t="s">
        <v>1821</v>
      </c>
      <c r="D1976" s="42" t="s">
        <v>3033</v>
      </c>
      <c r="E1976" s="42" t="s">
        <v>3016</v>
      </c>
      <c r="F1976" s="4">
        <v>4253</v>
      </c>
      <c r="G1976" s="47" t="s">
        <v>60</v>
      </c>
      <c r="H1976" s="29" t="s">
        <v>1641</v>
      </c>
      <c r="I1976" s="4">
        <v>0</v>
      </c>
      <c r="J1976" s="4">
        <v>0</v>
      </c>
      <c r="K1976" s="4">
        <v>202.5</v>
      </c>
      <c r="L1976" s="4">
        <v>0</v>
      </c>
      <c r="M1976" s="12" t="s">
        <v>571</v>
      </c>
      <c r="N1976" s="13">
        <f t="shared" si="50"/>
        <v>202.5</v>
      </c>
    </row>
    <row r="1977" spans="1:14">
      <c r="A1977" s="12">
        <v>1976</v>
      </c>
      <c r="B1977" s="1" t="s">
        <v>1802</v>
      </c>
      <c r="C1977" s="42" t="s">
        <v>1803</v>
      </c>
      <c r="D1977" s="42" t="s">
        <v>3034</v>
      </c>
      <c r="E1977" s="42" t="s">
        <v>2902</v>
      </c>
      <c r="F1977" s="4">
        <v>4909</v>
      </c>
      <c r="G1977" s="47" t="s">
        <v>60</v>
      </c>
      <c r="H1977" s="29" t="s">
        <v>1641</v>
      </c>
      <c r="I1977" s="4">
        <v>0</v>
      </c>
      <c r="J1977" s="4">
        <v>0</v>
      </c>
      <c r="K1977" s="4">
        <v>233.76</v>
      </c>
      <c r="L1977" s="4">
        <v>0</v>
      </c>
      <c r="M1977" s="12" t="s">
        <v>571</v>
      </c>
      <c r="N1977" s="13">
        <f t="shared" si="50"/>
        <v>233.76</v>
      </c>
    </row>
    <row r="1978" spans="1:14">
      <c r="A1978" s="12">
        <v>1977</v>
      </c>
      <c r="B1978" s="1" t="s">
        <v>1802</v>
      </c>
      <c r="C1978" s="42" t="s">
        <v>1803</v>
      </c>
      <c r="D1978" s="42" t="s">
        <v>3035</v>
      </c>
      <c r="E1978" s="42" t="s">
        <v>2927</v>
      </c>
      <c r="F1978" s="4">
        <v>14000</v>
      </c>
      <c r="G1978" s="47" t="s">
        <v>60</v>
      </c>
      <c r="H1978" s="29" t="s">
        <v>1792</v>
      </c>
      <c r="I1978" s="4">
        <v>0</v>
      </c>
      <c r="J1978" s="4">
        <v>0</v>
      </c>
      <c r="K1978" s="4">
        <v>1500</v>
      </c>
      <c r="L1978" s="4">
        <v>0</v>
      </c>
      <c r="M1978" s="12" t="s">
        <v>571</v>
      </c>
      <c r="N1978" s="13">
        <f t="shared" si="50"/>
        <v>1500</v>
      </c>
    </row>
    <row r="1979" spans="1:14">
      <c r="A1979" s="12">
        <v>1978</v>
      </c>
      <c r="B1979" s="1" t="s">
        <v>1802</v>
      </c>
      <c r="C1979" s="42" t="s">
        <v>1803</v>
      </c>
      <c r="D1979" s="42" t="s">
        <v>3036</v>
      </c>
      <c r="E1979" s="42" t="s">
        <v>2927</v>
      </c>
      <c r="F1979" s="4">
        <v>3675</v>
      </c>
      <c r="G1979" s="47" t="s">
        <v>60</v>
      </c>
      <c r="H1979" s="29" t="s">
        <v>1792</v>
      </c>
      <c r="I1979" s="4">
        <v>0</v>
      </c>
      <c r="J1979" s="4">
        <v>0</v>
      </c>
      <c r="K1979" s="4">
        <v>175</v>
      </c>
      <c r="L1979" s="4">
        <v>0</v>
      </c>
      <c r="M1979" s="12" t="s">
        <v>571</v>
      </c>
      <c r="N1979" s="13">
        <f t="shared" si="50"/>
        <v>175</v>
      </c>
    </row>
    <row r="1980" spans="1:14">
      <c r="A1980" s="12">
        <v>1979</v>
      </c>
      <c r="B1980" s="1" t="s">
        <v>1802</v>
      </c>
      <c r="C1980" s="42" t="s">
        <v>1803</v>
      </c>
      <c r="D1980" s="42" t="s">
        <v>3037</v>
      </c>
      <c r="E1980" s="42" t="s">
        <v>2758</v>
      </c>
      <c r="F1980" s="4">
        <v>1654</v>
      </c>
      <c r="G1980" s="47" t="s">
        <v>60</v>
      </c>
      <c r="H1980" s="29" t="s">
        <v>1641</v>
      </c>
      <c r="I1980" s="4">
        <v>0</v>
      </c>
      <c r="J1980" s="4">
        <v>0</v>
      </c>
      <c r="K1980" s="4">
        <v>78.760000000000005</v>
      </c>
      <c r="L1980" s="4">
        <v>0</v>
      </c>
      <c r="M1980" s="12" t="s">
        <v>571</v>
      </c>
      <c r="N1980" s="13">
        <f t="shared" si="50"/>
        <v>78.760000000000005</v>
      </c>
    </row>
    <row r="1981" spans="1:14">
      <c r="A1981" s="12">
        <v>1980</v>
      </c>
      <c r="B1981" s="1" t="s">
        <v>1802</v>
      </c>
      <c r="C1981" s="42" t="s">
        <v>1803</v>
      </c>
      <c r="D1981" s="42" t="s">
        <v>3038</v>
      </c>
      <c r="E1981" s="42" t="s">
        <v>3039</v>
      </c>
      <c r="F1981" s="4">
        <v>14560</v>
      </c>
      <c r="G1981" s="47" t="s">
        <v>60</v>
      </c>
      <c r="H1981" s="29" t="s">
        <v>1806</v>
      </c>
      <c r="I1981" s="4">
        <v>0</v>
      </c>
      <c r="J1981" s="4">
        <v>0</v>
      </c>
      <c r="K1981" s="4">
        <v>1560</v>
      </c>
      <c r="L1981" s="4">
        <v>0</v>
      </c>
      <c r="M1981" s="12" t="s">
        <v>571</v>
      </c>
      <c r="N1981" s="13">
        <f t="shared" si="50"/>
        <v>1560</v>
      </c>
    </row>
    <row r="1982" spans="1:14">
      <c r="A1982" s="12">
        <v>1981</v>
      </c>
      <c r="B1982" s="1" t="s">
        <v>1802</v>
      </c>
      <c r="C1982" s="42" t="s">
        <v>1803</v>
      </c>
      <c r="D1982" s="42" t="s">
        <v>3040</v>
      </c>
      <c r="E1982" s="42" t="s">
        <v>3041</v>
      </c>
      <c r="F1982" s="4">
        <v>10185</v>
      </c>
      <c r="G1982" s="47" t="s">
        <v>60</v>
      </c>
      <c r="H1982" s="29" t="s">
        <v>1792</v>
      </c>
      <c r="I1982" s="4">
        <v>0</v>
      </c>
      <c r="J1982" s="4">
        <v>0</v>
      </c>
      <c r="K1982" s="4">
        <v>485</v>
      </c>
      <c r="L1982" s="4">
        <v>0</v>
      </c>
      <c r="M1982" s="12" t="s">
        <v>571</v>
      </c>
      <c r="N1982" s="13">
        <f t="shared" si="50"/>
        <v>485</v>
      </c>
    </row>
    <row r="1983" spans="1:14">
      <c r="A1983" s="12">
        <v>1982</v>
      </c>
      <c r="B1983" s="1" t="s">
        <v>1802</v>
      </c>
      <c r="C1983" s="42" t="s">
        <v>1803</v>
      </c>
      <c r="D1983" s="42" t="s">
        <v>3042</v>
      </c>
      <c r="E1983" s="42" t="s">
        <v>3043</v>
      </c>
      <c r="F1983" s="4">
        <v>13020</v>
      </c>
      <c r="G1983" s="47" t="s">
        <v>60</v>
      </c>
      <c r="H1983" s="29" t="s">
        <v>1641</v>
      </c>
      <c r="I1983" s="4">
        <v>0</v>
      </c>
      <c r="J1983" s="4">
        <v>0</v>
      </c>
      <c r="K1983" s="4">
        <v>620</v>
      </c>
      <c r="L1983" s="4">
        <v>0</v>
      </c>
      <c r="M1983" s="12" t="s">
        <v>571</v>
      </c>
      <c r="N1983" s="13">
        <f t="shared" si="50"/>
        <v>620</v>
      </c>
    </row>
    <row r="1984" spans="1:14">
      <c r="A1984" s="12">
        <v>1983</v>
      </c>
      <c r="B1984" s="1" t="s">
        <v>3044</v>
      </c>
      <c r="C1984" s="42" t="s">
        <v>3045</v>
      </c>
      <c r="D1984" s="42" t="s">
        <v>3046</v>
      </c>
      <c r="E1984" s="42" t="s">
        <v>3026</v>
      </c>
      <c r="F1984" s="4">
        <v>12744</v>
      </c>
      <c r="G1984" s="47" t="s">
        <v>570</v>
      </c>
      <c r="H1984" s="12">
        <v>9983</v>
      </c>
      <c r="I1984" s="4">
        <v>972</v>
      </c>
      <c r="J1984" s="4">
        <v>972</v>
      </c>
      <c r="K1984" s="4">
        <v>0</v>
      </c>
      <c r="L1984" s="4">
        <v>0</v>
      </c>
      <c r="M1984" s="12" t="s">
        <v>571</v>
      </c>
      <c r="N1984" s="13">
        <f t="shared" si="50"/>
        <v>1944</v>
      </c>
    </row>
    <row r="1985" spans="1:14">
      <c r="A1985" s="12">
        <v>1984</v>
      </c>
      <c r="B1985" s="1" t="s">
        <v>2020</v>
      </c>
      <c r="C1985" s="42" t="s">
        <v>2021</v>
      </c>
      <c r="D1985" s="42" t="s">
        <v>3047</v>
      </c>
      <c r="E1985" s="42" t="s">
        <v>3048</v>
      </c>
      <c r="F1985" s="4">
        <v>306.92</v>
      </c>
      <c r="G1985" s="47" t="s">
        <v>570</v>
      </c>
      <c r="H1985" s="12">
        <v>998311</v>
      </c>
      <c r="I1985" s="4">
        <v>23.41</v>
      </c>
      <c r="J1985" s="4">
        <v>23.41</v>
      </c>
      <c r="K1985" s="4">
        <v>0</v>
      </c>
      <c r="L1985" s="4">
        <v>0</v>
      </c>
      <c r="M1985" s="12" t="s">
        <v>571</v>
      </c>
      <c r="N1985" s="13">
        <f t="shared" si="50"/>
        <v>46.82</v>
      </c>
    </row>
    <row r="1986" spans="1:14">
      <c r="A1986" s="12">
        <v>1985</v>
      </c>
      <c r="B1986" s="1" t="s">
        <v>3049</v>
      </c>
      <c r="C1986" s="42" t="s">
        <v>2486</v>
      </c>
      <c r="D1986" s="42" t="s">
        <v>3050</v>
      </c>
      <c r="E1986" s="42" t="s">
        <v>3048</v>
      </c>
      <c r="F1986" s="4">
        <v>2049</v>
      </c>
      <c r="G1986" s="47" t="s">
        <v>1772</v>
      </c>
      <c r="H1986" s="12">
        <v>9405</v>
      </c>
      <c r="I1986" s="4">
        <v>0</v>
      </c>
      <c r="J1986" s="4">
        <v>0</v>
      </c>
      <c r="K1986" s="4">
        <v>312.56</v>
      </c>
      <c r="L1986" s="4">
        <v>0</v>
      </c>
      <c r="M1986" s="12" t="s">
        <v>571</v>
      </c>
      <c r="N1986" s="13">
        <f t="shared" si="50"/>
        <v>312.56</v>
      </c>
    </row>
    <row r="1987" spans="1:14">
      <c r="A1987" s="12">
        <v>1986</v>
      </c>
      <c r="B1987" s="1" t="s">
        <v>3051</v>
      </c>
      <c r="C1987" s="42" t="s">
        <v>3052</v>
      </c>
      <c r="D1987" s="42" t="s">
        <v>3053</v>
      </c>
      <c r="E1987" s="42" t="s">
        <v>3043</v>
      </c>
      <c r="F1987" s="4">
        <v>30506</v>
      </c>
      <c r="G1987" s="47" t="s">
        <v>60</v>
      </c>
      <c r="H1987" s="12">
        <v>70134900</v>
      </c>
      <c r="I1987" s="4">
        <v>2326.6999999999998</v>
      </c>
      <c r="J1987" s="4">
        <v>2326.6999999999998</v>
      </c>
      <c r="K1987" s="4">
        <v>0</v>
      </c>
      <c r="L1987" s="4">
        <v>0</v>
      </c>
      <c r="M1987" s="12" t="s">
        <v>571</v>
      </c>
      <c r="N1987" s="13">
        <f t="shared" si="50"/>
        <v>4653.3999999999996</v>
      </c>
    </row>
    <row r="1988" spans="1:14">
      <c r="A1988" s="12">
        <v>1987</v>
      </c>
      <c r="B1988" s="1" t="s">
        <v>3054</v>
      </c>
      <c r="C1988" s="42" t="s">
        <v>3055</v>
      </c>
      <c r="D1988" s="42" t="s">
        <v>3056</v>
      </c>
      <c r="E1988" s="42" t="s">
        <v>3057</v>
      </c>
      <c r="F1988" s="4">
        <v>19508.939999999999</v>
      </c>
      <c r="G1988" s="47" t="s">
        <v>1772</v>
      </c>
      <c r="H1988" s="12">
        <v>48191010</v>
      </c>
      <c r="I1988" s="4">
        <v>1487.97</v>
      </c>
      <c r="J1988" s="4">
        <v>1487.97</v>
      </c>
      <c r="K1988" s="4">
        <v>0</v>
      </c>
      <c r="L1988" s="4">
        <v>0</v>
      </c>
      <c r="M1988" s="12" t="s">
        <v>571</v>
      </c>
      <c r="N1988" s="13">
        <f t="shared" si="50"/>
        <v>2975.94</v>
      </c>
    </row>
    <row r="1989" spans="1:14">
      <c r="A1989" s="12">
        <v>1988</v>
      </c>
      <c r="B1989" s="1" t="s">
        <v>2082</v>
      </c>
      <c r="C1989" s="42" t="s">
        <v>2083</v>
      </c>
      <c r="D1989" s="42" t="s">
        <v>3058</v>
      </c>
      <c r="E1989" s="42" t="s">
        <v>3059</v>
      </c>
      <c r="F1989" s="4">
        <v>28195</v>
      </c>
      <c r="G1989" s="47" t="s">
        <v>60</v>
      </c>
      <c r="H1989" s="29" t="s">
        <v>1792</v>
      </c>
      <c r="I1989" s="4">
        <v>671.31</v>
      </c>
      <c r="J1989" s="4">
        <v>671.31</v>
      </c>
      <c r="K1989" s="4">
        <v>0</v>
      </c>
      <c r="L1989" s="4">
        <v>0</v>
      </c>
      <c r="M1989" s="12" t="s">
        <v>571</v>
      </c>
      <c r="N1989" s="13">
        <f t="shared" si="50"/>
        <v>1342.62</v>
      </c>
    </row>
    <row r="1990" spans="1:14">
      <c r="A1990" s="12">
        <v>1989</v>
      </c>
      <c r="B1990" s="1" t="s">
        <v>2082</v>
      </c>
      <c r="C1990" s="42" t="s">
        <v>2083</v>
      </c>
      <c r="D1990" s="42" t="s">
        <v>3060</v>
      </c>
      <c r="E1990" s="42" t="s">
        <v>3016</v>
      </c>
      <c r="F1990" s="4">
        <v>29798</v>
      </c>
      <c r="G1990" s="47" t="s">
        <v>60</v>
      </c>
      <c r="H1990" s="29" t="s">
        <v>1792</v>
      </c>
      <c r="I1990" s="4">
        <v>709.49</v>
      </c>
      <c r="J1990" s="4">
        <v>709.49</v>
      </c>
      <c r="K1990" s="4">
        <v>0</v>
      </c>
      <c r="L1990" s="4">
        <v>0</v>
      </c>
      <c r="M1990" s="12" t="s">
        <v>571</v>
      </c>
      <c r="N1990" s="13">
        <f t="shared" si="50"/>
        <v>1418.98</v>
      </c>
    </row>
    <row r="1991" spans="1:14">
      <c r="A1991" s="12">
        <v>1990</v>
      </c>
      <c r="B1991" s="1" t="s">
        <v>528</v>
      </c>
      <c r="C1991" s="42" t="s">
        <v>529</v>
      </c>
      <c r="D1991" s="42" t="s">
        <v>3061</v>
      </c>
      <c r="E1991" s="42" t="s">
        <v>3039</v>
      </c>
      <c r="F1991" s="4">
        <v>3499.25</v>
      </c>
      <c r="G1991" s="47" t="s">
        <v>570</v>
      </c>
      <c r="H1991" s="12">
        <v>998212</v>
      </c>
      <c r="I1991" s="4">
        <v>266.89</v>
      </c>
      <c r="J1991" s="4">
        <v>266.89</v>
      </c>
      <c r="K1991" s="4">
        <v>0</v>
      </c>
      <c r="L1991" s="4">
        <v>0</v>
      </c>
      <c r="M1991" s="12" t="s">
        <v>571</v>
      </c>
      <c r="N1991" s="13">
        <f t="shared" si="50"/>
        <v>533.78</v>
      </c>
    </row>
    <row r="1992" spans="1:14">
      <c r="A1992" s="12">
        <v>1991</v>
      </c>
      <c r="B1992" s="1" t="s">
        <v>1626</v>
      </c>
      <c r="C1992" s="42" t="s">
        <v>1627</v>
      </c>
      <c r="D1992" s="42" t="s">
        <v>3062</v>
      </c>
      <c r="E1992" s="42" t="s">
        <v>3063</v>
      </c>
      <c r="F1992" s="4">
        <v>10932.7</v>
      </c>
      <c r="G1992" s="47" t="s">
        <v>60</v>
      </c>
      <c r="H1992" s="12">
        <v>3923</v>
      </c>
      <c r="I1992" s="4">
        <v>0</v>
      </c>
      <c r="J1992" s="4">
        <v>0</v>
      </c>
      <c r="K1992" s="4">
        <v>1667.7</v>
      </c>
      <c r="L1992" s="4">
        <v>0</v>
      </c>
      <c r="M1992" s="12" t="s">
        <v>571</v>
      </c>
      <c r="N1992" s="13">
        <f t="shared" si="50"/>
        <v>1667.7</v>
      </c>
    </row>
    <row r="1993" spans="1:14">
      <c r="A1993" s="12">
        <v>1992</v>
      </c>
      <c r="B1993" s="1" t="s">
        <v>3002</v>
      </c>
      <c r="C1993" s="42" t="s">
        <v>3003</v>
      </c>
      <c r="D1993" s="42" t="s">
        <v>3064</v>
      </c>
      <c r="E1993" s="42" t="s">
        <v>3065</v>
      </c>
      <c r="F1993" s="4">
        <v>4217</v>
      </c>
      <c r="G1993" s="47" t="s">
        <v>60</v>
      </c>
      <c r="H1993" s="12">
        <v>2006</v>
      </c>
      <c r="I1993" s="4">
        <v>0</v>
      </c>
      <c r="J1993" s="4">
        <v>0</v>
      </c>
      <c r="K1993" s="4">
        <v>451.8</v>
      </c>
      <c r="L1993" s="4">
        <v>0</v>
      </c>
      <c r="M1993" s="12" t="s">
        <v>571</v>
      </c>
      <c r="N1993" s="13">
        <f t="shared" si="50"/>
        <v>451.8</v>
      </c>
    </row>
    <row r="1994" spans="1:14">
      <c r="A1994" s="12">
        <v>1993</v>
      </c>
      <c r="B1994" s="1" t="s">
        <v>2724</v>
      </c>
      <c r="C1994" s="42" t="s">
        <v>2725</v>
      </c>
      <c r="D1994" s="42" t="s">
        <v>3066</v>
      </c>
      <c r="E1994" s="42" t="s">
        <v>3028</v>
      </c>
      <c r="F1994" s="4">
        <v>711552</v>
      </c>
      <c r="G1994" s="47" t="s">
        <v>60</v>
      </c>
      <c r="H1994" s="29" t="s">
        <v>1641</v>
      </c>
      <c r="I1994" s="4">
        <v>0</v>
      </c>
      <c r="J1994" s="4">
        <v>0</v>
      </c>
      <c r="K1994" s="4">
        <v>33883.440000000002</v>
      </c>
      <c r="L1994" s="4">
        <v>0</v>
      </c>
      <c r="M1994" s="12" t="s">
        <v>571</v>
      </c>
      <c r="N1994" s="13">
        <f t="shared" si="50"/>
        <v>33883.440000000002</v>
      </c>
    </row>
    <row r="1995" spans="1:14">
      <c r="A1995" s="12">
        <v>1994</v>
      </c>
      <c r="B1995" s="1" t="s">
        <v>1773</v>
      </c>
      <c r="C1995" s="42" t="s">
        <v>1774</v>
      </c>
      <c r="D1995" s="42" t="s">
        <v>3067</v>
      </c>
      <c r="E1995" s="42" t="s">
        <v>3048</v>
      </c>
      <c r="F1995" s="4">
        <v>336.43</v>
      </c>
      <c r="G1995" s="47" t="s">
        <v>570</v>
      </c>
      <c r="H1995" s="12">
        <v>997159</v>
      </c>
      <c r="I1995" s="4">
        <v>25.66</v>
      </c>
      <c r="J1995" s="4">
        <v>25.66</v>
      </c>
      <c r="K1995" s="4">
        <v>0</v>
      </c>
      <c r="L1995" s="4">
        <v>0</v>
      </c>
      <c r="M1995" s="12" t="s">
        <v>571</v>
      </c>
      <c r="N1995" s="13">
        <f t="shared" si="50"/>
        <v>51.32</v>
      </c>
    </row>
    <row r="1996" spans="1:14">
      <c r="A1996" s="12">
        <v>1995</v>
      </c>
      <c r="B1996" s="1" t="s">
        <v>2299</v>
      </c>
      <c r="C1996" s="42" t="s">
        <v>2300</v>
      </c>
      <c r="D1996" s="42" t="s">
        <v>1282</v>
      </c>
      <c r="E1996" s="42" t="s">
        <v>2580</v>
      </c>
      <c r="F1996" s="4">
        <v>87934</v>
      </c>
      <c r="G1996" s="47" t="s">
        <v>60</v>
      </c>
      <c r="H1996" s="12">
        <v>4514</v>
      </c>
      <c r="I1996" s="4">
        <v>0</v>
      </c>
      <c r="J1996" s="4">
        <v>0</v>
      </c>
      <c r="K1996" s="4">
        <v>13413.6</v>
      </c>
      <c r="L1996" s="4">
        <v>0</v>
      </c>
      <c r="M1996" s="12" t="s">
        <v>571</v>
      </c>
      <c r="N1996" s="13">
        <f t="shared" si="50"/>
        <v>13413.6</v>
      </c>
    </row>
    <row r="1997" spans="1:14">
      <c r="A1997" s="12">
        <v>1996</v>
      </c>
      <c r="B1997" s="1" t="s">
        <v>2299</v>
      </c>
      <c r="C1997" s="42" t="s">
        <v>2300</v>
      </c>
      <c r="D1997" s="42" t="s">
        <v>3068</v>
      </c>
      <c r="E1997" s="42" t="s">
        <v>2658</v>
      </c>
      <c r="F1997" s="4">
        <v>82071</v>
      </c>
      <c r="G1997" s="47" t="s">
        <v>60</v>
      </c>
      <c r="H1997" s="12">
        <v>4514</v>
      </c>
      <c r="I1997" s="4">
        <v>0</v>
      </c>
      <c r="J1997" s="4">
        <v>0</v>
      </c>
      <c r="K1997" s="4">
        <v>12519.36</v>
      </c>
      <c r="L1997" s="4">
        <v>0</v>
      </c>
      <c r="M1997" s="12" t="s">
        <v>571</v>
      </c>
      <c r="N1997" s="13">
        <f t="shared" si="50"/>
        <v>12519.36</v>
      </c>
    </row>
    <row r="1998" spans="1:14">
      <c r="A1998" s="12">
        <v>1997</v>
      </c>
      <c r="B1998" s="1" t="s">
        <v>3069</v>
      </c>
      <c r="C1998" s="42" t="s">
        <v>3070</v>
      </c>
      <c r="D1998" s="42" t="s">
        <v>1099</v>
      </c>
      <c r="E1998" s="42" t="s">
        <v>2887</v>
      </c>
      <c r="F1998" s="4">
        <v>11340</v>
      </c>
      <c r="G1998" s="47" t="s">
        <v>1772</v>
      </c>
      <c r="H1998" s="30" t="s">
        <v>3071</v>
      </c>
      <c r="I1998" s="4">
        <v>0</v>
      </c>
      <c r="J1998" s="4">
        <v>0</v>
      </c>
      <c r="K1998" s="4">
        <v>540</v>
      </c>
      <c r="L1998" s="4">
        <v>0</v>
      </c>
      <c r="M1998" s="12" t="s">
        <v>571</v>
      </c>
      <c r="N1998" s="13">
        <f t="shared" si="50"/>
        <v>540</v>
      </c>
    </row>
    <row r="1999" spans="1:14">
      <c r="A1999" s="12">
        <v>1998</v>
      </c>
      <c r="B1999" s="1" t="s">
        <v>1824</v>
      </c>
      <c r="C1999" s="42" t="s">
        <v>1825</v>
      </c>
      <c r="D1999" s="42" t="s">
        <v>3072</v>
      </c>
      <c r="E1999" s="42" t="s">
        <v>3048</v>
      </c>
      <c r="F1999" s="4">
        <v>172.12</v>
      </c>
      <c r="G1999" s="47" t="s">
        <v>570</v>
      </c>
      <c r="H1999" s="12">
        <v>997159</v>
      </c>
      <c r="I1999" s="4">
        <v>0</v>
      </c>
      <c r="J1999" s="4">
        <v>0</v>
      </c>
      <c r="K1999" s="4">
        <v>26.25</v>
      </c>
      <c r="L1999" s="4">
        <v>0</v>
      </c>
      <c r="M1999" s="12" t="s">
        <v>571</v>
      </c>
      <c r="N1999" s="13">
        <f t="shared" si="50"/>
        <v>26.25</v>
      </c>
    </row>
    <row r="2000" spans="1:14">
      <c r="A2000" s="12">
        <v>1999</v>
      </c>
      <c r="B2000" s="1" t="s">
        <v>1824</v>
      </c>
      <c r="C2000" s="42" t="s">
        <v>1825</v>
      </c>
      <c r="D2000" s="42" t="s">
        <v>3073</v>
      </c>
      <c r="E2000" s="42" t="s">
        <v>3048</v>
      </c>
      <c r="F2000" s="4">
        <v>1507.4</v>
      </c>
      <c r="G2000" s="47" t="s">
        <v>570</v>
      </c>
      <c r="H2000" s="12">
        <v>997159</v>
      </c>
      <c r="I2000" s="4">
        <v>0</v>
      </c>
      <c r="J2000" s="4">
        <v>0</v>
      </c>
      <c r="K2000" s="4">
        <v>229.89</v>
      </c>
      <c r="L2000" s="4">
        <v>0</v>
      </c>
      <c r="M2000" s="12" t="s">
        <v>571</v>
      </c>
      <c r="N2000" s="13">
        <f t="shared" si="50"/>
        <v>229.89</v>
      </c>
    </row>
    <row r="2001" spans="1:14">
      <c r="A2001" s="12">
        <v>2000</v>
      </c>
      <c r="B2001" s="1" t="s">
        <v>3074</v>
      </c>
      <c r="C2001" s="42" t="s">
        <v>3075</v>
      </c>
      <c r="D2001" s="42" t="s">
        <v>3076</v>
      </c>
      <c r="E2001" s="42" t="s">
        <v>1911</v>
      </c>
      <c r="F2001" s="4">
        <v>16520</v>
      </c>
      <c r="G2001" s="47" t="s">
        <v>1772</v>
      </c>
      <c r="H2001" s="12">
        <v>4817</v>
      </c>
      <c r="I2001" s="4">
        <v>1260</v>
      </c>
      <c r="J2001" s="4">
        <v>1260</v>
      </c>
      <c r="K2001" s="4">
        <v>0</v>
      </c>
      <c r="L2001" s="4">
        <v>0</v>
      </c>
      <c r="M2001" s="12" t="s">
        <v>571</v>
      </c>
      <c r="N2001" s="13">
        <f t="shared" ref="N2001:N2064" si="51">SUM(I2001:K2001)</f>
        <v>2520</v>
      </c>
    </row>
    <row r="2002" spans="1:14">
      <c r="A2002" s="12">
        <v>2001</v>
      </c>
      <c r="B2002" s="1" t="s">
        <v>3074</v>
      </c>
      <c r="C2002" s="42" t="s">
        <v>3075</v>
      </c>
      <c r="D2002" s="42" t="s">
        <v>3077</v>
      </c>
      <c r="E2002" s="42" t="s">
        <v>2318</v>
      </c>
      <c r="F2002" s="4">
        <v>42480</v>
      </c>
      <c r="G2002" s="47" t="s">
        <v>1772</v>
      </c>
      <c r="H2002" s="12">
        <v>4817</v>
      </c>
      <c r="I2002" s="4">
        <v>3240</v>
      </c>
      <c r="J2002" s="4">
        <v>3240</v>
      </c>
      <c r="K2002" s="4">
        <v>0</v>
      </c>
      <c r="L2002" s="4">
        <v>0</v>
      </c>
      <c r="M2002" s="12" t="s">
        <v>571</v>
      </c>
      <c r="N2002" s="13">
        <f t="shared" si="51"/>
        <v>6480</v>
      </c>
    </row>
    <row r="2003" spans="1:14">
      <c r="A2003" s="12">
        <v>2002</v>
      </c>
      <c r="B2003" s="1" t="s">
        <v>3078</v>
      </c>
      <c r="C2003" s="42" t="s">
        <v>532</v>
      </c>
      <c r="D2003" s="42" t="s">
        <v>3079</v>
      </c>
      <c r="E2003" s="42" t="s">
        <v>3020</v>
      </c>
      <c r="F2003" s="4">
        <v>999</v>
      </c>
      <c r="G2003" s="47" t="s">
        <v>570</v>
      </c>
      <c r="H2003" s="30" t="s">
        <v>3080</v>
      </c>
      <c r="I2003" s="4">
        <v>0</v>
      </c>
      <c r="J2003" s="4">
        <v>0</v>
      </c>
      <c r="K2003" s="4">
        <v>152.38999999999999</v>
      </c>
      <c r="L2003" s="4">
        <v>0</v>
      </c>
      <c r="M2003" s="12" t="s">
        <v>571</v>
      </c>
      <c r="N2003" s="13">
        <f t="shared" si="51"/>
        <v>152.38999999999999</v>
      </c>
    </row>
    <row r="2004" spans="1:14">
      <c r="A2004" s="12">
        <v>2003</v>
      </c>
      <c r="B2004" s="1" t="s">
        <v>1687</v>
      </c>
      <c r="C2004" s="42" t="s">
        <v>1688</v>
      </c>
      <c r="D2004" s="42" t="s">
        <v>3081</v>
      </c>
      <c r="E2004" s="42" t="s">
        <v>3082</v>
      </c>
      <c r="F2004" s="4">
        <v>8292</v>
      </c>
      <c r="G2004" s="47" t="s">
        <v>60</v>
      </c>
      <c r="H2004" s="12" t="s">
        <v>1641</v>
      </c>
      <c r="I2004" s="4">
        <v>197.43</v>
      </c>
      <c r="J2004" s="4">
        <v>197.43</v>
      </c>
      <c r="K2004" s="4">
        <v>0</v>
      </c>
      <c r="L2004" s="4">
        <v>0</v>
      </c>
      <c r="M2004" s="12" t="s">
        <v>571</v>
      </c>
      <c r="N2004" s="13">
        <f t="shared" si="51"/>
        <v>394.86</v>
      </c>
    </row>
    <row r="2005" spans="1:14">
      <c r="A2005" s="12">
        <v>2004</v>
      </c>
      <c r="B2005" s="1" t="s">
        <v>1687</v>
      </c>
      <c r="C2005" s="42" t="s">
        <v>1688</v>
      </c>
      <c r="D2005" s="42" t="s">
        <v>3083</v>
      </c>
      <c r="E2005" s="42" t="s">
        <v>3020</v>
      </c>
      <c r="F2005" s="4">
        <v>4492</v>
      </c>
      <c r="G2005" s="47" t="s">
        <v>60</v>
      </c>
      <c r="H2005" s="12" t="s">
        <v>1641</v>
      </c>
      <c r="I2005" s="4">
        <v>106.96</v>
      </c>
      <c r="J2005" s="4">
        <v>106.96</v>
      </c>
      <c r="K2005" s="4">
        <v>0</v>
      </c>
      <c r="L2005" s="4">
        <v>0</v>
      </c>
      <c r="M2005" s="12" t="s">
        <v>571</v>
      </c>
      <c r="N2005" s="13">
        <f t="shared" si="51"/>
        <v>213.92</v>
      </c>
    </row>
    <row r="2006" spans="1:14">
      <c r="A2006" s="12">
        <v>2005</v>
      </c>
      <c r="B2006" s="1" t="s">
        <v>1687</v>
      </c>
      <c r="C2006" s="42" t="s">
        <v>1688</v>
      </c>
      <c r="D2006" s="42" t="s">
        <v>3084</v>
      </c>
      <c r="E2006" s="42" t="s">
        <v>3059</v>
      </c>
      <c r="F2006" s="4">
        <v>4174</v>
      </c>
      <c r="G2006" s="47" t="s">
        <v>60</v>
      </c>
      <c r="H2006" s="12" t="s">
        <v>1641</v>
      </c>
      <c r="I2006" s="4">
        <v>99.38</v>
      </c>
      <c r="J2006" s="4">
        <v>99.38</v>
      </c>
      <c r="K2006" s="4">
        <v>0</v>
      </c>
      <c r="L2006" s="4">
        <v>0</v>
      </c>
      <c r="M2006" s="12" t="s">
        <v>571</v>
      </c>
      <c r="N2006" s="13">
        <f t="shared" si="51"/>
        <v>198.76</v>
      </c>
    </row>
    <row r="2007" spans="1:14">
      <c r="A2007" s="12">
        <v>2006</v>
      </c>
      <c r="B2007" s="1" t="s">
        <v>1687</v>
      </c>
      <c r="C2007" s="42" t="s">
        <v>1688</v>
      </c>
      <c r="D2007" s="42" t="s">
        <v>3085</v>
      </c>
      <c r="E2007" s="42" t="s">
        <v>3041</v>
      </c>
      <c r="F2007" s="4">
        <v>28437</v>
      </c>
      <c r="G2007" s="47" t="s">
        <v>60</v>
      </c>
      <c r="H2007" s="12" t="s">
        <v>1641</v>
      </c>
      <c r="I2007" s="4">
        <v>677.08</v>
      </c>
      <c r="J2007" s="4">
        <v>677.08</v>
      </c>
      <c r="K2007" s="4">
        <v>0</v>
      </c>
      <c r="L2007" s="4">
        <v>0</v>
      </c>
      <c r="M2007" s="12" t="s">
        <v>571</v>
      </c>
      <c r="N2007" s="13">
        <f t="shared" si="51"/>
        <v>1354.16</v>
      </c>
    </row>
    <row r="2008" spans="1:14">
      <c r="A2008" s="12">
        <v>2007</v>
      </c>
      <c r="B2008" s="1" t="s">
        <v>1687</v>
      </c>
      <c r="C2008" s="42" t="s">
        <v>1688</v>
      </c>
      <c r="D2008" s="42" t="s">
        <v>3086</v>
      </c>
      <c r="E2008" s="42" t="s">
        <v>3087</v>
      </c>
      <c r="F2008" s="4">
        <v>31838</v>
      </c>
      <c r="G2008" s="47" t="s">
        <v>60</v>
      </c>
      <c r="H2008" s="12" t="s">
        <v>1641</v>
      </c>
      <c r="I2008" s="4">
        <v>758.04</v>
      </c>
      <c r="J2008" s="4">
        <v>758.04</v>
      </c>
      <c r="K2008" s="4">
        <v>0</v>
      </c>
      <c r="L2008" s="4">
        <v>0</v>
      </c>
      <c r="M2008" s="12" t="s">
        <v>571</v>
      </c>
      <c r="N2008" s="13">
        <f t="shared" si="51"/>
        <v>1516.08</v>
      </c>
    </row>
    <row r="2009" spans="1:14">
      <c r="A2009" s="12">
        <v>2008</v>
      </c>
      <c r="B2009" s="1" t="s">
        <v>1687</v>
      </c>
      <c r="C2009" s="42" t="s">
        <v>1688</v>
      </c>
      <c r="D2009" s="42" t="s">
        <v>3088</v>
      </c>
      <c r="E2009" s="42" t="s">
        <v>3016</v>
      </c>
      <c r="F2009" s="4">
        <v>8626</v>
      </c>
      <c r="G2009" s="47" t="s">
        <v>60</v>
      </c>
      <c r="H2009" s="12" t="s">
        <v>1641</v>
      </c>
      <c r="I2009" s="4">
        <v>205.38</v>
      </c>
      <c r="J2009" s="4">
        <v>205.38</v>
      </c>
      <c r="K2009" s="4">
        <v>0</v>
      </c>
      <c r="L2009" s="4">
        <v>0</v>
      </c>
      <c r="M2009" s="12" t="s">
        <v>571</v>
      </c>
      <c r="N2009" s="13">
        <f t="shared" si="51"/>
        <v>410.76</v>
      </c>
    </row>
    <row r="2010" spans="1:14">
      <c r="A2010" s="12">
        <v>2009</v>
      </c>
      <c r="B2010" s="1" t="s">
        <v>1793</v>
      </c>
      <c r="C2010" s="42" t="s">
        <v>1794</v>
      </c>
      <c r="D2010" s="42" t="s">
        <v>3089</v>
      </c>
      <c r="E2010" s="42" t="s">
        <v>3048</v>
      </c>
      <c r="F2010" s="4">
        <v>77428.479999999996</v>
      </c>
      <c r="G2010" s="47" t="s">
        <v>570</v>
      </c>
      <c r="H2010" s="12">
        <v>996812</v>
      </c>
      <c r="I2010" s="4">
        <v>5905.56</v>
      </c>
      <c r="J2010" s="4">
        <v>5905.56</v>
      </c>
      <c r="K2010" s="4">
        <v>0</v>
      </c>
      <c r="L2010" s="4">
        <v>0</v>
      </c>
      <c r="M2010" s="12" t="s">
        <v>571</v>
      </c>
      <c r="N2010" s="13">
        <f t="shared" si="51"/>
        <v>11811.12</v>
      </c>
    </row>
    <row r="2011" spans="1:14">
      <c r="A2011" s="12">
        <v>2010</v>
      </c>
      <c r="B2011" s="1" t="s">
        <v>1793</v>
      </c>
      <c r="C2011" s="42" t="s">
        <v>1794</v>
      </c>
      <c r="D2011" s="42" t="s">
        <v>3090</v>
      </c>
      <c r="E2011" s="42" t="s">
        <v>3048</v>
      </c>
      <c r="F2011" s="4">
        <v>272536.36</v>
      </c>
      <c r="G2011" s="47" t="s">
        <v>570</v>
      </c>
      <c r="H2011" s="12">
        <v>996812</v>
      </c>
      <c r="I2011" s="4">
        <v>20786.669999999998</v>
      </c>
      <c r="J2011" s="4">
        <v>20786.669999999998</v>
      </c>
      <c r="K2011" s="4">
        <v>0</v>
      </c>
      <c r="L2011" s="4">
        <v>0</v>
      </c>
      <c r="M2011" s="12" t="s">
        <v>571</v>
      </c>
      <c r="N2011" s="13">
        <f t="shared" si="51"/>
        <v>41573.339999999997</v>
      </c>
    </row>
    <row r="2012" spans="1:14">
      <c r="A2012" s="12">
        <v>2011</v>
      </c>
      <c r="B2012" s="1" t="s">
        <v>805</v>
      </c>
      <c r="C2012" s="42" t="s">
        <v>806</v>
      </c>
      <c r="D2012" s="42" t="s">
        <v>3091</v>
      </c>
      <c r="E2012" s="42" t="s">
        <v>3048</v>
      </c>
      <c r="F2012" s="4">
        <v>14838.37</v>
      </c>
      <c r="G2012" s="47" t="s">
        <v>570</v>
      </c>
      <c r="H2012" s="12" t="s">
        <v>847</v>
      </c>
      <c r="I2012" s="4">
        <v>0</v>
      </c>
      <c r="J2012" s="4">
        <v>0</v>
      </c>
      <c r="K2012" s="4">
        <v>2263.4899999999998</v>
      </c>
      <c r="L2012" s="4">
        <v>0</v>
      </c>
      <c r="M2012" s="12" t="s">
        <v>571</v>
      </c>
      <c r="N2012" s="13">
        <f t="shared" si="51"/>
        <v>2263.4899999999998</v>
      </c>
    </row>
    <row r="2013" spans="1:14">
      <c r="A2013" s="12">
        <v>2012</v>
      </c>
      <c r="B2013" s="1" t="s">
        <v>1844</v>
      </c>
      <c r="C2013" s="42" t="s">
        <v>1845</v>
      </c>
      <c r="D2013" s="42" t="s">
        <v>3092</v>
      </c>
      <c r="E2013" s="42" t="s">
        <v>3048</v>
      </c>
      <c r="F2013" s="4">
        <v>1671.39</v>
      </c>
      <c r="G2013" s="47" t="s">
        <v>570</v>
      </c>
      <c r="H2013" s="12">
        <v>997158</v>
      </c>
      <c r="I2013" s="4">
        <v>0</v>
      </c>
      <c r="J2013" s="4">
        <v>0</v>
      </c>
      <c r="K2013" s="4">
        <v>0</v>
      </c>
      <c r="L2013" s="4">
        <v>0</v>
      </c>
      <c r="M2013" s="12" t="s">
        <v>571</v>
      </c>
      <c r="N2013" s="13">
        <f t="shared" si="51"/>
        <v>0</v>
      </c>
    </row>
    <row r="2014" spans="1:14">
      <c r="A2014" s="12">
        <v>2013</v>
      </c>
      <c r="B2014" s="1" t="s">
        <v>1844</v>
      </c>
      <c r="C2014" s="42" t="s">
        <v>1845</v>
      </c>
      <c r="D2014" s="42" t="s">
        <v>3092</v>
      </c>
      <c r="E2014" s="42" t="s">
        <v>3048</v>
      </c>
      <c r="F2014" s="4">
        <v>1671.39</v>
      </c>
      <c r="G2014" s="47" t="s">
        <v>570</v>
      </c>
      <c r="H2014" s="12">
        <v>997158</v>
      </c>
      <c r="I2014" s="4">
        <v>0</v>
      </c>
      <c r="J2014" s="4">
        <v>0</v>
      </c>
      <c r="K2014" s="4">
        <v>220.75</v>
      </c>
      <c r="L2014" s="4">
        <v>0</v>
      </c>
      <c r="M2014" s="12" t="s">
        <v>571</v>
      </c>
      <c r="N2014" s="13">
        <f t="shared" si="51"/>
        <v>220.75</v>
      </c>
    </row>
    <row r="2015" spans="1:14">
      <c r="A2015" s="12">
        <v>2014</v>
      </c>
      <c r="B2015" s="1" t="s">
        <v>1786</v>
      </c>
      <c r="C2015" s="42" t="s">
        <v>1787</v>
      </c>
      <c r="D2015" s="42" t="s">
        <v>3093</v>
      </c>
      <c r="E2015" s="42" t="s">
        <v>3087</v>
      </c>
      <c r="F2015" s="4">
        <v>17024</v>
      </c>
      <c r="G2015" s="47" t="s">
        <v>60</v>
      </c>
      <c r="H2015" s="12">
        <v>58079090</v>
      </c>
      <c r="I2015" s="4">
        <v>912</v>
      </c>
      <c r="J2015" s="4">
        <v>912</v>
      </c>
      <c r="K2015" s="4">
        <v>0</v>
      </c>
      <c r="L2015" s="4">
        <v>0</v>
      </c>
      <c r="M2015" s="12" t="s">
        <v>571</v>
      </c>
      <c r="N2015" s="13">
        <f t="shared" si="51"/>
        <v>1824</v>
      </c>
    </row>
    <row r="2016" spans="1:14">
      <c r="A2016" s="12">
        <v>2015</v>
      </c>
      <c r="B2016" s="1" t="s">
        <v>2108</v>
      </c>
      <c r="C2016" s="42" t="s">
        <v>2109</v>
      </c>
      <c r="D2016" s="42" t="s">
        <v>1502</v>
      </c>
      <c r="E2016" s="42" t="s">
        <v>3028</v>
      </c>
      <c r="F2016" s="4">
        <v>41300</v>
      </c>
      <c r="G2016" s="47" t="s">
        <v>60</v>
      </c>
      <c r="H2016" s="12">
        <v>7418</v>
      </c>
      <c r="I2016" s="4">
        <v>0</v>
      </c>
      <c r="J2016" s="4">
        <v>0</v>
      </c>
      <c r="K2016" s="4">
        <v>6300</v>
      </c>
      <c r="L2016" s="4">
        <v>0</v>
      </c>
      <c r="M2016" s="12" t="s">
        <v>571</v>
      </c>
      <c r="N2016" s="13">
        <f t="shared" si="51"/>
        <v>6300</v>
      </c>
    </row>
    <row r="2017" spans="1:14">
      <c r="A2017" s="12">
        <v>2016</v>
      </c>
      <c r="B2017" s="1" t="s">
        <v>2108</v>
      </c>
      <c r="C2017" s="42" t="s">
        <v>2109</v>
      </c>
      <c r="D2017" s="42" t="s">
        <v>1503</v>
      </c>
      <c r="E2017" s="42" t="s">
        <v>3020</v>
      </c>
      <c r="F2017" s="4">
        <v>48703</v>
      </c>
      <c r="G2017" s="47" t="s">
        <v>60</v>
      </c>
      <c r="H2017" s="12">
        <v>7418</v>
      </c>
      <c r="I2017" s="4">
        <v>0</v>
      </c>
      <c r="J2017" s="4">
        <v>0</v>
      </c>
      <c r="K2017" s="4">
        <v>7429.32</v>
      </c>
      <c r="L2017" s="4">
        <v>0</v>
      </c>
      <c r="M2017" s="12" t="s">
        <v>571</v>
      </c>
      <c r="N2017" s="13">
        <f t="shared" si="51"/>
        <v>7429.32</v>
      </c>
    </row>
    <row r="2018" spans="1:14">
      <c r="A2018" s="12">
        <v>2017</v>
      </c>
      <c r="B2018" s="1" t="s">
        <v>579</v>
      </c>
      <c r="C2018" s="42" t="s">
        <v>532</v>
      </c>
      <c r="D2018" s="42" t="s">
        <v>3094</v>
      </c>
      <c r="E2018" s="42" t="s">
        <v>3020</v>
      </c>
      <c r="F2018" s="4">
        <v>19399</v>
      </c>
      <c r="G2018" s="47" t="s">
        <v>570</v>
      </c>
      <c r="H2018" s="30" t="s">
        <v>3080</v>
      </c>
      <c r="I2018" s="4">
        <v>0</v>
      </c>
      <c r="J2018" s="4">
        <v>0</v>
      </c>
      <c r="K2018" s="4">
        <v>2959.17</v>
      </c>
      <c r="L2018" s="4">
        <v>0</v>
      </c>
      <c r="M2018" s="12" t="s">
        <v>571</v>
      </c>
      <c r="N2018" s="13">
        <f t="shared" si="51"/>
        <v>2959.17</v>
      </c>
    </row>
    <row r="2019" spans="1:14">
      <c r="A2019" s="12">
        <v>2018</v>
      </c>
      <c r="B2019" s="1" t="s">
        <v>2541</v>
      </c>
      <c r="C2019" s="42" t="s">
        <v>2542</v>
      </c>
      <c r="D2019" s="42" t="s">
        <v>3095</v>
      </c>
      <c r="E2019" s="42" t="s">
        <v>3024</v>
      </c>
      <c r="F2019" s="4">
        <v>26460</v>
      </c>
      <c r="G2019" s="47" t="s">
        <v>60</v>
      </c>
      <c r="H2019" s="12" t="s">
        <v>1700</v>
      </c>
      <c r="I2019" s="4">
        <v>0</v>
      </c>
      <c r="J2019" s="4">
        <v>0</v>
      </c>
      <c r="K2019" s="4">
        <v>1260</v>
      </c>
      <c r="L2019" s="4">
        <v>0</v>
      </c>
      <c r="M2019" s="12" t="s">
        <v>571</v>
      </c>
      <c r="N2019" s="13">
        <f t="shared" si="51"/>
        <v>1260</v>
      </c>
    </row>
    <row r="2020" spans="1:14">
      <c r="A2020" s="12">
        <v>2019</v>
      </c>
      <c r="B2020" s="1" t="s">
        <v>1759</v>
      </c>
      <c r="C2020" s="42" t="s">
        <v>1760</v>
      </c>
      <c r="D2020" s="42" t="s">
        <v>3096</v>
      </c>
      <c r="E2020" s="42" t="s">
        <v>3048</v>
      </c>
      <c r="F2020" s="4">
        <v>1982.4</v>
      </c>
      <c r="G2020" s="47" t="s">
        <v>570</v>
      </c>
      <c r="H2020" s="12">
        <v>997159</v>
      </c>
      <c r="I2020" s="4">
        <v>0</v>
      </c>
      <c r="J2020" s="4">
        <v>0</v>
      </c>
      <c r="K2020" s="4">
        <v>302.39999999999998</v>
      </c>
      <c r="L2020" s="4">
        <v>0</v>
      </c>
      <c r="M2020" s="12" t="s">
        <v>571</v>
      </c>
      <c r="N2020" s="13">
        <f t="shared" si="51"/>
        <v>302.39999999999998</v>
      </c>
    </row>
    <row r="2021" spans="1:14">
      <c r="A2021" s="12">
        <v>2020</v>
      </c>
      <c r="B2021" s="1" t="s">
        <v>1759</v>
      </c>
      <c r="C2021" s="42" t="s">
        <v>1760</v>
      </c>
      <c r="D2021" s="42" t="s">
        <v>3097</v>
      </c>
      <c r="E2021" s="42" t="s">
        <v>3048</v>
      </c>
      <c r="F2021" s="4">
        <v>7138.33</v>
      </c>
      <c r="G2021" s="47" t="s">
        <v>570</v>
      </c>
      <c r="H2021" s="12">
        <v>997159</v>
      </c>
      <c r="I2021" s="4">
        <v>0</v>
      </c>
      <c r="J2021" s="4">
        <v>0</v>
      </c>
      <c r="K2021" s="4">
        <v>1088.9000000000001</v>
      </c>
      <c r="L2021" s="4">
        <v>0</v>
      </c>
      <c r="M2021" s="12" t="s">
        <v>571</v>
      </c>
      <c r="N2021" s="13">
        <f t="shared" si="51"/>
        <v>1088.9000000000001</v>
      </c>
    </row>
    <row r="2022" spans="1:14">
      <c r="A2022" s="12">
        <v>2021</v>
      </c>
      <c r="B2022" s="1" t="s">
        <v>1766</v>
      </c>
      <c r="C2022" s="42" t="s">
        <v>1767</v>
      </c>
      <c r="D2022" s="42" t="s">
        <v>3098</v>
      </c>
      <c r="E2022" s="42" t="s">
        <v>3087</v>
      </c>
      <c r="F2022" s="4">
        <v>128.57</v>
      </c>
      <c r="G2022" s="47" t="s">
        <v>570</v>
      </c>
      <c r="H2022" s="12">
        <v>996511</v>
      </c>
      <c r="I2022" s="4">
        <v>0</v>
      </c>
      <c r="J2022" s="4">
        <v>0</v>
      </c>
      <c r="K2022" s="4">
        <v>19.61</v>
      </c>
      <c r="L2022" s="4">
        <v>0</v>
      </c>
      <c r="M2022" s="12" t="s">
        <v>571</v>
      </c>
      <c r="N2022" s="13">
        <f t="shared" si="51"/>
        <v>19.61</v>
      </c>
    </row>
    <row r="2023" spans="1:14">
      <c r="A2023" s="12">
        <v>2022</v>
      </c>
      <c r="B2023" s="1" t="s">
        <v>1766</v>
      </c>
      <c r="C2023" s="42" t="s">
        <v>1767</v>
      </c>
      <c r="D2023" s="42" t="s">
        <v>3099</v>
      </c>
      <c r="E2023" s="42" t="s">
        <v>3087</v>
      </c>
      <c r="F2023" s="4">
        <v>12975</v>
      </c>
      <c r="G2023" s="47" t="s">
        <v>570</v>
      </c>
      <c r="H2023" s="12">
        <v>996511</v>
      </c>
      <c r="I2023" s="4">
        <v>0</v>
      </c>
      <c r="J2023" s="4">
        <v>0</v>
      </c>
      <c r="K2023" s="4">
        <v>1979.24</v>
      </c>
      <c r="L2023" s="4">
        <v>0</v>
      </c>
      <c r="M2023" s="12" t="s">
        <v>571</v>
      </c>
      <c r="N2023" s="13">
        <f t="shared" si="51"/>
        <v>1979.24</v>
      </c>
    </row>
    <row r="2024" spans="1:14">
      <c r="A2024" s="12">
        <v>2023</v>
      </c>
      <c r="B2024" s="1" t="s">
        <v>3100</v>
      </c>
      <c r="C2024" s="42" t="s">
        <v>3101</v>
      </c>
      <c r="D2024" s="42" t="s">
        <v>3102</v>
      </c>
      <c r="E2024" s="42" t="s">
        <v>3029</v>
      </c>
      <c r="F2024" s="4">
        <v>1674</v>
      </c>
      <c r="G2024" s="47" t="s">
        <v>60</v>
      </c>
      <c r="H2024" s="12">
        <v>4514</v>
      </c>
      <c r="I2024" s="4">
        <v>89.7</v>
      </c>
      <c r="J2024" s="4">
        <v>89.7</v>
      </c>
      <c r="K2024" s="4">
        <v>0</v>
      </c>
      <c r="L2024" s="4">
        <v>0</v>
      </c>
      <c r="M2024" s="12" t="s">
        <v>571</v>
      </c>
      <c r="N2024" s="13">
        <f t="shared" si="51"/>
        <v>179.4</v>
      </c>
    </row>
    <row r="2025" spans="1:14">
      <c r="A2025" s="12">
        <v>2024</v>
      </c>
      <c r="B2025" s="1" t="s">
        <v>3103</v>
      </c>
      <c r="C2025" s="42" t="s">
        <v>3104</v>
      </c>
      <c r="D2025" s="42" t="s">
        <v>3105</v>
      </c>
      <c r="E2025" s="42" t="s">
        <v>3106</v>
      </c>
      <c r="F2025" s="4">
        <v>21240</v>
      </c>
      <c r="G2025" s="47" t="s">
        <v>570</v>
      </c>
      <c r="H2025" s="12">
        <v>998713</v>
      </c>
      <c r="I2025" s="4">
        <v>1620</v>
      </c>
      <c r="J2025" s="4">
        <v>1620</v>
      </c>
      <c r="K2025" s="4">
        <v>0</v>
      </c>
      <c r="L2025" s="4">
        <v>0</v>
      </c>
      <c r="M2025" s="12" t="s">
        <v>571</v>
      </c>
      <c r="N2025" s="13">
        <f t="shared" si="51"/>
        <v>3240</v>
      </c>
    </row>
    <row r="2026" spans="1:14">
      <c r="A2026" s="12">
        <v>2025</v>
      </c>
      <c r="B2026" s="1" t="s">
        <v>3103</v>
      </c>
      <c r="C2026" s="42" t="s">
        <v>3104</v>
      </c>
      <c r="D2026" s="42" t="s">
        <v>3107</v>
      </c>
      <c r="E2026" s="42" t="s">
        <v>3106</v>
      </c>
      <c r="F2026" s="4">
        <v>9558</v>
      </c>
      <c r="G2026" s="47" t="s">
        <v>570</v>
      </c>
      <c r="H2026" s="12">
        <v>998713</v>
      </c>
      <c r="I2026" s="4">
        <v>729</v>
      </c>
      <c r="J2026" s="4">
        <v>729</v>
      </c>
      <c r="K2026" s="4">
        <v>0</v>
      </c>
      <c r="L2026" s="4">
        <v>0</v>
      </c>
      <c r="M2026" s="12" t="s">
        <v>571</v>
      </c>
      <c r="N2026" s="13">
        <f t="shared" si="51"/>
        <v>1458</v>
      </c>
    </row>
    <row r="2027" spans="1:14">
      <c r="A2027" s="12">
        <v>2026</v>
      </c>
      <c r="B2027" s="1" t="s">
        <v>3108</v>
      </c>
      <c r="C2027" s="42" t="s">
        <v>3109</v>
      </c>
      <c r="D2027" s="42" t="s">
        <v>3110</v>
      </c>
      <c r="E2027" s="42" t="s">
        <v>3111</v>
      </c>
      <c r="F2027" s="4">
        <v>11682</v>
      </c>
      <c r="G2027" s="47" t="s">
        <v>570</v>
      </c>
      <c r="H2027" s="12">
        <v>998319</v>
      </c>
      <c r="I2027" s="4">
        <v>0</v>
      </c>
      <c r="J2027" s="4">
        <v>0</v>
      </c>
      <c r="K2027" s="4">
        <v>1782</v>
      </c>
      <c r="L2027" s="4">
        <v>0</v>
      </c>
      <c r="M2027" s="12" t="s">
        <v>571</v>
      </c>
      <c r="N2027" s="13">
        <f t="shared" si="51"/>
        <v>1782</v>
      </c>
    </row>
    <row r="2028" spans="1:14">
      <c r="A2028" s="12">
        <v>2027</v>
      </c>
      <c r="B2028" s="1" t="s">
        <v>3112</v>
      </c>
      <c r="C2028" s="42" t="s">
        <v>3113</v>
      </c>
      <c r="D2028" s="42" t="s">
        <v>3114</v>
      </c>
      <c r="E2028" s="42" t="s">
        <v>3026</v>
      </c>
      <c r="F2028" s="4">
        <v>9702</v>
      </c>
      <c r="G2028" s="47" t="s">
        <v>60</v>
      </c>
      <c r="H2028" s="12" t="s">
        <v>1806</v>
      </c>
      <c r="I2028" s="4">
        <v>0</v>
      </c>
      <c r="J2028" s="4">
        <v>0</v>
      </c>
      <c r="K2028" s="4">
        <v>462</v>
      </c>
      <c r="L2028" s="4">
        <v>0</v>
      </c>
      <c r="M2028" s="12" t="s">
        <v>571</v>
      </c>
      <c r="N2028" s="13">
        <f t="shared" si="51"/>
        <v>462</v>
      </c>
    </row>
    <row r="2029" spans="1:14">
      <c r="A2029" s="12">
        <v>2028</v>
      </c>
      <c r="B2029" s="1" t="s">
        <v>1740</v>
      </c>
      <c r="C2029" s="42" t="s">
        <v>1741</v>
      </c>
      <c r="D2029" s="42" t="s">
        <v>3115</v>
      </c>
      <c r="E2029" s="42" t="s">
        <v>3116</v>
      </c>
      <c r="F2029" s="4">
        <v>8263</v>
      </c>
      <c r="G2029" s="47" t="s">
        <v>60</v>
      </c>
      <c r="H2029" s="12" t="s">
        <v>1700</v>
      </c>
      <c r="I2029" s="4">
        <v>0</v>
      </c>
      <c r="J2029" s="4">
        <v>0</v>
      </c>
      <c r="K2029" s="4">
        <v>393.45</v>
      </c>
      <c r="L2029" s="4">
        <v>0</v>
      </c>
      <c r="M2029" s="12" t="s">
        <v>571</v>
      </c>
      <c r="N2029" s="13">
        <f t="shared" si="51"/>
        <v>393.45</v>
      </c>
    </row>
    <row r="2030" spans="1:14">
      <c r="A2030" s="12">
        <v>2029</v>
      </c>
      <c r="B2030" s="1" t="s">
        <v>1740</v>
      </c>
      <c r="C2030" s="42" t="s">
        <v>1741</v>
      </c>
      <c r="D2030" s="42" t="s">
        <v>3117</v>
      </c>
      <c r="E2030" s="42" t="s">
        <v>3032</v>
      </c>
      <c r="F2030" s="4">
        <v>32475</v>
      </c>
      <c r="G2030" s="47" t="s">
        <v>60</v>
      </c>
      <c r="H2030" s="12" t="s">
        <v>1700</v>
      </c>
      <c r="I2030" s="4">
        <v>0</v>
      </c>
      <c r="J2030" s="4">
        <v>0</v>
      </c>
      <c r="K2030" s="4">
        <v>1546.43</v>
      </c>
      <c r="L2030" s="4">
        <v>0</v>
      </c>
      <c r="M2030" s="12" t="s">
        <v>571</v>
      </c>
      <c r="N2030" s="13">
        <f t="shared" si="51"/>
        <v>1546.43</v>
      </c>
    </row>
    <row r="2031" spans="1:14">
      <c r="A2031" s="12">
        <v>2030</v>
      </c>
      <c r="B2031" s="1" t="s">
        <v>1737</v>
      </c>
      <c r="C2031" s="42" t="s">
        <v>1738</v>
      </c>
      <c r="D2031" s="42" t="s">
        <v>3118</v>
      </c>
      <c r="E2031" s="42" t="s">
        <v>3016</v>
      </c>
      <c r="F2031" s="4">
        <v>10620</v>
      </c>
      <c r="G2031" s="47" t="s">
        <v>60</v>
      </c>
      <c r="H2031" s="12">
        <v>4911</v>
      </c>
      <c r="I2031" s="4">
        <v>810</v>
      </c>
      <c r="J2031" s="4">
        <v>810</v>
      </c>
      <c r="K2031" s="4">
        <v>0</v>
      </c>
      <c r="L2031" s="4">
        <v>0</v>
      </c>
      <c r="M2031" s="12" t="s">
        <v>571</v>
      </c>
      <c r="N2031" s="13">
        <f t="shared" si="51"/>
        <v>1620</v>
      </c>
    </row>
    <row r="2032" spans="1:14">
      <c r="A2032" s="12">
        <v>2031</v>
      </c>
      <c r="B2032" s="1" t="s">
        <v>1637</v>
      </c>
      <c r="C2032" s="42" t="s">
        <v>1638</v>
      </c>
      <c r="D2032" s="42" t="s">
        <v>3119</v>
      </c>
      <c r="E2032" s="42" t="s">
        <v>3082</v>
      </c>
      <c r="F2032" s="4">
        <v>13050.8</v>
      </c>
      <c r="G2032" s="47" t="s">
        <v>60</v>
      </c>
      <c r="H2032" s="12">
        <v>7310</v>
      </c>
      <c r="I2032" s="4">
        <v>0</v>
      </c>
      <c r="J2032" s="4">
        <v>0</v>
      </c>
      <c r="K2032" s="4">
        <v>1990.8</v>
      </c>
      <c r="L2032" s="4">
        <v>0</v>
      </c>
      <c r="M2032" s="12" t="s">
        <v>571</v>
      </c>
      <c r="N2032" s="13">
        <f t="shared" si="51"/>
        <v>1990.8</v>
      </c>
    </row>
    <row r="2033" spans="1:14">
      <c r="A2033" s="12">
        <v>2032</v>
      </c>
      <c r="B2033" s="1" t="s">
        <v>1637</v>
      </c>
      <c r="C2033" s="42" t="s">
        <v>1638</v>
      </c>
      <c r="D2033" s="42" t="s">
        <v>3120</v>
      </c>
      <c r="E2033" s="42" t="s">
        <v>3082</v>
      </c>
      <c r="F2033" s="4">
        <v>36003.980000000003</v>
      </c>
      <c r="G2033" s="47" t="s">
        <v>60</v>
      </c>
      <c r="H2033" s="12" t="s">
        <v>1641</v>
      </c>
      <c r="I2033" s="4">
        <v>0</v>
      </c>
      <c r="J2033" s="4">
        <v>0</v>
      </c>
      <c r="K2033" s="4">
        <v>1714.48</v>
      </c>
      <c r="L2033" s="4">
        <v>0</v>
      </c>
      <c r="M2033" s="12" t="s">
        <v>571</v>
      </c>
      <c r="N2033" s="13">
        <f t="shared" si="51"/>
        <v>1714.48</v>
      </c>
    </row>
    <row r="2034" spans="1:14">
      <c r="A2034" s="12">
        <v>2033</v>
      </c>
      <c r="B2034" s="1" t="s">
        <v>1637</v>
      </c>
      <c r="C2034" s="42" t="s">
        <v>1638</v>
      </c>
      <c r="D2034" s="42" t="s">
        <v>3121</v>
      </c>
      <c r="E2034" s="42" t="s">
        <v>3065</v>
      </c>
      <c r="F2034" s="4">
        <v>49728</v>
      </c>
      <c r="G2034" s="47" t="s">
        <v>60</v>
      </c>
      <c r="H2034" s="12" t="s">
        <v>1641</v>
      </c>
      <c r="I2034" s="4">
        <v>0</v>
      </c>
      <c r="J2034" s="4">
        <v>0</v>
      </c>
      <c r="K2034" s="4">
        <v>2368</v>
      </c>
      <c r="L2034" s="4">
        <v>0</v>
      </c>
      <c r="M2034" s="12" t="s">
        <v>571</v>
      </c>
      <c r="N2034" s="13">
        <f t="shared" si="51"/>
        <v>2368</v>
      </c>
    </row>
    <row r="2035" spans="1:14">
      <c r="A2035" s="12">
        <v>2034</v>
      </c>
      <c r="B2035" s="1" t="s">
        <v>1637</v>
      </c>
      <c r="C2035" s="42" t="s">
        <v>1638</v>
      </c>
      <c r="D2035" s="42" t="s">
        <v>3122</v>
      </c>
      <c r="E2035" s="42" t="s">
        <v>3123</v>
      </c>
      <c r="F2035" s="4">
        <v>12095</v>
      </c>
      <c r="G2035" s="47" t="s">
        <v>60</v>
      </c>
      <c r="H2035" s="12">
        <v>7323</v>
      </c>
      <c r="I2035" s="4">
        <v>0</v>
      </c>
      <c r="J2035" s="4">
        <v>0</v>
      </c>
      <c r="K2035" s="4">
        <v>1845</v>
      </c>
      <c r="L2035" s="4">
        <v>0</v>
      </c>
      <c r="M2035" s="12" t="s">
        <v>571</v>
      </c>
      <c r="N2035" s="13">
        <f t="shared" si="51"/>
        <v>1845</v>
      </c>
    </row>
    <row r="2036" spans="1:14">
      <c r="A2036" s="12">
        <v>2035</v>
      </c>
      <c r="B2036" s="1" t="s">
        <v>1637</v>
      </c>
      <c r="C2036" s="42" t="s">
        <v>1638</v>
      </c>
      <c r="D2036" s="42" t="s">
        <v>3124</v>
      </c>
      <c r="E2036" s="42" t="s">
        <v>3123</v>
      </c>
      <c r="F2036" s="4">
        <v>35076.71</v>
      </c>
      <c r="G2036" s="47" t="s">
        <v>60</v>
      </c>
      <c r="H2036" s="12" t="s">
        <v>1641</v>
      </c>
      <c r="I2036" s="4">
        <v>0</v>
      </c>
      <c r="J2036" s="4">
        <v>0</v>
      </c>
      <c r="K2036" s="4">
        <v>1670.32</v>
      </c>
      <c r="L2036" s="4">
        <v>0</v>
      </c>
      <c r="M2036" s="12" t="s">
        <v>571</v>
      </c>
      <c r="N2036" s="13">
        <f t="shared" si="51"/>
        <v>1670.32</v>
      </c>
    </row>
    <row r="2037" spans="1:14">
      <c r="A2037" s="12">
        <v>2036</v>
      </c>
      <c r="B2037" s="1" t="s">
        <v>1637</v>
      </c>
      <c r="C2037" s="42" t="s">
        <v>1638</v>
      </c>
      <c r="D2037" s="42" t="s">
        <v>3125</v>
      </c>
      <c r="E2037" s="42" t="s">
        <v>3123</v>
      </c>
      <c r="F2037" s="4">
        <v>2360</v>
      </c>
      <c r="G2037" s="47" t="s">
        <v>60</v>
      </c>
      <c r="H2037" s="12">
        <v>4819</v>
      </c>
      <c r="I2037" s="4">
        <v>0</v>
      </c>
      <c r="J2037" s="4">
        <v>0</v>
      </c>
      <c r="K2037" s="4">
        <v>360</v>
      </c>
      <c r="L2037" s="4">
        <v>0</v>
      </c>
      <c r="M2037" s="12" t="s">
        <v>571</v>
      </c>
      <c r="N2037" s="13">
        <f t="shared" si="51"/>
        <v>360</v>
      </c>
    </row>
    <row r="2038" spans="1:14">
      <c r="A2038" s="12">
        <v>2037</v>
      </c>
      <c r="B2038" s="1" t="s">
        <v>1637</v>
      </c>
      <c r="C2038" s="42" t="s">
        <v>1638</v>
      </c>
      <c r="D2038" s="42" t="s">
        <v>3126</v>
      </c>
      <c r="E2038" s="42" t="s">
        <v>3057</v>
      </c>
      <c r="F2038" s="4">
        <v>11182.5</v>
      </c>
      <c r="G2038" s="47" t="s">
        <v>60</v>
      </c>
      <c r="H2038" s="12" t="s">
        <v>1641</v>
      </c>
      <c r="I2038" s="4">
        <v>0</v>
      </c>
      <c r="J2038" s="4">
        <v>0</v>
      </c>
      <c r="K2038" s="4">
        <v>532.5</v>
      </c>
      <c r="L2038" s="4">
        <v>0</v>
      </c>
      <c r="M2038" s="12" t="s">
        <v>571</v>
      </c>
      <c r="N2038" s="13">
        <f t="shared" si="51"/>
        <v>532.5</v>
      </c>
    </row>
    <row r="2039" spans="1:14">
      <c r="A2039" s="12">
        <v>2038</v>
      </c>
      <c r="B2039" s="1" t="s">
        <v>1637</v>
      </c>
      <c r="C2039" s="42" t="s">
        <v>1638</v>
      </c>
      <c r="D2039" s="42" t="s">
        <v>3127</v>
      </c>
      <c r="E2039" s="42" t="s">
        <v>3057</v>
      </c>
      <c r="F2039" s="4">
        <v>1083.24</v>
      </c>
      <c r="G2039" s="47" t="s">
        <v>60</v>
      </c>
      <c r="H2039" s="12">
        <v>3923</v>
      </c>
      <c r="I2039" s="4">
        <v>0</v>
      </c>
      <c r="J2039" s="4">
        <v>0</v>
      </c>
      <c r="K2039" s="4">
        <v>165.24</v>
      </c>
      <c r="L2039" s="4">
        <v>0</v>
      </c>
      <c r="M2039" s="12" t="s">
        <v>571</v>
      </c>
      <c r="N2039" s="13">
        <f t="shared" si="51"/>
        <v>165.24</v>
      </c>
    </row>
    <row r="2040" spans="1:14">
      <c r="A2040" s="12">
        <v>2039</v>
      </c>
      <c r="B2040" s="1" t="s">
        <v>1637</v>
      </c>
      <c r="C2040" s="42" t="s">
        <v>1638</v>
      </c>
      <c r="D2040" s="42" t="s">
        <v>3128</v>
      </c>
      <c r="E2040" s="42" t="s">
        <v>3057</v>
      </c>
      <c r="F2040" s="4">
        <v>11605.65</v>
      </c>
      <c r="G2040" s="47" t="s">
        <v>60</v>
      </c>
      <c r="H2040" s="12" t="s">
        <v>1641</v>
      </c>
      <c r="I2040" s="4">
        <v>0</v>
      </c>
      <c r="J2040" s="4">
        <v>0</v>
      </c>
      <c r="K2040" s="4">
        <v>552.65</v>
      </c>
      <c r="L2040" s="4">
        <v>0</v>
      </c>
      <c r="M2040" s="12" t="s">
        <v>571</v>
      </c>
      <c r="N2040" s="13">
        <f t="shared" si="51"/>
        <v>552.65</v>
      </c>
    </row>
    <row r="2041" spans="1:14">
      <c r="A2041" s="12">
        <v>2040</v>
      </c>
      <c r="B2041" s="1" t="s">
        <v>1637</v>
      </c>
      <c r="C2041" s="42" t="s">
        <v>1638</v>
      </c>
      <c r="D2041" s="42" t="s">
        <v>3129</v>
      </c>
      <c r="E2041" s="42" t="s">
        <v>3028</v>
      </c>
      <c r="F2041" s="4">
        <v>25573.8</v>
      </c>
      <c r="G2041" s="47" t="s">
        <v>60</v>
      </c>
      <c r="H2041" s="12" t="s">
        <v>1641</v>
      </c>
      <c r="I2041" s="4">
        <v>0</v>
      </c>
      <c r="J2041" s="4">
        <v>0</v>
      </c>
      <c r="K2041" s="4">
        <v>1217.8</v>
      </c>
      <c r="L2041" s="4">
        <v>0</v>
      </c>
      <c r="M2041" s="12" t="s">
        <v>571</v>
      </c>
      <c r="N2041" s="13">
        <f t="shared" si="51"/>
        <v>1217.8</v>
      </c>
    </row>
    <row r="2042" spans="1:14">
      <c r="A2042" s="12">
        <v>2041</v>
      </c>
      <c r="B2042" s="1" t="s">
        <v>1637</v>
      </c>
      <c r="C2042" s="42" t="s">
        <v>1638</v>
      </c>
      <c r="D2042" s="42" t="s">
        <v>3130</v>
      </c>
      <c r="E2042" s="42" t="s">
        <v>3059</v>
      </c>
      <c r="F2042" s="4">
        <v>20301.75</v>
      </c>
      <c r="G2042" s="47" t="s">
        <v>60</v>
      </c>
      <c r="H2042" s="12" t="s">
        <v>1641</v>
      </c>
      <c r="I2042" s="4">
        <v>0</v>
      </c>
      <c r="J2042" s="4">
        <v>0</v>
      </c>
      <c r="K2042" s="4">
        <v>966.75</v>
      </c>
      <c r="L2042" s="4">
        <v>0</v>
      </c>
      <c r="M2042" s="12" t="s">
        <v>571</v>
      </c>
      <c r="N2042" s="13">
        <f t="shared" si="51"/>
        <v>966.75</v>
      </c>
    </row>
    <row r="2043" spans="1:14">
      <c r="A2043" s="12">
        <v>2042</v>
      </c>
      <c r="B2043" s="1" t="s">
        <v>1637</v>
      </c>
      <c r="C2043" s="42" t="s">
        <v>1638</v>
      </c>
      <c r="D2043" s="42" t="s">
        <v>3131</v>
      </c>
      <c r="E2043" s="42" t="s">
        <v>3059</v>
      </c>
      <c r="F2043" s="4">
        <v>12065.5</v>
      </c>
      <c r="G2043" s="47" t="s">
        <v>60</v>
      </c>
      <c r="H2043" s="12">
        <v>7323</v>
      </c>
      <c r="I2043" s="4">
        <v>0</v>
      </c>
      <c r="J2043" s="4">
        <v>0</v>
      </c>
      <c r="K2043" s="4">
        <v>1840.5</v>
      </c>
      <c r="L2043" s="4">
        <v>0</v>
      </c>
      <c r="M2043" s="12" t="s">
        <v>571</v>
      </c>
      <c r="N2043" s="13">
        <f t="shared" si="51"/>
        <v>1840.5</v>
      </c>
    </row>
    <row r="2044" spans="1:14">
      <c r="A2044" s="12">
        <v>2043</v>
      </c>
      <c r="B2044" s="1" t="s">
        <v>1637</v>
      </c>
      <c r="C2044" s="42" t="s">
        <v>1638</v>
      </c>
      <c r="D2044" s="42" t="s">
        <v>3132</v>
      </c>
      <c r="E2044" s="42" t="s">
        <v>3059</v>
      </c>
      <c r="F2044" s="4">
        <v>386400</v>
      </c>
      <c r="G2044" s="47" t="s">
        <v>60</v>
      </c>
      <c r="H2044" s="12" t="s">
        <v>1641</v>
      </c>
      <c r="I2044" s="4">
        <v>0</v>
      </c>
      <c r="J2044" s="4">
        <v>0</v>
      </c>
      <c r="K2044" s="4">
        <v>18400</v>
      </c>
      <c r="L2044" s="4">
        <v>0</v>
      </c>
      <c r="M2044" s="12" t="s">
        <v>571</v>
      </c>
      <c r="N2044" s="13">
        <f t="shared" si="51"/>
        <v>18400</v>
      </c>
    </row>
    <row r="2045" spans="1:14">
      <c r="A2045" s="12">
        <v>2044</v>
      </c>
      <c r="B2045" s="1" t="s">
        <v>1637</v>
      </c>
      <c r="C2045" s="42" t="s">
        <v>1638</v>
      </c>
      <c r="D2045" s="42" t="s">
        <v>3133</v>
      </c>
      <c r="E2045" s="42" t="s">
        <v>3029</v>
      </c>
      <c r="F2045" s="4">
        <v>1083.24</v>
      </c>
      <c r="G2045" s="47" t="s">
        <v>60</v>
      </c>
      <c r="H2045" s="12">
        <v>3923</v>
      </c>
      <c r="I2045" s="4">
        <v>0</v>
      </c>
      <c r="J2045" s="4">
        <v>0</v>
      </c>
      <c r="K2045" s="4">
        <v>165.24</v>
      </c>
      <c r="L2045" s="4">
        <v>0</v>
      </c>
      <c r="M2045" s="12" t="s">
        <v>571</v>
      </c>
      <c r="N2045" s="13">
        <f t="shared" si="51"/>
        <v>165.24</v>
      </c>
    </row>
    <row r="2046" spans="1:14">
      <c r="A2046" s="12">
        <v>2045</v>
      </c>
      <c r="B2046" s="1" t="s">
        <v>1637</v>
      </c>
      <c r="C2046" s="42" t="s">
        <v>1638</v>
      </c>
      <c r="D2046" s="42" t="s">
        <v>3134</v>
      </c>
      <c r="E2046" s="42" t="s">
        <v>3029</v>
      </c>
      <c r="F2046" s="4">
        <v>14831.25</v>
      </c>
      <c r="G2046" s="47" t="s">
        <v>60</v>
      </c>
      <c r="H2046" s="12" t="s">
        <v>1641</v>
      </c>
      <c r="I2046" s="4">
        <v>0</v>
      </c>
      <c r="J2046" s="4">
        <v>0</v>
      </c>
      <c r="K2046" s="4">
        <v>706.25</v>
      </c>
      <c r="L2046" s="4">
        <v>0</v>
      </c>
      <c r="M2046" s="12" t="s">
        <v>571</v>
      </c>
      <c r="N2046" s="13">
        <f t="shared" si="51"/>
        <v>706.25</v>
      </c>
    </row>
    <row r="2047" spans="1:14">
      <c r="A2047" s="12">
        <v>2046</v>
      </c>
      <c r="B2047" s="1" t="s">
        <v>1637</v>
      </c>
      <c r="C2047" s="42" t="s">
        <v>1638</v>
      </c>
      <c r="D2047" s="42" t="s">
        <v>3135</v>
      </c>
      <c r="E2047" s="42" t="s">
        <v>3136</v>
      </c>
      <c r="F2047" s="4">
        <v>49507.5</v>
      </c>
      <c r="G2047" s="47" t="s">
        <v>60</v>
      </c>
      <c r="H2047" s="12" t="s">
        <v>1641</v>
      </c>
      <c r="I2047" s="4">
        <v>0</v>
      </c>
      <c r="J2047" s="4">
        <v>0</v>
      </c>
      <c r="K2047" s="4">
        <v>2357.5</v>
      </c>
      <c r="L2047" s="4">
        <v>0</v>
      </c>
      <c r="M2047" s="12" t="s">
        <v>571</v>
      </c>
      <c r="N2047" s="13">
        <f t="shared" si="51"/>
        <v>2357.5</v>
      </c>
    </row>
    <row r="2048" spans="1:14">
      <c r="A2048" s="12">
        <v>2047</v>
      </c>
      <c r="B2048" s="1" t="s">
        <v>1637</v>
      </c>
      <c r="C2048" s="42" t="s">
        <v>1638</v>
      </c>
      <c r="D2048" s="42" t="s">
        <v>3137</v>
      </c>
      <c r="E2048" s="42" t="s">
        <v>3106</v>
      </c>
      <c r="F2048" s="4">
        <v>49235.97</v>
      </c>
      <c r="G2048" s="47" t="s">
        <v>60</v>
      </c>
      <c r="H2048" s="12" t="s">
        <v>1641</v>
      </c>
      <c r="I2048" s="4">
        <v>0</v>
      </c>
      <c r="J2048" s="4">
        <v>0</v>
      </c>
      <c r="K2048" s="4">
        <v>2344.5700000000002</v>
      </c>
      <c r="L2048" s="4">
        <v>0</v>
      </c>
      <c r="M2048" s="12" t="s">
        <v>571</v>
      </c>
      <c r="N2048" s="13">
        <f t="shared" si="51"/>
        <v>2344.5700000000002</v>
      </c>
    </row>
    <row r="2049" spans="1:14">
      <c r="A2049" s="12">
        <v>2048</v>
      </c>
      <c r="B2049" s="1" t="s">
        <v>1637</v>
      </c>
      <c r="C2049" s="42" t="s">
        <v>1638</v>
      </c>
      <c r="D2049" s="42" t="s">
        <v>3138</v>
      </c>
      <c r="E2049" s="42" t="s">
        <v>3063</v>
      </c>
      <c r="F2049" s="4">
        <v>49314.3</v>
      </c>
      <c r="G2049" s="47" t="s">
        <v>60</v>
      </c>
      <c r="H2049" s="12" t="s">
        <v>1641</v>
      </c>
      <c r="I2049" s="4">
        <v>0</v>
      </c>
      <c r="J2049" s="4">
        <v>0</v>
      </c>
      <c r="K2049" s="4">
        <v>2348.3000000000002</v>
      </c>
      <c r="L2049" s="4">
        <v>0</v>
      </c>
      <c r="M2049" s="12" t="s">
        <v>571</v>
      </c>
      <c r="N2049" s="13">
        <f t="shared" si="51"/>
        <v>2348.3000000000002</v>
      </c>
    </row>
    <row r="2050" spans="1:14">
      <c r="A2050" s="12">
        <v>2049</v>
      </c>
      <c r="B2050" s="1" t="s">
        <v>1637</v>
      </c>
      <c r="C2050" s="42" t="s">
        <v>1638</v>
      </c>
      <c r="D2050" s="42" t="s">
        <v>3139</v>
      </c>
      <c r="E2050" s="42" t="s">
        <v>3140</v>
      </c>
      <c r="F2050" s="4">
        <v>26429.55</v>
      </c>
      <c r="G2050" s="47" t="s">
        <v>60</v>
      </c>
      <c r="H2050" s="12" t="s">
        <v>1641</v>
      </c>
      <c r="I2050" s="4">
        <v>0</v>
      </c>
      <c r="J2050" s="4">
        <v>0</v>
      </c>
      <c r="K2050" s="4">
        <v>1258.55</v>
      </c>
      <c r="L2050" s="4">
        <v>0</v>
      </c>
      <c r="M2050" s="12" t="s">
        <v>571</v>
      </c>
      <c r="N2050" s="13">
        <f t="shared" si="51"/>
        <v>1258.55</v>
      </c>
    </row>
    <row r="2051" spans="1:14">
      <c r="A2051" s="12">
        <v>2050</v>
      </c>
      <c r="B2051" s="1" t="s">
        <v>1637</v>
      </c>
      <c r="C2051" s="42" t="s">
        <v>1638</v>
      </c>
      <c r="D2051" s="42" t="s">
        <v>3141</v>
      </c>
      <c r="E2051" s="42" t="s">
        <v>3140</v>
      </c>
      <c r="F2051" s="4">
        <v>7469.4</v>
      </c>
      <c r="G2051" s="47" t="s">
        <v>60</v>
      </c>
      <c r="H2051" s="12">
        <v>4819</v>
      </c>
      <c r="I2051" s="4">
        <v>0</v>
      </c>
      <c r="J2051" s="4">
        <v>0</v>
      </c>
      <c r="K2051" s="4">
        <v>1139.4000000000001</v>
      </c>
      <c r="L2051" s="4">
        <v>0</v>
      </c>
      <c r="M2051" s="12" t="s">
        <v>571</v>
      </c>
      <c r="N2051" s="13">
        <f t="shared" si="51"/>
        <v>1139.4000000000001</v>
      </c>
    </row>
    <row r="2052" spans="1:14">
      <c r="A2052" s="12">
        <v>2051</v>
      </c>
      <c r="B2052" s="1" t="s">
        <v>1637</v>
      </c>
      <c r="C2052" s="42" t="s">
        <v>1638</v>
      </c>
      <c r="D2052" s="42" t="s">
        <v>3142</v>
      </c>
      <c r="E2052" s="42" t="s">
        <v>3143</v>
      </c>
      <c r="F2052" s="4">
        <v>33715.5</v>
      </c>
      <c r="G2052" s="47" t="s">
        <v>60</v>
      </c>
      <c r="H2052" s="12" t="s">
        <v>1641</v>
      </c>
      <c r="I2052" s="4">
        <v>0</v>
      </c>
      <c r="J2052" s="4">
        <v>0</v>
      </c>
      <c r="K2052" s="4">
        <v>1605.5</v>
      </c>
      <c r="L2052" s="4">
        <v>0</v>
      </c>
      <c r="M2052" s="12" t="s">
        <v>571</v>
      </c>
      <c r="N2052" s="13">
        <f t="shared" si="51"/>
        <v>1605.5</v>
      </c>
    </row>
    <row r="2053" spans="1:14">
      <c r="A2053" s="12">
        <v>2052</v>
      </c>
      <c r="B2053" s="1" t="s">
        <v>1637</v>
      </c>
      <c r="C2053" s="42" t="s">
        <v>1638</v>
      </c>
      <c r="D2053" s="42" t="s">
        <v>3144</v>
      </c>
      <c r="E2053" s="42" t="s">
        <v>3145</v>
      </c>
      <c r="F2053" s="4">
        <v>9704.1</v>
      </c>
      <c r="G2053" s="47" t="s">
        <v>60</v>
      </c>
      <c r="H2053" s="12" t="s">
        <v>1641</v>
      </c>
      <c r="I2053" s="4">
        <v>0</v>
      </c>
      <c r="J2053" s="4">
        <v>0</v>
      </c>
      <c r="K2053" s="4">
        <v>462.1</v>
      </c>
      <c r="L2053" s="4">
        <v>0</v>
      </c>
      <c r="M2053" s="12" t="s">
        <v>571</v>
      </c>
      <c r="N2053" s="13">
        <f t="shared" si="51"/>
        <v>462.1</v>
      </c>
    </row>
    <row r="2054" spans="1:14">
      <c r="A2054" s="12">
        <v>2053</v>
      </c>
      <c r="B2054" s="1" t="s">
        <v>1637</v>
      </c>
      <c r="C2054" s="42" t="s">
        <v>1638</v>
      </c>
      <c r="D2054" s="42" t="s">
        <v>3146</v>
      </c>
      <c r="E2054" s="42" t="s">
        <v>3145</v>
      </c>
      <c r="F2054" s="4">
        <v>3875.2</v>
      </c>
      <c r="G2054" s="47" t="s">
        <v>60</v>
      </c>
      <c r="H2054" s="12" t="s">
        <v>1641</v>
      </c>
      <c r="I2054" s="4">
        <v>0</v>
      </c>
      <c r="J2054" s="4">
        <v>0</v>
      </c>
      <c r="K2054" s="4">
        <v>415.2</v>
      </c>
      <c r="L2054" s="4">
        <v>0</v>
      </c>
      <c r="M2054" s="12" t="s">
        <v>571</v>
      </c>
      <c r="N2054" s="13">
        <f t="shared" si="51"/>
        <v>415.2</v>
      </c>
    </row>
    <row r="2055" spans="1:14">
      <c r="A2055" s="12">
        <v>2054</v>
      </c>
      <c r="B2055" s="1" t="s">
        <v>1637</v>
      </c>
      <c r="C2055" s="42" t="s">
        <v>1638</v>
      </c>
      <c r="D2055" s="42" t="s">
        <v>3147</v>
      </c>
      <c r="E2055" s="42" t="s">
        <v>3145</v>
      </c>
      <c r="F2055" s="4">
        <v>36229.199999999997</v>
      </c>
      <c r="G2055" s="47" t="s">
        <v>60</v>
      </c>
      <c r="H2055" s="12" t="s">
        <v>1641</v>
      </c>
      <c r="I2055" s="4">
        <v>0</v>
      </c>
      <c r="J2055" s="4">
        <v>0</v>
      </c>
      <c r="K2055" s="4">
        <v>1725.2</v>
      </c>
      <c r="L2055" s="4">
        <v>0</v>
      </c>
      <c r="M2055" s="12" t="s">
        <v>571</v>
      </c>
      <c r="N2055" s="13">
        <f t="shared" si="51"/>
        <v>1725.2</v>
      </c>
    </row>
    <row r="2056" spans="1:14">
      <c r="A2056" s="12">
        <v>2055</v>
      </c>
      <c r="B2056" s="1" t="s">
        <v>1637</v>
      </c>
      <c r="C2056" s="42" t="s">
        <v>1638</v>
      </c>
      <c r="D2056" s="42" t="s">
        <v>3148</v>
      </c>
      <c r="E2056" s="42" t="s">
        <v>3039</v>
      </c>
      <c r="F2056" s="4">
        <v>26966.94</v>
      </c>
      <c r="G2056" s="47" t="s">
        <v>60</v>
      </c>
      <c r="H2056" s="12" t="s">
        <v>1641</v>
      </c>
      <c r="I2056" s="4">
        <v>0</v>
      </c>
      <c r="J2056" s="4">
        <v>0</v>
      </c>
      <c r="K2056" s="4">
        <v>1284.1400000000001</v>
      </c>
      <c r="L2056" s="4">
        <v>0</v>
      </c>
      <c r="M2056" s="12" t="s">
        <v>571</v>
      </c>
      <c r="N2056" s="13">
        <f t="shared" si="51"/>
        <v>1284.1400000000001</v>
      </c>
    </row>
    <row r="2057" spans="1:14">
      <c r="A2057" s="12">
        <v>2056</v>
      </c>
      <c r="B2057" s="1" t="s">
        <v>1637</v>
      </c>
      <c r="C2057" s="42" t="s">
        <v>1638</v>
      </c>
      <c r="D2057" s="42" t="s">
        <v>3149</v>
      </c>
      <c r="E2057" s="42" t="s">
        <v>3039</v>
      </c>
      <c r="F2057" s="4">
        <v>6549</v>
      </c>
      <c r="G2057" s="47" t="s">
        <v>60</v>
      </c>
      <c r="H2057" s="12">
        <v>4819</v>
      </c>
      <c r="I2057" s="4">
        <v>0</v>
      </c>
      <c r="J2057" s="4">
        <v>0</v>
      </c>
      <c r="K2057" s="4">
        <v>999</v>
      </c>
      <c r="L2057" s="4">
        <v>0</v>
      </c>
      <c r="M2057" s="12" t="s">
        <v>571</v>
      </c>
      <c r="N2057" s="13">
        <f t="shared" si="51"/>
        <v>999</v>
      </c>
    </row>
    <row r="2058" spans="1:14">
      <c r="A2058" s="12">
        <v>2057</v>
      </c>
      <c r="B2058" s="1" t="s">
        <v>1637</v>
      </c>
      <c r="C2058" s="42" t="s">
        <v>1638</v>
      </c>
      <c r="D2058" s="42" t="s">
        <v>3150</v>
      </c>
      <c r="E2058" s="42" t="s">
        <v>3039</v>
      </c>
      <c r="F2058" s="4">
        <v>1770</v>
      </c>
      <c r="G2058" s="47" t="s">
        <v>60</v>
      </c>
      <c r="H2058" s="12">
        <v>3923</v>
      </c>
      <c r="I2058" s="4">
        <v>0</v>
      </c>
      <c r="J2058" s="4">
        <v>0</v>
      </c>
      <c r="K2058" s="4">
        <v>270</v>
      </c>
      <c r="L2058" s="4">
        <v>0</v>
      </c>
      <c r="M2058" s="12" t="s">
        <v>571</v>
      </c>
      <c r="N2058" s="13">
        <f t="shared" si="51"/>
        <v>270</v>
      </c>
    </row>
    <row r="2059" spans="1:14">
      <c r="A2059" s="12">
        <v>2058</v>
      </c>
      <c r="B2059" s="1" t="s">
        <v>1637</v>
      </c>
      <c r="C2059" s="42" t="s">
        <v>1638</v>
      </c>
      <c r="D2059" s="42" t="s">
        <v>3151</v>
      </c>
      <c r="E2059" s="42" t="s">
        <v>3024</v>
      </c>
      <c r="F2059" s="4">
        <v>32494.35</v>
      </c>
      <c r="G2059" s="47" t="s">
        <v>60</v>
      </c>
      <c r="H2059" s="12" t="s">
        <v>1641</v>
      </c>
      <c r="I2059" s="4">
        <v>0</v>
      </c>
      <c r="J2059" s="4">
        <v>0</v>
      </c>
      <c r="K2059" s="4">
        <v>1547.35</v>
      </c>
      <c r="L2059" s="4">
        <v>0</v>
      </c>
      <c r="M2059" s="12" t="s">
        <v>571</v>
      </c>
      <c r="N2059" s="13">
        <f t="shared" si="51"/>
        <v>1547.35</v>
      </c>
    </row>
    <row r="2060" spans="1:14">
      <c r="A2060" s="12">
        <v>2059</v>
      </c>
      <c r="B2060" s="1" t="s">
        <v>1637</v>
      </c>
      <c r="C2060" s="42" t="s">
        <v>1638</v>
      </c>
      <c r="D2060" s="42" t="s">
        <v>3152</v>
      </c>
      <c r="E2060" s="42" t="s">
        <v>3041</v>
      </c>
      <c r="F2060" s="4">
        <v>11846.11</v>
      </c>
      <c r="G2060" s="47" t="s">
        <v>60</v>
      </c>
      <c r="H2060" s="12" t="s">
        <v>1641</v>
      </c>
      <c r="I2060" s="4">
        <v>0</v>
      </c>
      <c r="J2060" s="4">
        <v>0</v>
      </c>
      <c r="K2060" s="4">
        <v>564.1</v>
      </c>
      <c r="L2060" s="4">
        <v>0</v>
      </c>
      <c r="M2060" s="12" t="s">
        <v>571</v>
      </c>
      <c r="N2060" s="13">
        <f t="shared" si="51"/>
        <v>564.1</v>
      </c>
    </row>
    <row r="2061" spans="1:14">
      <c r="A2061" s="12">
        <v>2060</v>
      </c>
      <c r="B2061" s="1" t="s">
        <v>1637</v>
      </c>
      <c r="C2061" s="42" t="s">
        <v>1638</v>
      </c>
      <c r="D2061" s="42" t="s">
        <v>3153</v>
      </c>
      <c r="E2061" s="42" t="s">
        <v>3041</v>
      </c>
      <c r="F2061" s="4">
        <v>755.2</v>
      </c>
      <c r="G2061" s="47" t="s">
        <v>60</v>
      </c>
      <c r="H2061" s="12">
        <v>4819</v>
      </c>
      <c r="I2061" s="4">
        <v>0</v>
      </c>
      <c r="J2061" s="4">
        <v>0</v>
      </c>
      <c r="K2061" s="4">
        <v>115.2</v>
      </c>
      <c r="L2061" s="4">
        <v>0</v>
      </c>
      <c r="M2061" s="12" t="s">
        <v>571</v>
      </c>
      <c r="N2061" s="13">
        <f t="shared" si="51"/>
        <v>115.2</v>
      </c>
    </row>
    <row r="2062" spans="1:14">
      <c r="A2062" s="12">
        <v>2061</v>
      </c>
      <c r="B2062" s="1" t="s">
        <v>1637</v>
      </c>
      <c r="C2062" s="42" t="s">
        <v>1638</v>
      </c>
      <c r="D2062" s="42" t="s">
        <v>3154</v>
      </c>
      <c r="E2062" s="42" t="s">
        <v>3041</v>
      </c>
      <c r="F2062" s="4">
        <v>37012.5</v>
      </c>
      <c r="G2062" s="47" t="s">
        <v>60</v>
      </c>
      <c r="H2062" s="12" t="s">
        <v>1641</v>
      </c>
      <c r="I2062" s="4">
        <v>0</v>
      </c>
      <c r="J2062" s="4">
        <v>0</v>
      </c>
      <c r="K2062" s="4">
        <v>1762.5</v>
      </c>
      <c r="L2062" s="4">
        <v>0</v>
      </c>
      <c r="M2062" s="12" t="s">
        <v>571</v>
      </c>
      <c r="N2062" s="13">
        <f t="shared" si="51"/>
        <v>1762.5</v>
      </c>
    </row>
    <row r="2063" spans="1:14">
      <c r="A2063" s="12">
        <v>2062</v>
      </c>
      <c r="B2063" s="1" t="s">
        <v>1637</v>
      </c>
      <c r="C2063" s="42" t="s">
        <v>1638</v>
      </c>
      <c r="D2063" s="42" t="s">
        <v>3155</v>
      </c>
      <c r="E2063" s="42" t="s">
        <v>3043</v>
      </c>
      <c r="F2063" s="4">
        <v>16739.099999999999</v>
      </c>
      <c r="G2063" s="47" t="s">
        <v>60</v>
      </c>
      <c r="H2063" s="12" t="s">
        <v>1641</v>
      </c>
      <c r="I2063" s="4">
        <v>0</v>
      </c>
      <c r="J2063" s="4">
        <v>0</v>
      </c>
      <c r="K2063" s="4">
        <v>797.1</v>
      </c>
      <c r="L2063" s="4">
        <v>0</v>
      </c>
      <c r="M2063" s="12" t="s">
        <v>571</v>
      </c>
      <c r="N2063" s="13">
        <f t="shared" si="51"/>
        <v>797.1</v>
      </c>
    </row>
    <row r="2064" spans="1:14">
      <c r="A2064" s="12">
        <v>2063</v>
      </c>
      <c r="B2064" s="1" t="s">
        <v>1637</v>
      </c>
      <c r="C2064" s="42" t="s">
        <v>1638</v>
      </c>
      <c r="D2064" s="42" t="s">
        <v>3156</v>
      </c>
      <c r="E2064" s="42" t="s">
        <v>3043</v>
      </c>
      <c r="F2064" s="4">
        <v>16425.599999999999</v>
      </c>
      <c r="G2064" s="47" t="s">
        <v>60</v>
      </c>
      <c r="H2064" s="12">
        <v>7310</v>
      </c>
      <c r="I2064" s="4">
        <v>0</v>
      </c>
      <c r="J2064" s="4">
        <v>0</v>
      </c>
      <c r="K2064" s="4">
        <v>2505.6</v>
      </c>
      <c r="L2064" s="4">
        <v>0</v>
      </c>
      <c r="M2064" s="12" t="s">
        <v>571</v>
      </c>
      <c r="N2064" s="13">
        <f t="shared" si="51"/>
        <v>2505.6</v>
      </c>
    </row>
    <row r="2065" spans="1:14">
      <c r="A2065" s="12">
        <v>2064</v>
      </c>
      <c r="B2065" s="1" t="s">
        <v>1637</v>
      </c>
      <c r="C2065" s="42" t="s">
        <v>1638</v>
      </c>
      <c r="D2065" s="42" t="s">
        <v>3157</v>
      </c>
      <c r="E2065" s="42" t="s">
        <v>3032</v>
      </c>
      <c r="F2065" s="4">
        <v>49908.34</v>
      </c>
      <c r="G2065" s="47" t="s">
        <v>60</v>
      </c>
      <c r="H2065" s="12" t="s">
        <v>1641</v>
      </c>
      <c r="I2065" s="4">
        <v>0</v>
      </c>
      <c r="J2065" s="4">
        <v>0</v>
      </c>
      <c r="K2065" s="4">
        <v>2376.59</v>
      </c>
      <c r="L2065" s="4">
        <v>0</v>
      </c>
      <c r="M2065" s="12" t="s">
        <v>571</v>
      </c>
      <c r="N2065" s="13">
        <f t="shared" ref="N2065:N2128" si="52">SUM(I2065:K2065)</f>
        <v>2376.59</v>
      </c>
    </row>
    <row r="2066" spans="1:14">
      <c r="A2066" s="12">
        <v>2065</v>
      </c>
      <c r="B2066" s="1" t="s">
        <v>1637</v>
      </c>
      <c r="C2066" s="42" t="s">
        <v>1638</v>
      </c>
      <c r="D2066" s="42" t="s">
        <v>3158</v>
      </c>
      <c r="E2066" s="42" t="s">
        <v>3159</v>
      </c>
      <c r="F2066" s="4">
        <v>299734.15999999997</v>
      </c>
      <c r="G2066" s="47" t="s">
        <v>60</v>
      </c>
      <c r="H2066" s="12">
        <v>7310</v>
      </c>
      <c r="I2066" s="4">
        <v>0</v>
      </c>
      <c r="J2066" s="4">
        <v>0</v>
      </c>
      <c r="K2066" s="4">
        <v>45722.16</v>
      </c>
      <c r="L2066" s="4">
        <v>0</v>
      </c>
      <c r="M2066" s="12" t="s">
        <v>571</v>
      </c>
      <c r="N2066" s="13">
        <f t="shared" si="52"/>
        <v>45722.16</v>
      </c>
    </row>
    <row r="2067" spans="1:14">
      <c r="A2067" s="12">
        <v>2066</v>
      </c>
      <c r="B2067" s="1" t="s">
        <v>1637</v>
      </c>
      <c r="C2067" s="42" t="s">
        <v>1638</v>
      </c>
      <c r="D2067" s="42" t="s">
        <v>3160</v>
      </c>
      <c r="E2067" s="42" t="s">
        <v>3161</v>
      </c>
      <c r="F2067" s="4">
        <v>21477.75</v>
      </c>
      <c r="G2067" s="47" t="s">
        <v>60</v>
      </c>
      <c r="H2067" s="12" t="s">
        <v>1641</v>
      </c>
      <c r="I2067" s="4">
        <v>0</v>
      </c>
      <c r="J2067" s="4">
        <v>0</v>
      </c>
      <c r="K2067" s="4">
        <v>1022.75</v>
      </c>
      <c r="L2067" s="4">
        <v>0</v>
      </c>
      <c r="M2067" s="12" t="s">
        <v>571</v>
      </c>
      <c r="N2067" s="13">
        <f t="shared" si="52"/>
        <v>1022.75</v>
      </c>
    </row>
    <row r="2068" spans="1:14">
      <c r="A2068" s="12">
        <v>2067</v>
      </c>
      <c r="B2068" s="1" t="s">
        <v>1637</v>
      </c>
      <c r="C2068" s="42" t="s">
        <v>1638</v>
      </c>
      <c r="D2068" s="42" t="s">
        <v>3162</v>
      </c>
      <c r="E2068" s="42" t="s">
        <v>3161</v>
      </c>
      <c r="F2068" s="4">
        <v>10631.8</v>
      </c>
      <c r="G2068" s="47" t="s">
        <v>60</v>
      </c>
      <c r="H2068" s="12">
        <v>7310</v>
      </c>
      <c r="I2068" s="4">
        <v>0</v>
      </c>
      <c r="J2068" s="4">
        <v>0</v>
      </c>
      <c r="K2068" s="4">
        <v>1621.8</v>
      </c>
      <c r="L2068" s="4">
        <v>0</v>
      </c>
      <c r="M2068" s="12" t="s">
        <v>571</v>
      </c>
      <c r="N2068" s="13">
        <f t="shared" si="52"/>
        <v>1621.8</v>
      </c>
    </row>
    <row r="2069" spans="1:14">
      <c r="A2069" s="12">
        <v>2068</v>
      </c>
      <c r="B2069" s="1" t="s">
        <v>1637</v>
      </c>
      <c r="C2069" s="42" t="s">
        <v>1638</v>
      </c>
      <c r="D2069" s="42" t="s">
        <v>3163</v>
      </c>
      <c r="E2069" s="42" t="s">
        <v>3161</v>
      </c>
      <c r="F2069" s="4">
        <v>15596.18</v>
      </c>
      <c r="G2069" s="47" t="s">
        <v>60</v>
      </c>
      <c r="H2069" s="12" t="s">
        <v>1641</v>
      </c>
      <c r="I2069" s="4">
        <v>0</v>
      </c>
      <c r="J2069" s="4">
        <v>0</v>
      </c>
      <c r="K2069" s="4">
        <v>742.68</v>
      </c>
      <c r="L2069" s="4">
        <v>0</v>
      </c>
      <c r="M2069" s="12" t="s">
        <v>571</v>
      </c>
      <c r="N2069" s="13">
        <f t="shared" si="52"/>
        <v>742.68</v>
      </c>
    </row>
    <row r="2070" spans="1:14">
      <c r="A2070" s="12">
        <v>2069</v>
      </c>
      <c r="B2070" s="1" t="s">
        <v>1637</v>
      </c>
      <c r="C2070" s="42" t="s">
        <v>1638</v>
      </c>
      <c r="D2070" s="42" t="s">
        <v>3164</v>
      </c>
      <c r="E2070" s="42" t="s">
        <v>3165</v>
      </c>
      <c r="F2070" s="4">
        <v>49035</v>
      </c>
      <c r="G2070" s="47" t="s">
        <v>60</v>
      </c>
      <c r="H2070" s="12" t="s">
        <v>1641</v>
      </c>
      <c r="I2070" s="4">
        <v>0</v>
      </c>
      <c r="J2070" s="4">
        <v>0</v>
      </c>
      <c r="K2070" s="4">
        <v>2335</v>
      </c>
      <c r="L2070" s="4">
        <v>0</v>
      </c>
      <c r="M2070" s="12" t="s">
        <v>571</v>
      </c>
      <c r="N2070" s="13">
        <f t="shared" si="52"/>
        <v>2335</v>
      </c>
    </row>
    <row r="2071" spans="1:14">
      <c r="A2071" s="12">
        <v>2070</v>
      </c>
      <c r="B2071" s="1" t="s">
        <v>1637</v>
      </c>
      <c r="C2071" s="42" t="s">
        <v>1638</v>
      </c>
      <c r="D2071" s="42" t="s">
        <v>3166</v>
      </c>
      <c r="E2071" s="42" t="s">
        <v>3111</v>
      </c>
      <c r="F2071" s="4">
        <v>17613.75</v>
      </c>
      <c r="G2071" s="47" t="s">
        <v>60</v>
      </c>
      <c r="H2071" s="12" t="s">
        <v>1641</v>
      </c>
      <c r="I2071" s="4">
        <v>0</v>
      </c>
      <c r="J2071" s="4">
        <v>0</v>
      </c>
      <c r="K2071" s="4">
        <v>838.75</v>
      </c>
      <c r="L2071" s="4">
        <v>0</v>
      </c>
      <c r="M2071" s="12" t="s">
        <v>571</v>
      </c>
      <c r="N2071" s="13">
        <f t="shared" si="52"/>
        <v>838.75</v>
      </c>
    </row>
    <row r="2072" spans="1:14">
      <c r="A2072" s="12">
        <v>2071</v>
      </c>
      <c r="B2072" s="1" t="s">
        <v>1637</v>
      </c>
      <c r="C2072" s="42" t="s">
        <v>1638</v>
      </c>
      <c r="D2072" s="42" t="s">
        <v>3167</v>
      </c>
      <c r="E2072" s="42" t="s">
        <v>3111</v>
      </c>
      <c r="F2072" s="4">
        <v>1909.24</v>
      </c>
      <c r="G2072" s="47" t="s">
        <v>60</v>
      </c>
      <c r="H2072" s="12">
        <v>3923</v>
      </c>
      <c r="I2072" s="4">
        <v>0</v>
      </c>
      <c r="J2072" s="4">
        <v>0</v>
      </c>
      <c r="K2072" s="4">
        <v>291.24</v>
      </c>
      <c r="L2072" s="4">
        <v>0</v>
      </c>
      <c r="M2072" s="12" t="s">
        <v>571</v>
      </c>
      <c r="N2072" s="13">
        <f t="shared" si="52"/>
        <v>291.24</v>
      </c>
    </row>
    <row r="2073" spans="1:14">
      <c r="A2073" s="12">
        <v>2072</v>
      </c>
      <c r="B2073" s="1" t="s">
        <v>1637</v>
      </c>
      <c r="C2073" s="42" t="s">
        <v>1638</v>
      </c>
      <c r="D2073" s="42" t="s">
        <v>3168</v>
      </c>
      <c r="E2073" s="42" t="s">
        <v>3111</v>
      </c>
      <c r="F2073" s="4">
        <v>22896.3</v>
      </c>
      <c r="G2073" s="47" t="s">
        <v>60</v>
      </c>
      <c r="H2073" s="12" t="s">
        <v>1641</v>
      </c>
      <c r="I2073" s="4">
        <v>0</v>
      </c>
      <c r="J2073" s="4">
        <v>0</v>
      </c>
      <c r="K2073" s="4">
        <v>1090.3</v>
      </c>
      <c r="L2073" s="4">
        <v>0</v>
      </c>
      <c r="M2073" s="12" t="s">
        <v>571</v>
      </c>
      <c r="N2073" s="13">
        <f t="shared" si="52"/>
        <v>1090.3</v>
      </c>
    </row>
    <row r="2074" spans="1:14">
      <c r="A2074" s="12">
        <v>2073</v>
      </c>
      <c r="B2074" s="1" t="s">
        <v>1637</v>
      </c>
      <c r="C2074" s="42" t="s">
        <v>1638</v>
      </c>
      <c r="D2074" s="42" t="s">
        <v>3169</v>
      </c>
      <c r="E2074" s="42" t="s">
        <v>3111</v>
      </c>
      <c r="F2074" s="4">
        <v>6891.15</v>
      </c>
      <c r="G2074" s="47" t="s">
        <v>60</v>
      </c>
      <c r="H2074" s="12" t="s">
        <v>1641</v>
      </c>
      <c r="I2074" s="4">
        <v>0</v>
      </c>
      <c r="J2074" s="4">
        <v>0</v>
      </c>
      <c r="K2074" s="4">
        <v>328.15</v>
      </c>
      <c r="L2074" s="4">
        <v>0</v>
      </c>
      <c r="M2074" s="12" t="s">
        <v>571</v>
      </c>
      <c r="N2074" s="13">
        <f t="shared" si="52"/>
        <v>328.15</v>
      </c>
    </row>
    <row r="2075" spans="1:14">
      <c r="A2075" s="12">
        <v>2074</v>
      </c>
      <c r="B2075" s="1" t="s">
        <v>1637</v>
      </c>
      <c r="C2075" s="42" t="s">
        <v>1638</v>
      </c>
      <c r="D2075" s="42" t="s">
        <v>3170</v>
      </c>
      <c r="E2075" s="42" t="s">
        <v>3171</v>
      </c>
      <c r="F2075" s="4">
        <v>47700.45</v>
      </c>
      <c r="G2075" s="47" t="s">
        <v>60</v>
      </c>
      <c r="H2075" s="12" t="s">
        <v>1641</v>
      </c>
      <c r="I2075" s="4">
        <v>0</v>
      </c>
      <c r="J2075" s="4">
        <v>0</v>
      </c>
      <c r="K2075" s="4">
        <v>2271.4499999999998</v>
      </c>
      <c r="L2075" s="4">
        <v>0</v>
      </c>
      <c r="M2075" s="12" t="s">
        <v>571</v>
      </c>
      <c r="N2075" s="13">
        <f t="shared" si="52"/>
        <v>2271.4499999999998</v>
      </c>
    </row>
    <row r="2076" spans="1:14">
      <c r="A2076" s="12">
        <v>2075</v>
      </c>
      <c r="B2076" s="1" t="s">
        <v>1637</v>
      </c>
      <c r="C2076" s="42" t="s">
        <v>1638</v>
      </c>
      <c r="D2076" s="42" t="s">
        <v>3172</v>
      </c>
      <c r="E2076" s="42" t="s">
        <v>3087</v>
      </c>
      <c r="F2076" s="4">
        <v>4838</v>
      </c>
      <c r="G2076" s="47" t="s">
        <v>60</v>
      </c>
      <c r="H2076" s="12">
        <v>3923</v>
      </c>
      <c r="I2076" s="4">
        <v>0</v>
      </c>
      <c r="J2076" s="4">
        <v>0</v>
      </c>
      <c r="K2076" s="4">
        <v>738</v>
      </c>
      <c r="L2076" s="4">
        <v>0</v>
      </c>
      <c r="M2076" s="12" t="s">
        <v>571</v>
      </c>
      <c r="N2076" s="13">
        <f t="shared" si="52"/>
        <v>738</v>
      </c>
    </row>
    <row r="2077" spans="1:14">
      <c r="A2077" s="12">
        <v>2076</v>
      </c>
      <c r="B2077" s="1" t="s">
        <v>1637</v>
      </c>
      <c r="C2077" s="42" t="s">
        <v>1638</v>
      </c>
      <c r="D2077" s="42" t="s">
        <v>3173</v>
      </c>
      <c r="E2077" s="42" t="s">
        <v>3087</v>
      </c>
      <c r="F2077" s="4">
        <v>9235.07</v>
      </c>
      <c r="G2077" s="47" t="s">
        <v>60</v>
      </c>
      <c r="H2077" s="12" t="s">
        <v>1641</v>
      </c>
      <c r="I2077" s="4">
        <v>0</v>
      </c>
      <c r="J2077" s="4">
        <v>0</v>
      </c>
      <c r="K2077" s="4">
        <v>439.77</v>
      </c>
      <c r="L2077" s="4">
        <v>0</v>
      </c>
      <c r="M2077" s="12" t="s">
        <v>571</v>
      </c>
      <c r="N2077" s="13">
        <f t="shared" si="52"/>
        <v>439.77</v>
      </c>
    </row>
    <row r="2078" spans="1:14">
      <c r="A2078" s="12">
        <v>2077</v>
      </c>
      <c r="B2078" s="1" t="s">
        <v>1637</v>
      </c>
      <c r="C2078" s="42" t="s">
        <v>1638</v>
      </c>
      <c r="D2078" s="42" t="s">
        <v>3174</v>
      </c>
      <c r="E2078" s="42" t="s">
        <v>3087</v>
      </c>
      <c r="F2078" s="4">
        <v>30048.59</v>
      </c>
      <c r="G2078" s="47" t="s">
        <v>60</v>
      </c>
      <c r="H2078" s="12" t="s">
        <v>1641</v>
      </c>
      <c r="I2078" s="4">
        <v>0</v>
      </c>
      <c r="J2078" s="4">
        <v>0</v>
      </c>
      <c r="K2078" s="4">
        <v>1430.89</v>
      </c>
      <c r="L2078" s="4">
        <v>0</v>
      </c>
      <c r="M2078" s="12" t="s">
        <v>571</v>
      </c>
      <c r="N2078" s="13">
        <f t="shared" si="52"/>
        <v>1430.89</v>
      </c>
    </row>
    <row r="2079" spans="1:14">
      <c r="A2079" s="12">
        <v>2078</v>
      </c>
      <c r="B2079" s="1" t="s">
        <v>1637</v>
      </c>
      <c r="C2079" s="42" t="s">
        <v>1638</v>
      </c>
      <c r="D2079" s="42" t="s">
        <v>3175</v>
      </c>
      <c r="E2079" s="42" t="s">
        <v>3087</v>
      </c>
      <c r="F2079" s="4">
        <v>1829</v>
      </c>
      <c r="G2079" s="47" t="s">
        <v>60</v>
      </c>
      <c r="H2079" s="12">
        <v>3923</v>
      </c>
      <c r="I2079" s="4">
        <v>0</v>
      </c>
      <c r="J2079" s="4">
        <v>0</v>
      </c>
      <c r="K2079" s="4">
        <v>279</v>
      </c>
      <c r="L2079" s="4">
        <v>0</v>
      </c>
      <c r="M2079" s="12" t="s">
        <v>571</v>
      </c>
      <c r="N2079" s="13">
        <f t="shared" si="52"/>
        <v>279</v>
      </c>
    </row>
    <row r="2080" spans="1:14">
      <c r="A2080" s="12">
        <v>2079</v>
      </c>
      <c r="B2080" s="1" t="s">
        <v>1637</v>
      </c>
      <c r="C2080" s="42" t="s">
        <v>1638</v>
      </c>
      <c r="D2080" s="42" t="s">
        <v>3176</v>
      </c>
      <c r="E2080" s="42" t="s">
        <v>3177</v>
      </c>
      <c r="F2080" s="4">
        <v>34944</v>
      </c>
      <c r="G2080" s="47" t="s">
        <v>60</v>
      </c>
      <c r="H2080" s="12" t="s">
        <v>1641</v>
      </c>
      <c r="I2080" s="4">
        <v>0</v>
      </c>
      <c r="J2080" s="4">
        <v>0</v>
      </c>
      <c r="K2080" s="4">
        <v>1664</v>
      </c>
      <c r="L2080" s="4">
        <v>0</v>
      </c>
      <c r="M2080" s="12" t="s">
        <v>571</v>
      </c>
      <c r="N2080" s="13">
        <f t="shared" si="52"/>
        <v>1664</v>
      </c>
    </row>
    <row r="2081" spans="1:14">
      <c r="A2081" s="12">
        <v>2080</v>
      </c>
      <c r="B2081" s="1" t="s">
        <v>1637</v>
      </c>
      <c r="C2081" s="42" t="s">
        <v>1638</v>
      </c>
      <c r="D2081" s="42" t="s">
        <v>3178</v>
      </c>
      <c r="E2081" s="42" t="s">
        <v>3177</v>
      </c>
      <c r="F2081" s="4">
        <v>1637.25</v>
      </c>
      <c r="G2081" s="47" t="s">
        <v>60</v>
      </c>
      <c r="H2081" s="12">
        <v>3923</v>
      </c>
      <c r="I2081" s="4">
        <v>0</v>
      </c>
      <c r="J2081" s="4">
        <v>0</v>
      </c>
      <c r="K2081" s="4">
        <v>249.75</v>
      </c>
      <c r="L2081" s="4">
        <v>0</v>
      </c>
      <c r="M2081" s="12" t="s">
        <v>571</v>
      </c>
      <c r="N2081" s="13">
        <f t="shared" si="52"/>
        <v>249.75</v>
      </c>
    </row>
    <row r="2082" spans="1:14">
      <c r="A2082" s="12">
        <v>2081</v>
      </c>
      <c r="B2082" s="1" t="s">
        <v>1637</v>
      </c>
      <c r="C2082" s="42" t="s">
        <v>1638</v>
      </c>
      <c r="D2082" s="42" t="s">
        <v>3179</v>
      </c>
      <c r="E2082" s="42" t="s">
        <v>3016</v>
      </c>
      <c r="F2082" s="4">
        <v>34965</v>
      </c>
      <c r="G2082" s="47" t="s">
        <v>60</v>
      </c>
      <c r="H2082" s="12" t="s">
        <v>1641</v>
      </c>
      <c r="I2082" s="4">
        <v>0</v>
      </c>
      <c r="J2082" s="4">
        <v>0</v>
      </c>
      <c r="K2082" s="4">
        <v>1665</v>
      </c>
      <c r="L2082" s="4">
        <v>0</v>
      </c>
      <c r="M2082" s="12" t="s">
        <v>571</v>
      </c>
      <c r="N2082" s="13">
        <f t="shared" si="52"/>
        <v>1665</v>
      </c>
    </row>
    <row r="2083" spans="1:14">
      <c r="A2083" s="12">
        <v>2082</v>
      </c>
      <c r="B2083" s="1" t="s">
        <v>1620</v>
      </c>
      <c r="C2083" s="42" t="s">
        <v>1621</v>
      </c>
      <c r="D2083" s="42" t="s">
        <v>3180</v>
      </c>
      <c r="E2083" s="42" t="s">
        <v>3136</v>
      </c>
      <c r="F2083" s="4">
        <v>413</v>
      </c>
      <c r="G2083" s="47" t="s">
        <v>570</v>
      </c>
      <c r="H2083" s="12">
        <v>997159</v>
      </c>
      <c r="I2083" s="4">
        <v>0</v>
      </c>
      <c r="J2083" s="4">
        <v>0</v>
      </c>
      <c r="K2083" s="4">
        <v>63</v>
      </c>
      <c r="L2083" s="4">
        <v>0</v>
      </c>
      <c r="M2083" s="12" t="s">
        <v>571</v>
      </c>
      <c r="N2083" s="13">
        <f t="shared" si="52"/>
        <v>63</v>
      </c>
    </row>
    <row r="2084" spans="1:14">
      <c r="A2084" s="12">
        <v>2083</v>
      </c>
      <c r="B2084" s="1" t="s">
        <v>1620</v>
      </c>
      <c r="C2084" s="42" t="s">
        <v>1621</v>
      </c>
      <c r="D2084" s="42" t="s">
        <v>3181</v>
      </c>
      <c r="E2084" s="42" t="s">
        <v>3048</v>
      </c>
      <c r="F2084" s="4">
        <v>4749.8100000000004</v>
      </c>
      <c r="G2084" s="47" t="s">
        <v>570</v>
      </c>
      <c r="H2084" s="12">
        <v>997159</v>
      </c>
      <c r="I2084" s="4">
        <v>0</v>
      </c>
      <c r="J2084" s="4">
        <v>0</v>
      </c>
      <c r="K2084" s="4">
        <v>724.55</v>
      </c>
      <c r="L2084" s="4">
        <v>0</v>
      </c>
      <c r="M2084" s="12" t="s">
        <v>571</v>
      </c>
      <c r="N2084" s="13">
        <f t="shared" si="52"/>
        <v>724.55</v>
      </c>
    </row>
    <row r="2085" spans="1:14">
      <c r="A2085" s="12">
        <v>2084</v>
      </c>
      <c r="B2085" s="1" t="s">
        <v>1776</v>
      </c>
      <c r="C2085" s="42" t="s">
        <v>1777</v>
      </c>
      <c r="D2085" s="42" t="s">
        <v>3182</v>
      </c>
      <c r="E2085" s="42" t="s">
        <v>3026</v>
      </c>
      <c r="F2085" s="4">
        <v>3286.3</v>
      </c>
      <c r="G2085" s="47" t="s">
        <v>570</v>
      </c>
      <c r="H2085" s="12">
        <v>3923</v>
      </c>
      <c r="I2085" s="4">
        <v>250.65</v>
      </c>
      <c r="J2085" s="4">
        <v>250.65</v>
      </c>
      <c r="K2085" s="4">
        <v>0</v>
      </c>
      <c r="L2085" s="4">
        <v>0</v>
      </c>
      <c r="M2085" s="12" t="s">
        <v>571</v>
      </c>
      <c r="N2085" s="13">
        <f t="shared" si="52"/>
        <v>501.3</v>
      </c>
    </row>
    <row r="2086" spans="1:14">
      <c r="A2086" s="12">
        <v>2085</v>
      </c>
      <c r="B2086" s="1" t="s">
        <v>1776</v>
      </c>
      <c r="C2086" s="42" t="s">
        <v>1777</v>
      </c>
      <c r="D2086" s="42" t="s">
        <v>3183</v>
      </c>
      <c r="E2086" s="42" t="s">
        <v>3026</v>
      </c>
      <c r="F2086" s="4">
        <v>3073.9</v>
      </c>
      <c r="G2086" s="47" t="s">
        <v>570</v>
      </c>
      <c r="H2086" s="12">
        <v>3923</v>
      </c>
      <c r="I2086" s="4">
        <v>234.45</v>
      </c>
      <c r="J2086" s="4">
        <v>234.45</v>
      </c>
      <c r="K2086" s="4">
        <v>0</v>
      </c>
      <c r="L2086" s="4">
        <v>0</v>
      </c>
      <c r="M2086" s="12" t="s">
        <v>571</v>
      </c>
      <c r="N2086" s="13">
        <f t="shared" si="52"/>
        <v>468.9</v>
      </c>
    </row>
    <row r="2087" spans="1:14">
      <c r="A2087" s="12">
        <v>2086</v>
      </c>
      <c r="B2087" s="1" t="s">
        <v>1776</v>
      </c>
      <c r="C2087" s="42" t="s">
        <v>1777</v>
      </c>
      <c r="D2087" s="42" t="s">
        <v>3184</v>
      </c>
      <c r="E2087" s="42" t="s">
        <v>3026</v>
      </c>
      <c r="F2087" s="4">
        <v>2531.1</v>
      </c>
      <c r="G2087" s="47" t="s">
        <v>570</v>
      </c>
      <c r="H2087" s="12">
        <v>3923</v>
      </c>
      <c r="I2087" s="4">
        <v>193.05</v>
      </c>
      <c r="J2087" s="4">
        <v>193.05</v>
      </c>
      <c r="K2087" s="4">
        <v>0</v>
      </c>
      <c r="L2087" s="4">
        <v>0</v>
      </c>
      <c r="M2087" s="12" t="s">
        <v>571</v>
      </c>
      <c r="N2087" s="13">
        <f t="shared" si="52"/>
        <v>386.1</v>
      </c>
    </row>
    <row r="2088" spans="1:14">
      <c r="A2088" s="12">
        <v>2087</v>
      </c>
      <c r="B2088" s="1" t="s">
        <v>1776</v>
      </c>
      <c r="C2088" s="42" t="s">
        <v>1777</v>
      </c>
      <c r="D2088" s="42" t="s">
        <v>3185</v>
      </c>
      <c r="E2088" s="42" t="s">
        <v>3026</v>
      </c>
      <c r="F2088" s="4">
        <v>1398.3</v>
      </c>
      <c r="G2088" s="47" t="s">
        <v>570</v>
      </c>
      <c r="H2088" s="12">
        <v>3923</v>
      </c>
      <c r="I2088" s="4">
        <v>106.65</v>
      </c>
      <c r="J2088" s="4">
        <v>106.65</v>
      </c>
      <c r="K2088" s="4">
        <v>0</v>
      </c>
      <c r="L2088" s="4">
        <v>0</v>
      </c>
      <c r="M2088" s="12" t="s">
        <v>571</v>
      </c>
      <c r="N2088" s="13">
        <f t="shared" si="52"/>
        <v>213.3</v>
      </c>
    </row>
    <row r="2089" spans="1:14">
      <c r="A2089" s="12">
        <v>2088</v>
      </c>
      <c r="B2089" s="1" t="s">
        <v>1776</v>
      </c>
      <c r="C2089" s="42" t="s">
        <v>1777</v>
      </c>
      <c r="D2089" s="42" t="s">
        <v>3186</v>
      </c>
      <c r="E2089" s="42" t="s">
        <v>3026</v>
      </c>
      <c r="F2089" s="4">
        <v>2153.5</v>
      </c>
      <c r="G2089" s="47" t="s">
        <v>570</v>
      </c>
      <c r="H2089" s="12">
        <v>3923</v>
      </c>
      <c r="I2089" s="4">
        <v>164.25</v>
      </c>
      <c r="J2089" s="4">
        <v>164.25</v>
      </c>
      <c r="K2089" s="4">
        <v>0</v>
      </c>
      <c r="L2089" s="4">
        <v>0</v>
      </c>
      <c r="M2089" s="12" t="s">
        <v>571</v>
      </c>
      <c r="N2089" s="13">
        <f t="shared" si="52"/>
        <v>328.5</v>
      </c>
    </row>
    <row r="2090" spans="1:14">
      <c r="A2090" s="12">
        <v>2089</v>
      </c>
      <c r="B2090" s="1" t="s">
        <v>1776</v>
      </c>
      <c r="C2090" s="42" t="s">
        <v>1777</v>
      </c>
      <c r="D2090" s="42" t="s">
        <v>3187</v>
      </c>
      <c r="E2090" s="42" t="s">
        <v>3026</v>
      </c>
      <c r="F2090" s="4">
        <v>6212.7</v>
      </c>
      <c r="G2090" s="47" t="s">
        <v>570</v>
      </c>
      <c r="H2090" s="12">
        <v>3923</v>
      </c>
      <c r="I2090" s="4">
        <v>473.85</v>
      </c>
      <c r="J2090" s="4">
        <v>473.85</v>
      </c>
      <c r="K2090" s="4">
        <v>0</v>
      </c>
      <c r="L2090" s="4">
        <v>0</v>
      </c>
      <c r="M2090" s="12" t="s">
        <v>571</v>
      </c>
      <c r="N2090" s="13">
        <f t="shared" si="52"/>
        <v>947.7</v>
      </c>
    </row>
    <row r="2091" spans="1:14">
      <c r="A2091" s="12">
        <v>2090</v>
      </c>
      <c r="B2091" s="1" t="s">
        <v>1776</v>
      </c>
      <c r="C2091" s="42" t="s">
        <v>1777</v>
      </c>
      <c r="D2091" s="42" t="s">
        <v>3188</v>
      </c>
      <c r="E2091" s="42" t="s">
        <v>3111</v>
      </c>
      <c r="F2091" s="4">
        <v>4513.5</v>
      </c>
      <c r="G2091" s="47" t="s">
        <v>570</v>
      </c>
      <c r="H2091" s="12">
        <v>3923</v>
      </c>
      <c r="I2091" s="4">
        <v>344.25</v>
      </c>
      <c r="J2091" s="4">
        <v>344.25</v>
      </c>
      <c r="K2091" s="4">
        <v>0</v>
      </c>
      <c r="L2091" s="4">
        <v>0</v>
      </c>
      <c r="M2091" s="12" t="s">
        <v>571</v>
      </c>
      <c r="N2091" s="13">
        <f t="shared" si="52"/>
        <v>688.5</v>
      </c>
    </row>
    <row r="2092" spans="1:14">
      <c r="A2092" s="12">
        <v>2091</v>
      </c>
      <c r="B2092" s="1" t="s">
        <v>1776</v>
      </c>
      <c r="C2092" s="42" t="s">
        <v>1777</v>
      </c>
      <c r="D2092" s="42" t="s">
        <v>3189</v>
      </c>
      <c r="E2092" s="42" t="s">
        <v>3111</v>
      </c>
      <c r="F2092" s="4">
        <v>1492.7</v>
      </c>
      <c r="G2092" s="47" t="s">
        <v>570</v>
      </c>
      <c r="H2092" s="12">
        <v>3923</v>
      </c>
      <c r="I2092" s="4">
        <v>113.85</v>
      </c>
      <c r="J2092" s="4">
        <v>113.85</v>
      </c>
      <c r="K2092" s="4">
        <v>0</v>
      </c>
      <c r="L2092" s="4">
        <v>0</v>
      </c>
      <c r="M2092" s="12" t="s">
        <v>571</v>
      </c>
      <c r="N2092" s="13">
        <f t="shared" si="52"/>
        <v>227.7</v>
      </c>
    </row>
    <row r="2093" spans="1:14">
      <c r="A2093" s="12">
        <v>2092</v>
      </c>
      <c r="B2093" s="1" t="s">
        <v>1776</v>
      </c>
      <c r="C2093" s="42" t="s">
        <v>1777</v>
      </c>
      <c r="D2093" s="42" t="s">
        <v>3190</v>
      </c>
      <c r="E2093" s="42" t="s">
        <v>3111</v>
      </c>
      <c r="F2093" s="4">
        <v>1929.3</v>
      </c>
      <c r="G2093" s="47" t="s">
        <v>570</v>
      </c>
      <c r="H2093" s="12">
        <v>3923</v>
      </c>
      <c r="I2093" s="4">
        <v>147.15</v>
      </c>
      <c r="J2093" s="4">
        <v>147.15</v>
      </c>
      <c r="K2093" s="4">
        <v>0</v>
      </c>
      <c r="L2093" s="4">
        <v>0</v>
      </c>
      <c r="M2093" s="12" t="s">
        <v>571</v>
      </c>
      <c r="N2093" s="13">
        <f t="shared" si="52"/>
        <v>294.3</v>
      </c>
    </row>
    <row r="2094" spans="1:14">
      <c r="A2094" s="12">
        <v>2093</v>
      </c>
      <c r="B2094" s="1" t="s">
        <v>1776</v>
      </c>
      <c r="C2094" s="42" t="s">
        <v>1777</v>
      </c>
      <c r="D2094" s="42" t="s">
        <v>3191</v>
      </c>
      <c r="E2094" s="42" t="s">
        <v>3111</v>
      </c>
      <c r="F2094" s="4">
        <v>1681.5</v>
      </c>
      <c r="G2094" s="47" t="s">
        <v>570</v>
      </c>
      <c r="H2094" s="12">
        <v>3923</v>
      </c>
      <c r="I2094" s="4">
        <v>128.25</v>
      </c>
      <c r="J2094" s="4">
        <v>128.25</v>
      </c>
      <c r="K2094" s="4">
        <v>0</v>
      </c>
      <c r="L2094" s="4">
        <v>0</v>
      </c>
      <c r="M2094" s="12" t="s">
        <v>571</v>
      </c>
      <c r="N2094" s="13">
        <f t="shared" si="52"/>
        <v>256.5</v>
      </c>
    </row>
    <row r="2095" spans="1:14">
      <c r="A2095" s="12">
        <v>2094</v>
      </c>
      <c r="B2095" s="1" t="s">
        <v>1776</v>
      </c>
      <c r="C2095" s="42" t="s">
        <v>1777</v>
      </c>
      <c r="D2095" s="42" t="s">
        <v>3192</v>
      </c>
      <c r="E2095" s="42" t="s">
        <v>3111</v>
      </c>
      <c r="F2095" s="4">
        <v>3569.5</v>
      </c>
      <c r="G2095" s="47" t="s">
        <v>570</v>
      </c>
      <c r="H2095" s="12">
        <v>3923</v>
      </c>
      <c r="I2095" s="4">
        <v>272.25</v>
      </c>
      <c r="J2095" s="4">
        <v>272.25</v>
      </c>
      <c r="K2095" s="4">
        <v>0</v>
      </c>
      <c r="L2095" s="4">
        <v>0</v>
      </c>
      <c r="M2095" s="12" t="s">
        <v>571</v>
      </c>
      <c r="N2095" s="13">
        <f t="shared" si="52"/>
        <v>544.5</v>
      </c>
    </row>
    <row r="2096" spans="1:14">
      <c r="A2096" s="12">
        <v>2095</v>
      </c>
      <c r="B2096" s="1" t="s">
        <v>557</v>
      </c>
      <c r="C2096" s="42" t="s">
        <v>558</v>
      </c>
      <c r="D2096" s="42" t="s">
        <v>3193</v>
      </c>
      <c r="E2096" s="42" t="s">
        <v>3082</v>
      </c>
      <c r="F2096" s="4">
        <v>1230.07</v>
      </c>
      <c r="G2096" s="47" t="s">
        <v>570</v>
      </c>
      <c r="H2096" s="12">
        <v>998361</v>
      </c>
      <c r="I2096" s="4">
        <v>0</v>
      </c>
      <c r="J2096" s="4">
        <v>0</v>
      </c>
      <c r="K2096" s="4">
        <v>187.64</v>
      </c>
      <c r="L2096" s="4">
        <v>0</v>
      </c>
      <c r="M2096" s="12" t="s">
        <v>571</v>
      </c>
      <c r="N2096" s="13">
        <f t="shared" si="52"/>
        <v>187.64</v>
      </c>
    </row>
    <row r="2097" spans="1:14">
      <c r="A2097" s="12">
        <v>2096</v>
      </c>
      <c r="B2097" s="1" t="s">
        <v>557</v>
      </c>
      <c r="C2097" s="42" t="s">
        <v>558</v>
      </c>
      <c r="D2097" s="42" t="s">
        <v>3194</v>
      </c>
      <c r="E2097" s="42" t="s">
        <v>3065</v>
      </c>
      <c r="F2097" s="4">
        <v>1227.05</v>
      </c>
      <c r="G2097" s="47" t="s">
        <v>570</v>
      </c>
      <c r="H2097" s="12">
        <v>998361</v>
      </c>
      <c r="I2097" s="4">
        <v>0</v>
      </c>
      <c r="J2097" s="4">
        <v>0</v>
      </c>
      <c r="K2097" s="4">
        <v>187.18</v>
      </c>
      <c r="L2097" s="4">
        <v>0</v>
      </c>
      <c r="M2097" s="12" t="s">
        <v>571</v>
      </c>
      <c r="N2097" s="13">
        <f t="shared" si="52"/>
        <v>187.18</v>
      </c>
    </row>
    <row r="2098" spans="1:14">
      <c r="A2098" s="12">
        <v>2097</v>
      </c>
      <c r="B2098" s="1" t="s">
        <v>557</v>
      </c>
      <c r="C2098" s="42" t="s">
        <v>558</v>
      </c>
      <c r="D2098" s="42" t="s">
        <v>3195</v>
      </c>
      <c r="E2098" s="42" t="s">
        <v>3123</v>
      </c>
      <c r="F2098" s="4">
        <v>1022.26</v>
      </c>
      <c r="G2098" s="47" t="s">
        <v>570</v>
      </c>
      <c r="H2098" s="12">
        <v>998361</v>
      </c>
      <c r="I2098" s="4">
        <v>0</v>
      </c>
      <c r="J2098" s="4">
        <v>0</v>
      </c>
      <c r="K2098" s="4">
        <v>155.94</v>
      </c>
      <c r="L2098" s="4">
        <v>0</v>
      </c>
      <c r="M2098" s="12" t="s">
        <v>571</v>
      </c>
      <c r="N2098" s="13">
        <f t="shared" si="52"/>
        <v>155.94</v>
      </c>
    </row>
    <row r="2099" spans="1:14">
      <c r="A2099" s="12">
        <v>2098</v>
      </c>
      <c r="B2099" s="1" t="s">
        <v>557</v>
      </c>
      <c r="C2099" s="42" t="s">
        <v>558</v>
      </c>
      <c r="D2099" s="42" t="s">
        <v>3196</v>
      </c>
      <c r="E2099" s="42" t="s">
        <v>3057</v>
      </c>
      <c r="F2099" s="4">
        <v>1021.3</v>
      </c>
      <c r="G2099" s="47" t="s">
        <v>570</v>
      </c>
      <c r="H2099" s="12">
        <v>998361</v>
      </c>
      <c r="I2099" s="4">
        <v>0</v>
      </c>
      <c r="J2099" s="4">
        <v>0</v>
      </c>
      <c r="K2099" s="4">
        <v>155.79</v>
      </c>
      <c r="L2099" s="4">
        <v>0</v>
      </c>
      <c r="M2099" s="12" t="s">
        <v>571</v>
      </c>
      <c r="N2099" s="13">
        <f t="shared" si="52"/>
        <v>155.79</v>
      </c>
    </row>
    <row r="2100" spans="1:14">
      <c r="A2100" s="12">
        <v>2099</v>
      </c>
      <c r="B2100" s="1" t="s">
        <v>557</v>
      </c>
      <c r="C2100" s="42" t="s">
        <v>558</v>
      </c>
      <c r="D2100" s="42" t="s">
        <v>3197</v>
      </c>
      <c r="E2100" s="42" t="s">
        <v>3198</v>
      </c>
      <c r="F2100" s="4">
        <v>1008.53</v>
      </c>
      <c r="G2100" s="47" t="s">
        <v>570</v>
      </c>
      <c r="H2100" s="12">
        <v>998361</v>
      </c>
      <c r="I2100" s="4">
        <v>0</v>
      </c>
      <c r="J2100" s="4">
        <v>0</v>
      </c>
      <c r="K2100" s="4">
        <v>153.84</v>
      </c>
      <c r="L2100" s="4">
        <v>0</v>
      </c>
      <c r="M2100" s="12" t="s">
        <v>571</v>
      </c>
      <c r="N2100" s="13">
        <f t="shared" si="52"/>
        <v>153.84</v>
      </c>
    </row>
    <row r="2101" spans="1:14">
      <c r="A2101" s="12">
        <v>2100</v>
      </c>
      <c r="B2101" s="1" t="s">
        <v>557</v>
      </c>
      <c r="C2101" s="42" t="s">
        <v>558</v>
      </c>
      <c r="D2101" s="42" t="s">
        <v>3199</v>
      </c>
      <c r="E2101" s="42" t="s">
        <v>3028</v>
      </c>
      <c r="F2101" s="4">
        <v>1015.56</v>
      </c>
      <c r="G2101" s="47" t="s">
        <v>570</v>
      </c>
      <c r="H2101" s="12">
        <v>998361</v>
      </c>
      <c r="I2101" s="4">
        <v>0</v>
      </c>
      <c r="J2101" s="4">
        <v>0</v>
      </c>
      <c r="K2101" s="4">
        <v>154.91999999999999</v>
      </c>
      <c r="L2101" s="4">
        <v>0</v>
      </c>
      <c r="M2101" s="12" t="s">
        <v>571</v>
      </c>
      <c r="N2101" s="13">
        <f t="shared" si="52"/>
        <v>154.91999999999999</v>
      </c>
    </row>
    <row r="2102" spans="1:14">
      <c r="A2102" s="12">
        <v>2101</v>
      </c>
      <c r="B2102" s="1" t="s">
        <v>557</v>
      </c>
      <c r="C2102" s="42" t="s">
        <v>558</v>
      </c>
      <c r="D2102" s="42" t="s">
        <v>3200</v>
      </c>
      <c r="E2102" s="42" t="s">
        <v>3020</v>
      </c>
      <c r="F2102" s="4">
        <v>1006.55</v>
      </c>
      <c r="G2102" s="47" t="s">
        <v>570</v>
      </c>
      <c r="H2102" s="12">
        <v>998361</v>
      </c>
      <c r="I2102" s="4">
        <v>0</v>
      </c>
      <c r="J2102" s="4">
        <v>0</v>
      </c>
      <c r="K2102" s="4">
        <v>153.54</v>
      </c>
      <c r="L2102" s="4">
        <v>0</v>
      </c>
      <c r="M2102" s="12" t="s">
        <v>571</v>
      </c>
      <c r="N2102" s="13">
        <f t="shared" si="52"/>
        <v>153.54</v>
      </c>
    </row>
    <row r="2103" spans="1:14">
      <c r="A2103" s="12">
        <v>2102</v>
      </c>
      <c r="B2103" s="1" t="s">
        <v>557</v>
      </c>
      <c r="C2103" s="42" t="s">
        <v>558</v>
      </c>
      <c r="D2103" s="42" t="s">
        <v>3201</v>
      </c>
      <c r="E2103" s="42" t="s">
        <v>3059</v>
      </c>
      <c r="F2103" s="4">
        <v>999.63</v>
      </c>
      <c r="G2103" s="47" t="s">
        <v>570</v>
      </c>
      <c r="H2103" s="12">
        <v>998361</v>
      </c>
      <c r="I2103" s="4">
        <v>0</v>
      </c>
      <c r="J2103" s="4">
        <v>0</v>
      </c>
      <c r="K2103" s="4">
        <v>152.49</v>
      </c>
      <c r="L2103" s="4">
        <v>0</v>
      </c>
      <c r="M2103" s="12" t="s">
        <v>571</v>
      </c>
      <c r="N2103" s="13">
        <f t="shared" si="52"/>
        <v>152.49</v>
      </c>
    </row>
    <row r="2104" spans="1:14">
      <c r="A2104" s="12">
        <v>2103</v>
      </c>
      <c r="B2104" s="1" t="s">
        <v>557</v>
      </c>
      <c r="C2104" s="42" t="s">
        <v>558</v>
      </c>
      <c r="D2104" s="42" t="s">
        <v>3202</v>
      </c>
      <c r="E2104" s="42" t="s">
        <v>3029</v>
      </c>
      <c r="F2104" s="4">
        <v>952.41</v>
      </c>
      <c r="G2104" s="47" t="s">
        <v>570</v>
      </c>
      <c r="H2104" s="12">
        <v>998361</v>
      </c>
      <c r="I2104" s="4">
        <v>0</v>
      </c>
      <c r="J2104" s="4">
        <v>0</v>
      </c>
      <c r="K2104" s="4">
        <v>145.28</v>
      </c>
      <c r="L2104" s="4">
        <v>0</v>
      </c>
      <c r="M2104" s="12" t="s">
        <v>571</v>
      </c>
      <c r="N2104" s="13">
        <f t="shared" si="52"/>
        <v>145.28</v>
      </c>
    </row>
    <row r="2105" spans="1:14">
      <c r="A2105" s="12">
        <v>2104</v>
      </c>
      <c r="B2105" s="1" t="s">
        <v>557</v>
      </c>
      <c r="C2105" s="42" t="s">
        <v>558</v>
      </c>
      <c r="D2105" s="42" t="s">
        <v>3203</v>
      </c>
      <c r="E2105" s="42" t="s">
        <v>3136</v>
      </c>
      <c r="F2105" s="4">
        <v>597.66</v>
      </c>
      <c r="G2105" s="47" t="s">
        <v>570</v>
      </c>
      <c r="H2105" s="12">
        <v>998361</v>
      </c>
      <c r="I2105" s="4">
        <v>0</v>
      </c>
      <c r="J2105" s="4">
        <v>0</v>
      </c>
      <c r="K2105" s="4">
        <v>91.17</v>
      </c>
      <c r="L2105" s="4">
        <v>0</v>
      </c>
      <c r="M2105" s="12" t="s">
        <v>571</v>
      </c>
      <c r="N2105" s="13">
        <f t="shared" si="52"/>
        <v>91.17</v>
      </c>
    </row>
    <row r="2106" spans="1:14">
      <c r="A2106" s="12">
        <v>2105</v>
      </c>
      <c r="B2106" s="1" t="s">
        <v>557</v>
      </c>
      <c r="C2106" s="42" t="s">
        <v>558</v>
      </c>
      <c r="D2106" s="42" t="s">
        <v>3204</v>
      </c>
      <c r="E2106" s="42" t="s">
        <v>3026</v>
      </c>
      <c r="F2106" s="4">
        <v>1703.92</v>
      </c>
      <c r="G2106" s="47" t="s">
        <v>570</v>
      </c>
      <c r="H2106" s="12">
        <v>998361</v>
      </c>
      <c r="I2106" s="4">
        <v>0</v>
      </c>
      <c r="J2106" s="4">
        <v>0</v>
      </c>
      <c r="K2106" s="4">
        <v>259.92</v>
      </c>
      <c r="L2106" s="4">
        <v>0</v>
      </c>
      <c r="M2106" s="12" t="s">
        <v>571</v>
      </c>
      <c r="N2106" s="13">
        <f t="shared" si="52"/>
        <v>259.92</v>
      </c>
    </row>
    <row r="2107" spans="1:14">
      <c r="A2107" s="12">
        <v>2106</v>
      </c>
      <c r="B2107" s="1" t="s">
        <v>557</v>
      </c>
      <c r="C2107" s="42" t="s">
        <v>558</v>
      </c>
      <c r="D2107" s="42" t="s">
        <v>3205</v>
      </c>
      <c r="E2107" s="42" t="s">
        <v>3106</v>
      </c>
      <c r="F2107" s="4">
        <v>1605.99</v>
      </c>
      <c r="G2107" s="47" t="s">
        <v>570</v>
      </c>
      <c r="H2107" s="12">
        <v>998361</v>
      </c>
      <c r="I2107" s="4">
        <v>0</v>
      </c>
      <c r="J2107" s="4">
        <v>0</v>
      </c>
      <c r="K2107" s="4">
        <v>244.98</v>
      </c>
      <c r="L2107" s="4">
        <v>0</v>
      </c>
      <c r="M2107" s="12" t="s">
        <v>571</v>
      </c>
      <c r="N2107" s="13">
        <f t="shared" si="52"/>
        <v>244.98</v>
      </c>
    </row>
    <row r="2108" spans="1:14">
      <c r="A2108" s="12">
        <v>2107</v>
      </c>
      <c r="B2108" s="1" t="s">
        <v>557</v>
      </c>
      <c r="C2108" s="42" t="s">
        <v>558</v>
      </c>
      <c r="D2108" s="42" t="s">
        <v>3206</v>
      </c>
      <c r="E2108" s="42" t="s">
        <v>3063</v>
      </c>
      <c r="F2108" s="4">
        <v>1596.01</v>
      </c>
      <c r="G2108" s="47" t="s">
        <v>570</v>
      </c>
      <c r="H2108" s="12">
        <v>998361</v>
      </c>
      <c r="I2108" s="4">
        <v>0</v>
      </c>
      <c r="J2108" s="4">
        <v>0</v>
      </c>
      <c r="K2108" s="4">
        <v>243.46</v>
      </c>
      <c r="L2108" s="4">
        <v>0</v>
      </c>
      <c r="M2108" s="12" t="s">
        <v>571</v>
      </c>
      <c r="N2108" s="13">
        <f t="shared" si="52"/>
        <v>243.46</v>
      </c>
    </row>
    <row r="2109" spans="1:14">
      <c r="A2109" s="12">
        <v>2108</v>
      </c>
      <c r="B2109" s="1" t="s">
        <v>557</v>
      </c>
      <c r="C2109" s="42" t="s">
        <v>558</v>
      </c>
      <c r="D2109" s="42" t="s">
        <v>3207</v>
      </c>
      <c r="E2109" s="42" t="s">
        <v>3140</v>
      </c>
      <c r="F2109" s="4">
        <v>1594.6</v>
      </c>
      <c r="G2109" s="47" t="s">
        <v>570</v>
      </c>
      <c r="H2109" s="12">
        <v>998361</v>
      </c>
      <c r="I2109" s="4">
        <v>0</v>
      </c>
      <c r="J2109" s="4">
        <v>0</v>
      </c>
      <c r="K2109" s="4">
        <v>243.24</v>
      </c>
      <c r="L2109" s="4">
        <v>0</v>
      </c>
      <c r="M2109" s="12" t="s">
        <v>571</v>
      </c>
      <c r="N2109" s="13">
        <f t="shared" si="52"/>
        <v>243.24</v>
      </c>
    </row>
    <row r="2110" spans="1:14">
      <c r="A2110" s="12">
        <v>2109</v>
      </c>
      <c r="B2110" s="1" t="s">
        <v>557</v>
      </c>
      <c r="C2110" s="42" t="s">
        <v>558</v>
      </c>
      <c r="D2110" s="42" t="s">
        <v>3208</v>
      </c>
      <c r="E2110" s="42" t="s">
        <v>3143</v>
      </c>
      <c r="F2110" s="4">
        <v>1606.23</v>
      </c>
      <c r="G2110" s="47" t="s">
        <v>570</v>
      </c>
      <c r="H2110" s="12">
        <v>998361</v>
      </c>
      <c r="I2110" s="4">
        <v>0</v>
      </c>
      <c r="J2110" s="4">
        <v>0</v>
      </c>
      <c r="K2110" s="4">
        <v>245.02</v>
      </c>
      <c r="L2110" s="4">
        <v>0</v>
      </c>
      <c r="M2110" s="12" t="s">
        <v>571</v>
      </c>
      <c r="N2110" s="13">
        <f t="shared" si="52"/>
        <v>245.02</v>
      </c>
    </row>
    <row r="2111" spans="1:14">
      <c r="A2111" s="12">
        <v>2110</v>
      </c>
      <c r="B2111" s="1" t="s">
        <v>557</v>
      </c>
      <c r="C2111" s="42" t="s">
        <v>558</v>
      </c>
      <c r="D2111" s="42" t="s">
        <v>3209</v>
      </c>
      <c r="E2111" s="42" t="s">
        <v>3145</v>
      </c>
      <c r="F2111" s="4">
        <v>1323.62</v>
      </c>
      <c r="G2111" s="47" t="s">
        <v>570</v>
      </c>
      <c r="H2111" s="12">
        <v>998361</v>
      </c>
      <c r="I2111" s="4">
        <v>0</v>
      </c>
      <c r="J2111" s="4">
        <v>0</v>
      </c>
      <c r="K2111" s="4">
        <v>201.91</v>
      </c>
      <c r="L2111" s="4">
        <v>0</v>
      </c>
      <c r="M2111" s="12" t="s">
        <v>571</v>
      </c>
      <c r="N2111" s="13">
        <f t="shared" si="52"/>
        <v>201.91</v>
      </c>
    </row>
    <row r="2112" spans="1:14">
      <c r="A2112" s="12">
        <v>2111</v>
      </c>
      <c r="B2112" s="1" t="s">
        <v>557</v>
      </c>
      <c r="C2112" s="42" t="s">
        <v>558</v>
      </c>
      <c r="D2112" s="42" t="s">
        <v>3210</v>
      </c>
      <c r="E2112" s="42" t="s">
        <v>3039</v>
      </c>
      <c r="F2112" s="4">
        <v>569.63</v>
      </c>
      <c r="G2112" s="47" t="s">
        <v>570</v>
      </c>
      <c r="H2112" s="12">
        <v>998361</v>
      </c>
      <c r="I2112" s="4">
        <v>0</v>
      </c>
      <c r="J2112" s="4">
        <v>0</v>
      </c>
      <c r="K2112" s="4">
        <v>86.89</v>
      </c>
      <c r="L2112" s="4">
        <v>0</v>
      </c>
      <c r="M2112" s="12" t="s">
        <v>571</v>
      </c>
      <c r="N2112" s="13">
        <f t="shared" si="52"/>
        <v>86.89</v>
      </c>
    </row>
    <row r="2113" spans="1:14">
      <c r="A2113" s="12">
        <v>2112</v>
      </c>
      <c r="B2113" s="1" t="s">
        <v>557</v>
      </c>
      <c r="C2113" s="42" t="s">
        <v>558</v>
      </c>
      <c r="D2113" s="42" t="s">
        <v>3211</v>
      </c>
      <c r="E2113" s="42" t="s">
        <v>3041</v>
      </c>
      <c r="F2113" s="4">
        <v>1609.64</v>
      </c>
      <c r="G2113" s="47" t="s">
        <v>570</v>
      </c>
      <c r="H2113" s="12">
        <v>998361</v>
      </c>
      <c r="I2113" s="4">
        <v>0</v>
      </c>
      <c r="J2113" s="4">
        <v>0</v>
      </c>
      <c r="K2113" s="4">
        <v>245.54</v>
      </c>
      <c r="L2113" s="4">
        <v>0</v>
      </c>
      <c r="M2113" s="12" t="s">
        <v>571</v>
      </c>
      <c r="N2113" s="13">
        <f t="shared" si="52"/>
        <v>245.54</v>
      </c>
    </row>
    <row r="2114" spans="1:14">
      <c r="A2114" s="12">
        <v>2113</v>
      </c>
      <c r="B2114" s="1" t="s">
        <v>557</v>
      </c>
      <c r="C2114" s="42" t="s">
        <v>558</v>
      </c>
      <c r="D2114" s="42" t="s">
        <v>3212</v>
      </c>
      <c r="E2114" s="42" t="s">
        <v>3043</v>
      </c>
      <c r="F2114" s="4">
        <v>1609.91</v>
      </c>
      <c r="G2114" s="47" t="s">
        <v>570</v>
      </c>
      <c r="H2114" s="12">
        <v>998361</v>
      </c>
      <c r="I2114" s="4">
        <v>0</v>
      </c>
      <c r="J2114" s="4">
        <v>0</v>
      </c>
      <c r="K2114" s="4">
        <v>245.58</v>
      </c>
      <c r="L2114" s="4">
        <v>0</v>
      </c>
      <c r="M2114" s="12" t="s">
        <v>571</v>
      </c>
      <c r="N2114" s="13">
        <f t="shared" si="52"/>
        <v>245.58</v>
      </c>
    </row>
    <row r="2115" spans="1:14">
      <c r="A2115" s="12">
        <v>2114</v>
      </c>
      <c r="B2115" s="1" t="s">
        <v>557</v>
      </c>
      <c r="C2115" s="42" t="s">
        <v>558</v>
      </c>
      <c r="D2115" s="42" t="s">
        <v>3213</v>
      </c>
      <c r="E2115" s="42" t="s">
        <v>3032</v>
      </c>
      <c r="F2115" s="4">
        <v>1595.47</v>
      </c>
      <c r="G2115" s="47" t="s">
        <v>570</v>
      </c>
      <c r="H2115" s="12">
        <v>998361</v>
      </c>
      <c r="I2115" s="4">
        <v>0</v>
      </c>
      <c r="J2115" s="4">
        <v>0</v>
      </c>
      <c r="K2115" s="4">
        <v>243.38</v>
      </c>
      <c r="L2115" s="4">
        <v>0</v>
      </c>
      <c r="M2115" s="12" t="s">
        <v>571</v>
      </c>
      <c r="N2115" s="13">
        <f t="shared" si="52"/>
        <v>243.38</v>
      </c>
    </row>
    <row r="2116" spans="1:14">
      <c r="A2116" s="12">
        <v>2115</v>
      </c>
      <c r="B2116" s="1" t="s">
        <v>557</v>
      </c>
      <c r="C2116" s="42" t="s">
        <v>558</v>
      </c>
      <c r="D2116" s="42" t="s">
        <v>3214</v>
      </c>
      <c r="E2116" s="42" t="s">
        <v>3159</v>
      </c>
      <c r="F2116" s="4">
        <v>1607.42</v>
      </c>
      <c r="G2116" s="47" t="s">
        <v>570</v>
      </c>
      <c r="H2116" s="12">
        <v>998361</v>
      </c>
      <c r="I2116" s="4">
        <v>0</v>
      </c>
      <c r="J2116" s="4">
        <v>0</v>
      </c>
      <c r="K2116" s="4">
        <v>245.2</v>
      </c>
      <c r="L2116" s="4">
        <v>0</v>
      </c>
      <c r="M2116" s="12" t="s">
        <v>571</v>
      </c>
      <c r="N2116" s="13">
        <f t="shared" si="52"/>
        <v>245.2</v>
      </c>
    </row>
    <row r="2117" spans="1:14">
      <c r="A2117" s="12">
        <v>2116</v>
      </c>
      <c r="B2117" s="1" t="s">
        <v>557</v>
      </c>
      <c r="C2117" s="42" t="s">
        <v>558</v>
      </c>
      <c r="D2117" s="42" t="s">
        <v>3215</v>
      </c>
      <c r="E2117" s="42" t="s">
        <v>3161</v>
      </c>
      <c r="F2117" s="4">
        <v>1319.71</v>
      </c>
      <c r="G2117" s="47" t="s">
        <v>570</v>
      </c>
      <c r="H2117" s="12">
        <v>998361</v>
      </c>
      <c r="I2117" s="4">
        <v>0</v>
      </c>
      <c r="J2117" s="4">
        <v>0</v>
      </c>
      <c r="K2117" s="4">
        <v>201.31</v>
      </c>
      <c r="L2117" s="4">
        <v>0</v>
      </c>
      <c r="M2117" s="12" t="s">
        <v>571</v>
      </c>
      <c r="N2117" s="13">
        <f t="shared" si="52"/>
        <v>201.31</v>
      </c>
    </row>
    <row r="2118" spans="1:14">
      <c r="A2118" s="12">
        <v>2117</v>
      </c>
      <c r="B2118" s="1" t="s">
        <v>557</v>
      </c>
      <c r="C2118" s="42" t="s">
        <v>558</v>
      </c>
      <c r="D2118" s="42" t="s">
        <v>3216</v>
      </c>
      <c r="E2118" s="42" t="s">
        <v>3165</v>
      </c>
      <c r="F2118" s="4">
        <v>1318.45</v>
      </c>
      <c r="G2118" s="47" t="s">
        <v>570</v>
      </c>
      <c r="H2118" s="12">
        <v>998361</v>
      </c>
      <c r="I2118" s="4">
        <v>0</v>
      </c>
      <c r="J2118" s="4">
        <v>0</v>
      </c>
      <c r="K2118" s="4">
        <v>201.12</v>
      </c>
      <c r="L2118" s="4">
        <v>0</v>
      </c>
      <c r="M2118" s="12" t="s">
        <v>571</v>
      </c>
      <c r="N2118" s="13">
        <f t="shared" si="52"/>
        <v>201.12</v>
      </c>
    </row>
    <row r="2119" spans="1:14">
      <c r="A2119" s="12">
        <v>2118</v>
      </c>
      <c r="B2119" s="1" t="s">
        <v>557</v>
      </c>
      <c r="C2119" s="42" t="s">
        <v>558</v>
      </c>
      <c r="D2119" s="42" t="s">
        <v>3217</v>
      </c>
      <c r="E2119" s="42" t="s">
        <v>3111</v>
      </c>
      <c r="F2119" s="4">
        <v>1325.14</v>
      </c>
      <c r="G2119" s="47" t="s">
        <v>570</v>
      </c>
      <c r="H2119" s="12">
        <v>998361</v>
      </c>
      <c r="I2119" s="4">
        <v>0</v>
      </c>
      <c r="J2119" s="4">
        <v>0</v>
      </c>
      <c r="K2119" s="4">
        <v>202.14</v>
      </c>
      <c r="L2119" s="4">
        <v>0</v>
      </c>
      <c r="M2119" s="12" t="s">
        <v>571</v>
      </c>
      <c r="N2119" s="13">
        <f t="shared" si="52"/>
        <v>202.14</v>
      </c>
    </row>
    <row r="2120" spans="1:14">
      <c r="A2120" s="12">
        <v>2119</v>
      </c>
      <c r="B2120" s="1" t="s">
        <v>557</v>
      </c>
      <c r="C2120" s="42" t="s">
        <v>558</v>
      </c>
      <c r="D2120" s="42" t="s">
        <v>3218</v>
      </c>
      <c r="E2120" s="42" t="s">
        <v>3171</v>
      </c>
      <c r="F2120" s="4">
        <v>1289.8699999999999</v>
      </c>
      <c r="G2120" s="47" t="s">
        <v>570</v>
      </c>
      <c r="H2120" s="12">
        <v>998361</v>
      </c>
      <c r="I2120" s="4">
        <v>0</v>
      </c>
      <c r="J2120" s="4">
        <v>0</v>
      </c>
      <c r="K2120" s="4">
        <v>196.76</v>
      </c>
      <c r="L2120" s="4">
        <v>0</v>
      </c>
      <c r="M2120" s="12" t="s">
        <v>571</v>
      </c>
      <c r="N2120" s="13">
        <f t="shared" si="52"/>
        <v>196.76</v>
      </c>
    </row>
    <row r="2121" spans="1:14">
      <c r="A2121" s="12">
        <v>2120</v>
      </c>
      <c r="B2121" s="1" t="s">
        <v>557</v>
      </c>
      <c r="C2121" s="42" t="s">
        <v>558</v>
      </c>
      <c r="D2121" s="42" t="s">
        <v>3219</v>
      </c>
      <c r="E2121" s="42" t="s">
        <v>3087</v>
      </c>
      <c r="F2121" s="4">
        <v>1320.81</v>
      </c>
      <c r="G2121" s="47" t="s">
        <v>570</v>
      </c>
      <c r="H2121" s="12">
        <v>998361</v>
      </c>
      <c r="I2121" s="4">
        <v>0</v>
      </c>
      <c r="J2121" s="4">
        <v>0</v>
      </c>
      <c r="K2121" s="4">
        <v>201.48</v>
      </c>
      <c r="L2121" s="4">
        <v>0</v>
      </c>
      <c r="M2121" s="12" t="s">
        <v>571</v>
      </c>
      <c r="N2121" s="13">
        <f t="shared" si="52"/>
        <v>201.48</v>
      </c>
    </row>
    <row r="2122" spans="1:14">
      <c r="A2122" s="12">
        <v>2121</v>
      </c>
      <c r="B2122" s="1" t="s">
        <v>557</v>
      </c>
      <c r="C2122" s="42" t="s">
        <v>558</v>
      </c>
      <c r="D2122" s="42" t="s">
        <v>3220</v>
      </c>
      <c r="E2122" s="42" t="s">
        <v>3177</v>
      </c>
      <c r="F2122" s="4">
        <v>1288.98</v>
      </c>
      <c r="G2122" s="47" t="s">
        <v>570</v>
      </c>
      <c r="H2122" s="12">
        <v>998361</v>
      </c>
      <c r="I2122" s="4">
        <v>0</v>
      </c>
      <c r="J2122" s="4">
        <v>0</v>
      </c>
      <c r="K2122" s="4">
        <v>196.62</v>
      </c>
      <c r="L2122" s="4">
        <v>0</v>
      </c>
      <c r="M2122" s="12" t="s">
        <v>571</v>
      </c>
      <c r="N2122" s="13">
        <f t="shared" si="52"/>
        <v>196.62</v>
      </c>
    </row>
    <row r="2123" spans="1:14">
      <c r="A2123" s="12">
        <v>2122</v>
      </c>
      <c r="B2123" s="1" t="s">
        <v>557</v>
      </c>
      <c r="C2123" s="42" t="s">
        <v>558</v>
      </c>
      <c r="D2123" s="42" t="s">
        <v>3221</v>
      </c>
      <c r="E2123" s="42" t="s">
        <v>3016</v>
      </c>
      <c r="F2123" s="4">
        <v>1227.3399999999999</v>
      </c>
      <c r="G2123" s="47" t="s">
        <v>570</v>
      </c>
      <c r="H2123" s="12">
        <v>998361</v>
      </c>
      <c r="I2123" s="4">
        <v>0</v>
      </c>
      <c r="J2123" s="4">
        <v>0</v>
      </c>
      <c r="K2123" s="4">
        <v>187.22</v>
      </c>
      <c r="L2123" s="4">
        <v>0</v>
      </c>
      <c r="M2123" s="12" t="s">
        <v>571</v>
      </c>
      <c r="N2123" s="13">
        <f t="shared" si="52"/>
        <v>187.22</v>
      </c>
    </row>
    <row r="2124" spans="1:14">
      <c r="A2124" s="12">
        <v>2123</v>
      </c>
      <c r="B2124" s="1" t="s">
        <v>557</v>
      </c>
      <c r="C2124" s="42" t="s">
        <v>558</v>
      </c>
      <c r="D2124" s="42" t="s">
        <v>3222</v>
      </c>
      <c r="E2124" s="42" t="s">
        <v>3048</v>
      </c>
      <c r="F2124" s="4">
        <v>1294.51</v>
      </c>
      <c r="G2124" s="47" t="s">
        <v>570</v>
      </c>
      <c r="H2124" s="12">
        <v>998361</v>
      </c>
      <c r="I2124" s="4">
        <v>0</v>
      </c>
      <c r="J2124" s="4">
        <v>0</v>
      </c>
      <c r="K2124" s="4">
        <v>197.47</v>
      </c>
      <c r="L2124" s="4">
        <v>0</v>
      </c>
      <c r="M2124" s="12" t="s">
        <v>571</v>
      </c>
      <c r="N2124" s="13">
        <f t="shared" si="52"/>
        <v>197.47</v>
      </c>
    </row>
    <row r="2125" spans="1:14">
      <c r="A2125" s="12">
        <v>2124</v>
      </c>
      <c r="B2125" s="1" t="s">
        <v>1753</v>
      </c>
      <c r="C2125" s="42" t="s">
        <v>1754</v>
      </c>
      <c r="D2125" s="42" t="s">
        <v>3223</v>
      </c>
      <c r="E2125" s="42" t="s">
        <v>3059</v>
      </c>
      <c r="F2125" s="4">
        <v>46173.4</v>
      </c>
      <c r="G2125" s="47" t="s">
        <v>60</v>
      </c>
      <c r="H2125" s="12">
        <v>4911</v>
      </c>
      <c r="I2125" s="4">
        <v>3521.7</v>
      </c>
      <c r="J2125" s="4">
        <v>3521.7</v>
      </c>
      <c r="K2125" s="4">
        <v>0</v>
      </c>
      <c r="L2125" s="4">
        <v>0</v>
      </c>
      <c r="M2125" s="12" t="s">
        <v>571</v>
      </c>
      <c r="N2125" s="13">
        <f t="shared" si="52"/>
        <v>7043.4</v>
      </c>
    </row>
    <row r="2126" spans="1:14">
      <c r="A2126" s="12">
        <v>2125</v>
      </c>
      <c r="B2126" s="1" t="s">
        <v>1753</v>
      </c>
      <c r="C2126" s="42" t="s">
        <v>1754</v>
      </c>
      <c r="D2126" s="42" t="s">
        <v>3224</v>
      </c>
      <c r="E2126" s="42" t="s">
        <v>3059</v>
      </c>
      <c r="F2126" s="4">
        <v>22408.2</v>
      </c>
      <c r="G2126" s="47" t="s">
        <v>60</v>
      </c>
      <c r="H2126" s="12">
        <v>4911</v>
      </c>
      <c r="I2126" s="4">
        <v>1709.1</v>
      </c>
      <c r="J2126" s="4">
        <v>1709.1</v>
      </c>
      <c r="K2126" s="4">
        <v>0</v>
      </c>
      <c r="L2126" s="4">
        <v>0</v>
      </c>
      <c r="M2126" s="12" t="s">
        <v>571</v>
      </c>
      <c r="N2126" s="13">
        <f t="shared" si="52"/>
        <v>3418.2</v>
      </c>
    </row>
    <row r="2127" spans="1:14">
      <c r="A2127" s="12">
        <v>2126</v>
      </c>
      <c r="B2127" s="1" t="s">
        <v>1753</v>
      </c>
      <c r="C2127" s="42" t="s">
        <v>1754</v>
      </c>
      <c r="D2127" s="42" t="s">
        <v>3225</v>
      </c>
      <c r="E2127" s="42" t="s">
        <v>3059</v>
      </c>
      <c r="F2127" s="4">
        <v>21015.8</v>
      </c>
      <c r="G2127" s="47" t="s">
        <v>60</v>
      </c>
      <c r="H2127" s="12">
        <v>4911</v>
      </c>
      <c r="I2127" s="4">
        <v>1602.9</v>
      </c>
      <c r="J2127" s="4">
        <v>1602.9</v>
      </c>
      <c r="K2127" s="4">
        <v>0</v>
      </c>
      <c r="L2127" s="4">
        <v>0</v>
      </c>
      <c r="M2127" s="12" t="s">
        <v>571</v>
      </c>
      <c r="N2127" s="13">
        <f t="shared" si="52"/>
        <v>3205.8</v>
      </c>
    </row>
    <row r="2128" spans="1:14">
      <c r="A2128" s="12">
        <v>2127</v>
      </c>
      <c r="B2128" s="1" t="s">
        <v>1753</v>
      </c>
      <c r="C2128" s="42" t="s">
        <v>1754</v>
      </c>
      <c r="D2128" s="42" t="s">
        <v>3226</v>
      </c>
      <c r="E2128" s="42" t="s">
        <v>3059</v>
      </c>
      <c r="F2128" s="4">
        <v>17414.439999999999</v>
      </c>
      <c r="G2128" s="47" t="s">
        <v>60</v>
      </c>
      <c r="H2128" s="12">
        <v>4911</v>
      </c>
      <c r="I2128" s="4">
        <v>1328.22</v>
      </c>
      <c r="J2128" s="4">
        <v>1328.22</v>
      </c>
      <c r="K2128" s="4">
        <v>0</v>
      </c>
      <c r="L2128" s="4">
        <v>0</v>
      </c>
      <c r="M2128" s="12" t="s">
        <v>571</v>
      </c>
      <c r="N2128" s="13">
        <f t="shared" si="52"/>
        <v>2656.44</v>
      </c>
    </row>
    <row r="2129" spans="1:14">
      <c r="A2129" s="12">
        <v>2128</v>
      </c>
      <c r="B2129" s="1" t="s">
        <v>3227</v>
      </c>
      <c r="C2129" s="42" t="s">
        <v>3228</v>
      </c>
      <c r="D2129" s="42" t="s">
        <v>3229</v>
      </c>
      <c r="E2129" s="42" t="s">
        <v>3082</v>
      </c>
      <c r="F2129" s="4">
        <v>15340</v>
      </c>
      <c r="G2129" s="47" t="s">
        <v>570</v>
      </c>
      <c r="H2129" s="12">
        <v>998383</v>
      </c>
      <c r="I2129" s="4">
        <v>1170</v>
      </c>
      <c r="J2129" s="4">
        <v>1170</v>
      </c>
      <c r="K2129" s="4">
        <v>0</v>
      </c>
      <c r="L2129" s="4">
        <v>0</v>
      </c>
      <c r="M2129" s="12" t="s">
        <v>571</v>
      </c>
      <c r="N2129" s="13">
        <f t="shared" ref="N2129:N2144" si="53">SUM(I2129:K2129)</f>
        <v>2340</v>
      </c>
    </row>
    <row r="2130" spans="1:14">
      <c r="A2130" s="12">
        <v>2129</v>
      </c>
      <c r="B2130" s="1" t="s">
        <v>1762</v>
      </c>
      <c r="C2130" s="42" t="s">
        <v>1763</v>
      </c>
      <c r="D2130" s="42" t="s">
        <v>3230</v>
      </c>
      <c r="E2130" s="42" t="s">
        <v>3082</v>
      </c>
      <c r="F2130" s="4">
        <v>7608</v>
      </c>
      <c r="G2130" s="47" t="s">
        <v>570</v>
      </c>
      <c r="H2130" s="12">
        <v>9987</v>
      </c>
      <c r="I2130" s="4">
        <v>580.32000000000005</v>
      </c>
      <c r="J2130" s="4">
        <v>580.32000000000005</v>
      </c>
      <c r="K2130" s="4">
        <v>0</v>
      </c>
      <c r="L2130" s="4">
        <v>0</v>
      </c>
      <c r="M2130" s="12" t="s">
        <v>571</v>
      </c>
      <c r="N2130" s="13">
        <f t="shared" si="53"/>
        <v>1160.6400000000001</v>
      </c>
    </row>
    <row r="2131" spans="1:14">
      <c r="A2131" s="12">
        <v>2130</v>
      </c>
      <c r="B2131" s="1" t="s">
        <v>1762</v>
      </c>
      <c r="C2131" s="42" t="s">
        <v>1763</v>
      </c>
      <c r="D2131" s="42" t="s">
        <v>3231</v>
      </c>
      <c r="E2131" s="42" t="s">
        <v>3082</v>
      </c>
      <c r="F2131" s="4">
        <v>3949</v>
      </c>
      <c r="G2131" s="47" t="s">
        <v>570</v>
      </c>
      <c r="H2131" s="12">
        <v>9987</v>
      </c>
      <c r="I2131" s="4">
        <v>301.23</v>
      </c>
      <c r="J2131" s="4">
        <v>301.23</v>
      </c>
      <c r="K2131" s="4">
        <v>0</v>
      </c>
      <c r="L2131" s="4">
        <v>0</v>
      </c>
      <c r="M2131" s="12" t="s">
        <v>571</v>
      </c>
      <c r="N2131" s="13">
        <f t="shared" si="53"/>
        <v>602.46</v>
      </c>
    </row>
    <row r="2132" spans="1:14">
      <c r="A2132" s="12">
        <v>2131</v>
      </c>
      <c r="B2132" s="1" t="s">
        <v>3232</v>
      </c>
      <c r="C2132" s="42" t="s">
        <v>3233</v>
      </c>
      <c r="D2132" s="42" t="s">
        <v>3234</v>
      </c>
      <c r="E2132" s="42" t="s">
        <v>2765</v>
      </c>
      <c r="F2132" s="4">
        <v>5566.4</v>
      </c>
      <c r="G2132" s="47" t="s">
        <v>570</v>
      </c>
      <c r="H2132" s="29" t="s">
        <v>3235</v>
      </c>
      <c r="I2132" s="4">
        <v>298.2</v>
      </c>
      <c r="J2132" s="4">
        <v>298.2</v>
      </c>
      <c r="K2132" s="4">
        <v>0</v>
      </c>
      <c r="L2132" s="4">
        <v>0</v>
      </c>
      <c r="M2132" s="14" t="s">
        <v>157</v>
      </c>
      <c r="N2132" s="15" t="s">
        <v>202</v>
      </c>
    </row>
    <row r="2133" spans="1:14">
      <c r="A2133" s="12">
        <v>2132</v>
      </c>
      <c r="B2133" s="1" t="s">
        <v>1630</v>
      </c>
      <c r="C2133" s="42" t="s">
        <v>1631</v>
      </c>
      <c r="D2133" s="42" t="s">
        <v>3236</v>
      </c>
      <c r="E2133" s="42" t="s">
        <v>2606</v>
      </c>
      <c r="F2133" s="4">
        <v>10773</v>
      </c>
      <c r="G2133" s="47" t="s">
        <v>60</v>
      </c>
      <c r="H2133" s="12" t="s">
        <v>1634</v>
      </c>
      <c r="I2133" s="4">
        <v>256.5</v>
      </c>
      <c r="J2133" s="4">
        <v>256.5</v>
      </c>
      <c r="K2133" s="4">
        <v>0</v>
      </c>
      <c r="L2133" s="4">
        <v>0</v>
      </c>
      <c r="M2133" s="12" t="s">
        <v>571</v>
      </c>
      <c r="N2133" s="13">
        <f t="shared" si="53"/>
        <v>513</v>
      </c>
    </row>
    <row r="2134" spans="1:14">
      <c r="A2134" s="12">
        <v>2133</v>
      </c>
      <c r="B2134" s="1" t="s">
        <v>1630</v>
      </c>
      <c r="C2134" s="42" t="s">
        <v>1631</v>
      </c>
      <c r="D2134" s="42" t="s">
        <v>3237</v>
      </c>
      <c r="E2134" s="42" t="s">
        <v>2908</v>
      </c>
      <c r="F2134" s="4">
        <v>6048</v>
      </c>
      <c r="G2134" s="47" t="s">
        <v>60</v>
      </c>
      <c r="H2134" s="12" t="s">
        <v>1634</v>
      </c>
      <c r="I2134" s="4">
        <v>144</v>
      </c>
      <c r="J2134" s="4">
        <v>144</v>
      </c>
      <c r="K2134" s="4">
        <v>0</v>
      </c>
      <c r="L2134" s="4">
        <v>0</v>
      </c>
      <c r="M2134" s="12" t="s">
        <v>571</v>
      </c>
      <c r="N2134" s="13">
        <f t="shared" si="53"/>
        <v>288</v>
      </c>
    </row>
    <row r="2135" spans="1:14">
      <c r="A2135" s="12">
        <v>2134</v>
      </c>
      <c r="B2135" s="1" t="s">
        <v>1630</v>
      </c>
      <c r="C2135" s="42" t="s">
        <v>1631</v>
      </c>
      <c r="D2135" s="42" t="s">
        <v>3238</v>
      </c>
      <c r="E2135" s="42" t="s">
        <v>2919</v>
      </c>
      <c r="F2135" s="4">
        <v>20223</v>
      </c>
      <c r="G2135" s="47" t="s">
        <v>60</v>
      </c>
      <c r="H2135" s="12" t="s">
        <v>1634</v>
      </c>
      <c r="I2135" s="4">
        <v>481.5</v>
      </c>
      <c r="J2135" s="4">
        <v>481.5</v>
      </c>
      <c r="K2135" s="4">
        <v>0</v>
      </c>
      <c r="L2135" s="4">
        <v>0</v>
      </c>
      <c r="M2135" s="12" t="s">
        <v>571</v>
      </c>
      <c r="N2135" s="13">
        <f t="shared" si="53"/>
        <v>963</v>
      </c>
    </row>
    <row r="2136" spans="1:14">
      <c r="A2136" s="12">
        <v>2135</v>
      </c>
      <c r="B2136" s="1" t="s">
        <v>1630</v>
      </c>
      <c r="C2136" s="42" t="s">
        <v>1631</v>
      </c>
      <c r="D2136" s="42" t="s">
        <v>3239</v>
      </c>
      <c r="E2136" s="42" t="s">
        <v>3059</v>
      </c>
      <c r="F2136" s="4">
        <v>5670</v>
      </c>
      <c r="G2136" s="47" t="s">
        <v>60</v>
      </c>
      <c r="H2136" s="12" t="s">
        <v>1634</v>
      </c>
      <c r="I2136" s="4">
        <v>135</v>
      </c>
      <c r="J2136" s="4">
        <v>135</v>
      </c>
      <c r="K2136" s="4">
        <v>0</v>
      </c>
      <c r="L2136" s="4">
        <v>0</v>
      </c>
      <c r="M2136" s="12" t="s">
        <v>571</v>
      </c>
      <c r="N2136" s="13">
        <f t="shared" si="53"/>
        <v>270</v>
      </c>
    </row>
    <row r="2137" spans="1:14">
      <c r="A2137" s="12">
        <v>2136</v>
      </c>
      <c r="B2137" s="1" t="s">
        <v>3240</v>
      </c>
      <c r="C2137" s="42" t="s">
        <v>3241</v>
      </c>
      <c r="D2137" s="42" t="s">
        <v>3242</v>
      </c>
      <c r="E2137" s="42" t="s">
        <v>2625</v>
      </c>
      <c r="F2137" s="4">
        <v>19635</v>
      </c>
      <c r="G2137" s="47" t="s">
        <v>60</v>
      </c>
      <c r="H2137" s="12">
        <v>7310</v>
      </c>
      <c r="I2137" s="4">
        <v>0</v>
      </c>
      <c r="J2137" s="4">
        <v>0</v>
      </c>
      <c r="K2137" s="4">
        <v>2995</v>
      </c>
      <c r="L2137" s="4">
        <v>0</v>
      </c>
      <c r="M2137" s="12" t="s">
        <v>571</v>
      </c>
      <c r="N2137" s="13">
        <f t="shared" si="53"/>
        <v>2995</v>
      </c>
    </row>
    <row r="2138" spans="1:14">
      <c r="A2138" s="12">
        <v>2137</v>
      </c>
      <c r="B2138" s="1" t="s">
        <v>3240</v>
      </c>
      <c r="C2138" s="42" t="s">
        <v>3241</v>
      </c>
      <c r="D2138" s="42" t="s">
        <v>3243</v>
      </c>
      <c r="E2138" s="42" t="s">
        <v>2612</v>
      </c>
      <c r="F2138" s="4">
        <v>59000</v>
      </c>
      <c r="G2138" s="47" t="s">
        <v>60</v>
      </c>
      <c r="H2138" s="12">
        <v>7310</v>
      </c>
      <c r="I2138" s="4">
        <v>0</v>
      </c>
      <c r="J2138" s="4">
        <v>0</v>
      </c>
      <c r="K2138" s="4">
        <v>9000</v>
      </c>
      <c r="L2138" s="4">
        <v>0</v>
      </c>
      <c r="M2138" s="12" t="s">
        <v>571</v>
      </c>
      <c r="N2138" s="13">
        <f t="shared" si="53"/>
        <v>9000</v>
      </c>
    </row>
    <row r="2139" spans="1:14">
      <c r="A2139" s="12">
        <v>2138</v>
      </c>
      <c r="B2139" s="1" t="s">
        <v>3240</v>
      </c>
      <c r="C2139" s="42" t="s">
        <v>3241</v>
      </c>
      <c r="D2139" s="42" t="s">
        <v>3244</v>
      </c>
      <c r="E2139" s="42" t="s">
        <v>2612</v>
      </c>
      <c r="F2139" s="4">
        <v>118000</v>
      </c>
      <c r="G2139" s="47" t="s">
        <v>60</v>
      </c>
      <c r="H2139" s="12">
        <v>7310</v>
      </c>
      <c r="I2139" s="4">
        <v>0</v>
      </c>
      <c r="J2139" s="4">
        <v>0</v>
      </c>
      <c r="K2139" s="4">
        <v>18000</v>
      </c>
      <c r="L2139" s="4">
        <v>0</v>
      </c>
      <c r="M2139" s="12" t="s">
        <v>571</v>
      </c>
      <c r="N2139" s="13">
        <f t="shared" si="53"/>
        <v>18000</v>
      </c>
    </row>
    <row r="2140" spans="1:14">
      <c r="A2140" s="12">
        <v>2139</v>
      </c>
      <c r="B2140" s="1" t="s">
        <v>3240</v>
      </c>
      <c r="C2140" s="42" t="s">
        <v>3241</v>
      </c>
      <c r="D2140" s="42" t="s">
        <v>3245</v>
      </c>
      <c r="E2140" s="42" t="s">
        <v>2864</v>
      </c>
      <c r="F2140" s="4">
        <v>82600</v>
      </c>
      <c r="G2140" s="47" t="s">
        <v>60</v>
      </c>
      <c r="H2140" s="12">
        <v>7310</v>
      </c>
      <c r="I2140" s="4">
        <v>0</v>
      </c>
      <c r="J2140" s="4">
        <v>0</v>
      </c>
      <c r="K2140" s="4">
        <v>12600</v>
      </c>
      <c r="L2140" s="4">
        <v>0</v>
      </c>
      <c r="M2140" s="12" t="s">
        <v>571</v>
      </c>
      <c r="N2140" s="13">
        <f t="shared" si="53"/>
        <v>12600</v>
      </c>
    </row>
    <row r="2141" spans="1:14">
      <c r="A2141" s="12">
        <v>2140</v>
      </c>
      <c r="B2141" s="1" t="s">
        <v>3240</v>
      </c>
      <c r="C2141" s="42" t="s">
        <v>3241</v>
      </c>
      <c r="D2141" s="42" t="s">
        <v>3246</v>
      </c>
      <c r="E2141" s="42" t="s">
        <v>2864</v>
      </c>
      <c r="F2141" s="4">
        <v>148680</v>
      </c>
      <c r="G2141" s="47" t="s">
        <v>60</v>
      </c>
      <c r="H2141" s="12">
        <v>7310</v>
      </c>
      <c r="I2141" s="4">
        <v>0</v>
      </c>
      <c r="J2141" s="4">
        <v>0</v>
      </c>
      <c r="K2141" s="4">
        <v>22680</v>
      </c>
      <c r="L2141" s="4">
        <v>0</v>
      </c>
      <c r="M2141" s="12" t="s">
        <v>571</v>
      </c>
      <c r="N2141" s="13">
        <f t="shared" si="53"/>
        <v>22680</v>
      </c>
    </row>
    <row r="2142" spans="1:14">
      <c r="A2142" s="12">
        <v>2141</v>
      </c>
      <c r="B2142" s="1" t="s">
        <v>2964</v>
      </c>
      <c r="C2142" s="42" t="s">
        <v>2965</v>
      </c>
      <c r="D2142" s="42" t="s">
        <v>3247</v>
      </c>
      <c r="E2142" s="42" t="s">
        <v>3165</v>
      </c>
      <c r="F2142" s="4">
        <v>54162</v>
      </c>
      <c r="G2142" s="47" t="s">
        <v>570</v>
      </c>
      <c r="H2142" s="12">
        <v>998361</v>
      </c>
      <c r="I2142" s="4">
        <v>0</v>
      </c>
      <c r="J2142" s="4">
        <v>0</v>
      </c>
      <c r="K2142" s="4">
        <v>8262</v>
      </c>
      <c r="L2142" s="4">
        <v>0</v>
      </c>
      <c r="M2142" s="12" t="s">
        <v>571</v>
      </c>
      <c r="N2142" s="13">
        <f t="shared" si="53"/>
        <v>8262</v>
      </c>
    </row>
    <row r="2143" spans="1:14">
      <c r="A2143" s="12">
        <v>2142</v>
      </c>
      <c r="B2143" s="1" t="s">
        <v>1799</v>
      </c>
      <c r="C2143" s="42" t="s">
        <v>1800</v>
      </c>
      <c r="D2143" s="42" t="s">
        <v>3248</v>
      </c>
      <c r="E2143" s="42" t="s">
        <v>3048</v>
      </c>
      <c r="F2143" s="4">
        <v>13.8</v>
      </c>
      <c r="G2143" s="47" t="s">
        <v>570</v>
      </c>
      <c r="H2143" s="12">
        <v>997159</v>
      </c>
      <c r="I2143" s="4">
        <v>1.05</v>
      </c>
      <c r="J2143" s="4">
        <v>1.05</v>
      </c>
      <c r="K2143" s="4">
        <v>0</v>
      </c>
      <c r="L2143" s="4">
        <v>0</v>
      </c>
      <c r="M2143" s="12" t="s">
        <v>571</v>
      </c>
      <c r="N2143" s="13">
        <f t="shared" si="53"/>
        <v>2.1</v>
      </c>
    </row>
    <row r="2144" spans="1:14">
      <c r="A2144" s="12">
        <v>2143</v>
      </c>
      <c r="B2144" s="1" t="s">
        <v>3249</v>
      </c>
      <c r="C2144" s="42" t="s">
        <v>3250</v>
      </c>
      <c r="D2144" s="42" t="s">
        <v>3251</v>
      </c>
      <c r="E2144" s="42" t="s">
        <v>3020</v>
      </c>
      <c r="F2144" s="4">
        <v>1299</v>
      </c>
      <c r="G2144" s="47" t="s">
        <v>570</v>
      </c>
      <c r="H2144" s="12">
        <v>998715</v>
      </c>
      <c r="I2144" s="4">
        <v>0</v>
      </c>
      <c r="J2144" s="4">
        <v>0</v>
      </c>
      <c r="K2144" s="4">
        <v>198.15</v>
      </c>
      <c r="L2144" s="4">
        <v>0</v>
      </c>
      <c r="M2144" s="12" t="s">
        <v>571</v>
      </c>
      <c r="N2144" s="13">
        <f t="shared" si="53"/>
        <v>198.15</v>
      </c>
    </row>
    <row r="2145" spans="1:14">
      <c r="A2145" s="12">
        <v>2144</v>
      </c>
      <c r="B2145" s="1" t="s">
        <v>3252</v>
      </c>
      <c r="C2145" s="42" t="s">
        <v>3253</v>
      </c>
      <c r="D2145" s="42" t="s">
        <v>3254</v>
      </c>
      <c r="E2145" s="42" t="s">
        <v>3087</v>
      </c>
      <c r="F2145" s="4">
        <v>2290</v>
      </c>
      <c r="G2145" s="47" t="s">
        <v>2046</v>
      </c>
      <c r="H2145" s="12">
        <v>8516</v>
      </c>
      <c r="I2145" s="4">
        <v>0</v>
      </c>
      <c r="J2145" s="4">
        <v>0</v>
      </c>
      <c r="K2145" s="4">
        <v>349.32</v>
      </c>
      <c r="L2145" s="4">
        <v>0</v>
      </c>
      <c r="M2145" s="14" t="s">
        <v>157</v>
      </c>
      <c r="N2145" s="15" t="s">
        <v>202</v>
      </c>
    </row>
    <row r="2146" spans="1:14">
      <c r="A2146" s="12">
        <v>2145</v>
      </c>
      <c r="B2146" s="1" t="s">
        <v>1824</v>
      </c>
      <c r="C2146" s="42" t="s">
        <v>1825</v>
      </c>
      <c r="D2146" s="42" t="s">
        <v>3255</v>
      </c>
      <c r="E2146" s="42" t="s">
        <v>3048</v>
      </c>
      <c r="F2146" s="12">
        <v>-21.94</v>
      </c>
      <c r="G2146" s="47" t="s">
        <v>570</v>
      </c>
      <c r="H2146" s="12">
        <v>997159</v>
      </c>
      <c r="I2146" s="12">
        <v>0</v>
      </c>
      <c r="J2146" s="12">
        <v>0</v>
      </c>
      <c r="K2146" s="12">
        <v>-3.34</v>
      </c>
      <c r="L2146" s="4">
        <v>0</v>
      </c>
      <c r="M2146" s="12" t="s">
        <v>571</v>
      </c>
      <c r="N2146" s="13">
        <f t="shared" ref="N2146:N2209" si="54">SUM(I2146:K2146)</f>
        <v>-3.34</v>
      </c>
    </row>
    <row r="2147" spans="1:14">
      <c r="A2147" s="12">
        <v>2146</v>
      </c>
      <c r="B2147" s="1" t="s">
        <v>2299</v>
      </c>
      <c r="C2147" s="42" t="s">
        <v>2300</v>
      </c>
      <c r="D2147" s="42" t="s">
        <v>3256</v>
      </c>
      <c r="E2147" s="42" t="s">
        <v>3059</v>
      </c>
      <c r="F2147" s="12">
        <v>-1433</v>
      </c>
      <c r="G2147" s="47" t="s">
        <v>60</v>
      </c>
      <c r="H2147" s="12">
        <v>4514</v>
      </c>
      <c r="I2147" s="12">
        <v>0</v>
      </c>
      <c r="J2147" s="12">
        <v>0</v>
      </c>
      <c r="K2147" s="12">
        <v>-218.52</v>
      </c>
      <c r="L2147" s="4">
        <v>0</v>
      </c>
      <c r="M2147" s="12" t="s">
        <v>571</v>
      </c>
      <c r="N2147" s="13">
        <f t="shared" si="54"/>
        <v>-218.52</v>
      </c>
    </row>
    <row r="2148" spans="1:14">
      <c r="A2148" s="12">
        <v>2147</v>
      </c>
      <c r="B2148" s="1" t="s">
        <v>1776</v>
      </c>
      <c r="C2148" s="42" t="s">
        <v>1777</v>
      </c>
      <c r="D2148" s="42" t="s">
        <v>3257</v>
      </c>
      <c r="E2148" s="42" t="s">
        <v>3258</v>
      </c>
      <c r="F2148" s="4">
        <v>2406.96</v>
      </c>
      <c r="G2148" s="47" t="s">
        <v>570</v>
      </c>
      <c r="H2148" s="12">
        <v>3923</v>
      </c>
      <c r="I2148" s="4">
        <v>183.58</v>
      </c>
      <c r="J2148" s="4">
        <v>183.58</v>
      </c>
      <c r="K2148" s="4">
        <v>0</v>
      </c>
      <c r="L2148" s="4">
        <v>0</v>
      </c>
      <c r="M2148" s="12" t="s">
        <v>571</v>
      </c>
      <c r="N2148" s="13">
        <f t="shared" si="54"/>
        <v>367.16</v>
      </c>
    </row>
    <row r="2149" spans="1:14">
      <c r="A2149" s="12">
        <v>2148</v>
      </c>
      <c r="B2149" s="1" t="s">
        <v>1776</v>
      </c>
      <c r="C2149" s="42" t="s">
        <v>1777</v>
      </c>
      <c r="D2149" s="42" t="s">
        <v>3259</v>
      </c>
      <c r="E2149" s="42" t="s">
        <v>3258</v>
      </c>
      <c r="F2149" s="4">
        <v>6123.96</v>
      </c>
      <c r="G2149" s="47" t="s">
        <v>570</v>
      </c>
      <c r="H2149" s="12">
        <v>3923</v>
      </c>
      <c r="I2149" s="4">
        <v>467.08</v>
      </c>
      <c r="J2149" s="4">
        <v>467.08</v>
      </c>
      <c r="K2149" s="4">
        <v>0</v>
      </c>
      <c r="L2149" s="4">
        <v>0</v>
      </c>
      <c r="M2149" s="12" t="s">
        <v>571</v>
      </c>
      <c r="N2149" s="13">
        <f t="shared" si="54"/>
        <v>934.16</v>
      </c>
    </row>
    <row r="2150" spans="1:14">
      <c r="A2150" s="12">
        <v>2149</v>
      </c>
      <c r="B2150" s="1" t="s">
        <v>1776</v>
      </c>
      <c r="C2150" s="42" t="s">
        <v>1777</v>
      </c>
      <c r="D2150" s="42" t="s">
        <v>3260</v>
      </c>
      <c r="E2150" s="42" t="s">
        <v>3261</v>
      </c>
      <c r="F2150" s="4">
        <v>4042.1</v>
      </c>
      <c r="G2150" s="47" t="s">
        <v>570</v>
      </c>
      <c r="H2150" s="12">
        <v>3923</v>
      </c>
      <c r="I2150" s="4">
        <v>308.3</v>
      </c>
      <c r="J2150" s="4">
        <v>308.3</v>
      </c>
      <c r="K2150" s="4">
        <v>0</v>
      </c>
      <c r="L2150" s="4">
        <v>0</v>
      </c>
      <c r="M2150" s="12" t="s">
        <v>571</v>
      </c>
      <c r="N2150" s="13">
        <f t="shared" si="54"/>
        <v>616.6</v>
      </c>
    </row>
    <row r="2151" spans="1:14">
      <c r="A2151" s="12">
        <v>2150</v>
      </c>
      <c r="B2151" s="1" t="s">
        <v>1776</v>
      </c>
      <c r="C2151" s="42" t="s">
        <v>1777</v>
      </c>
      <c r="D2151" s="42" t="s">
        <v>3262</v>
      </c>
      <c r="E2151" s="42" t="s">
        <v>3261</v>
      </c>
      <c r="F2151" s="4">
        <v>2530.98</v>
      </c>
      <c r="G2151" s="47" t="s">
        <v>570</v>
      </c>
      <c r="H2151" s="12">
        <v>3923</v>
      </c>
      <c r="I2151" s="4">
        <v>193.04</v>
      </c>
      <c r="J2151" s="4">
        <v>193.04</v>
      </c>
      <c r="K2151" s="4">
        <v>0</v>
      </c>
      <c r="L2151" s="4">
        <v>0</v>
      </c>
      <c r="M2151" s="12" t="s">
        <v>571</v>
      </c>
      <c r="N2151" s="13">
        <f t="shared" si="54"/>
        <v>386.08</v>
      </c>
    </row>
    <row r="2152" spans="1:14">
      <c r="A2152" s="12">
        <v>2151</v>
      </c>
      <c r="B2152" s="1" t="s">
        <v>1776</v>
      </c>
      <c r="C2152" s="42" t="s">
        <v>1777</v>
      </c>
      <c r="D2152" s="42" t="s">
        <v>3263</v>
      </c>
      <c r="E2152" s="42" t="s">
        <v>3264</v>
      </c>
      <c r="F2152" s="4">
        <v>2720.02</v>
      </c>
      <c r="G2152" s="47" t="s">
        <v>570</v>
      </c>
      <c r="H2152" s="12">
        <v>3923</v>
      </c>
      <c r="I2152" s="4">
        <v>207.46</v>
      </c>
      <c r="J2152" s="4">
        <v>207.46</v>
      </c>
      <c r="K2152" s="4">
        <v>0</v>
      </c>
      <c r="L2152" s="4">
        <v>0</v>
      </c>
      <c r="M2152" s="12" t="s">
        <v>571</v>
      </c>
      <c r="N2152" s="13">
        <f t="shared" si="54"/>
        <v>414.92</v>
      </c>
    </row>
    <row r="2153" spans="1:14">
      <c r="A2153" s="12">
        <v>2152</v>
      </c>
      <c r="B2153" s="1" t="s">
        <v>1776</v>
      </c>
      <c r="C2153" s="42" t="s">
        <v>1777</v>
      </c>
      <c r="D2153" s="42" t="s">
        <v>3265</v>
      </c>
      <c r="E2153" s="42" t="s">
        <v>3264</v>
      </c>
      <c r="F2153" s="4">
        <v>1586.98</v>
      </c>
      <c r="G2153" s="47" t="s">
        <v>570</v>
      </c>
      <c r="H2153" s="12">
        <v>3923</v>
      </c>
      <c r="I2153" s="4">
        <v>121.04</v>
      </c>
      <c r="J2153" s="4">
        <v>121.04</v>
      </c>
      <c r="K2153" s="4">
        <v>0</v>
      </c>
      <c r="L2153" s="4">
        <v>0</v>
      </c>
      <c r="M2153" s="12" t="s">
        <v>571</v>
      </c>
      <c r="N2153" s="13">
        <f t="shared" si="54"/>
        <v>242.08</v>
      </c>
    </row>
    <row r="2154" spans="1:14">
      <c r="A2154" s="12">
        <v>2153</v>
      </c>
      <c r="B2154" s="1" t="s">
        <v>1773</v>
      </c>
      <c r="C2154" s="42" t="s">
        <v>1774</v>
      </c>
      <c r="D2154" s="42" t="s">
        <v>3266</v>
      </c>
      <c r="E2154" s="42" t="s">
        <v>3267</v>
      </c>
      <c r="F2154" s="4">
        <v>1292.8900000000001</v>
      </c>
      <c r="G2154" s="47" t="s">
        <v>570</v>
      </c>
      <c r="H2154" s="12">
        <v>997159</v>
      </c>
      <c r="I2154" s="4">
        <v>98.61</v>
      </c>
      <c r="J2154" s="4">
        <v>98.61</v>
      </c>
      <c r="K2154" s="4">
        <v>0</v>
      </c>
      <c r="L2154" s="4">
        <v>0</v>
      </c>
      <c r="M2154" s="12" t="s">
        <v>571</v>
      </c>
      <c r="N2154" s="13">
        <f t="shared" si="54"/>
        <v>197.22</v>
      </c>
    </row>
    <row r="2155" spans="1:14">
      <c r="A2155" s="12">
        <v>2154</v>
      </c>
      <c r="B2155" s="1" t="s">
        <v>1620</v>
      </c>
      <c r="C2155" s="42" t="s">
        <v>1621</v>
      </c>
      <c r="D2155" s="42" t="s">
        <v>3268</v>
      </c>
      <c r="E2155" s="42" t="s">
        <v>3269</v>
      </c>
      <c r="F2155" s="4">
        <v>413</v>
      </c>
      <c r="G2155" s="47" t="s">
        <v>570</v>
      </c>
      <c r="H2155" s="12">
        <v>997159</v>
      </c>
      <c r="I2155" s="4">
        <v>0</v>
      </c>
      <c r="J2155" s="4">
        <v>0</v>
      </c>
      <c r="K2155" s="4">
        <v>63</v>
      </c>
      <c r="L2155" s="4">
        <v>0</v>
      </c>
      <c r="M2155" s="12" t="s">
        <v>571</v>
      </c>
      <c r="N2155" s="13">
        <f t="shared" si="54"/>
        <v>63</v>
      </c>
    </row>
    <row r="2156" spans="1:14">
      <c r="A2156" s="12">
        <v>2155</v>
      </c>
      <c r="B2156" s="1" t="s">
        <v>1620</v>
      </c>
      <c r="C2156" s="42" t="s">
        <v>1621</v>
      </c>
      <c r="D2156" s="42" t="s">
        <v>3270</v>
      </c>
      <c r="E2156" s="42" t="s">
        <v>3267</v>
      </c>
      <c r="F2156" s="4">
        <v>6828.31</v>
      </c>
      <c r="G2156" s="47" t="s">
        <v>570</v>
      </c>
      <c r="H2156" s="12">
        <v>997159</v>
      </c>
      <c r="I2156" s="4">
        <v>0</v>
      </c>
      <c r="J2156" s="4">
        <v>0</v>
      </c>
      <c r="K2156" s="4">
        <v>1041.6099999999999</v>
      </c>
      <c r="L2156" s="4">
        <v>0</v>
      </c>
      <c r="M2156" s="12" t="s">
        <v>571</v>
      </c>
      <c r="N2156" s="13">
        <f t="shared" si="54"/>
        <v>1041.6099999999999</v>
      </c>
    </row>
    <row r="2157" spans="1:14">
      <c r="A2157" s="12">
        <v>2156</v>
      </c>
      <c r="B2157" s="1" t="s">
        <v>557</v>
      </c>
      <c r="C2157" s="42" t="s">
        <v>558</v>
      </c>
      <c r="D2157" s="42" t="s">
        <v>3271</v>
      </c>
      <c r="E2157" s="42" t="s">
        <v>512</v>
      </c>
      <c r="F2157" s="4">
        <v>1323.32</v>
      </c>
      <c r="G2157" s="47" t="s">
        <v>570</v>
      </c>
      <c r="H2157" s="12">
        <v>998361</v>
      </c>
      <c r="I2157" s="4">
        <v>0</v>
      </c>
      <c r="J2157" s="4">
        <v>0</v>
      </c>
      <c r="K2157" s="4">
        <v>201.86</v>
      </c>
      <c r="L2157" s="4">
        <v>0</v>
      </c>
      <c r="M2157" s="12" t="s">
        <v>571</v>
      </c>
      <c r="N2157" s="13">
        <f t="shared" si="54"/>
        <v>201.86</v>
      </c>
    </row>
    <row r="2158" spans="1:14">
      <c r="A2158" s="12">
        <v>2157</v>
      </c>
      <c r="B2158" s="1" t="s">
        <v>557</v>
      </c>
      <c r="C2158" s="42" t="s">
        <v>558</v>
      </c>
      <c r="D2158" s="42" t="s">
        <v>3272</v>
      </c>
      <c r="E2158" s="42" t="s">
        <v>3273</v>
      </c>
      <c r="F2158" s="4">
        <v>1317.69</v>
      </c>
      <c r="G2158" s="47" t="s">
        <v>570</v>
      </c>
      <c r="H2158" s="12">
        <v>998361</v>
      </c>
      <c r="I2158" s="4">
        <v>0</v>
      </c>
      <c r="J2158" s="4">
        <v>0</v>
      </c>
      <c r="K2158" s="4">
        <v>201</v>
      </c>
      <c r="L2158" s="4">
        <v>0</v>
      </c>
      <c r="M2158" s="12" t="s">
        <v>571</v>
      </c>
      <c r="N2158" s="13">
        <f t="shared" si="54"/>
        <v>201</v>
      </c>
    </row>
    <row r="2159" spans="1:14">
      <c r="A2159" s="12">
        <v>2158</v>
      </c>
      <c r="B2159" s="1" t="s">
        <v>557</v>
      </c>
      <c r="C2159" s="42" t="s">
        <v>558</v>
      </c>
      <c r="D2159" s="42" t="s">
        <v>3274</v>
      </c>
      <c r="E2159" s="42" t="s">
        <v>3275</v>
      </c>
      <c r="F2159" s="4">
        <v>1316.2</v>
      </c>
      <c r="G2159" s="47" t="s">
        <v>570</v>
      </c>
      <c r="H2159" s="12">
        <v>998361</v>
      </c>
      <c r="I2159" s="4">
        <v>0</v>
      </c>
      <c r="J2159" s="4">
        <v>0</v>
      </c>
      <c r="K2159" s="4">
        <v>200.78</v>
      </c>
      <c r="L2159" s="4">
        <v>0</v>
      </c>
      <c r="M2159" s="12" t="s">
        <v>571</v>
      </c>
      <c r="N2159" s="13">
        <f t="shared" si="54"/>
        <v>200.78</v>
      </c>
    </row>
    <row r="2160" spans="1:14">
      <c r="A2160" s="12">
        <v>2159</v>
      </c>
      <c r="B2160" s="1" t="s">
        <v>557</v>
      </c>
      <c r="C2160" s="42" t="s">
        <v>558</v>
      </c>
      <c r="D2160" s="42" t="s">
        <v>3276</v>
      </c>
      <c r="E2160" s="42" t="s">
        <v>3277</v>
      </c>
      <c r="F2160" s="4">
        <v>1290.72</v>
      </c>
      <c r="G2160" s="47" t="s">
        <v>570</v>
      </c>
      <c r="H2160" s="12">
        <v>998361</v>
      </c>
      <c r="I2160" s="4">
        <v>0</v>
      </c>
      <c r="J2160" s="4">
        <v>0</v>
      </c>
      <c r="K2160" s="4">
        <v>196.89</v>
      </c>
      <c r="L2160" s="4">
        <v>0</v>
      </c>
      <c r="M2160" s="12" t="s">
        <v>571</v>
      </c>
      <c r="N2160" s="13">
        <f t="shared" si="54"/>
        <v>196.89</v>
      </c>
    </row>
    <row r="2161" spans="1:14">
      <c r="A2161" s="12">
        <v>2160</v>
      </c>
      <c r="B2161" s="1" t="s">
        <v>557</v>
      </c>
      <c r="C2161" s="42" t="s">
        <v>558</v>
      </c>
      <c r="D2161" s="42" t="s">
        <v>3278</v>
      </c>
      <c r="E2161" s="42" t="s">
        <v>3279</v>
      </c>
      <c r="F2161" s="4">
        <v>1293.02</v>
      </c>
      <c r="G2161" s="47" t="s">
        <v>570</v>
      </c>
      <c r="H2161" s="12">
        <v>998361</v>
      </c>
      <c r="I2161" s="4">
        <v>0</v>
      </c>
      <c r="J2161" s="4">
        <v>0</v>
      </c>
      <c r="K2161" s="4">
        <v>197.24</v>
      </c>
      <c r="L2161" s="4">
        <v>0</v>
      </c>
      <c r="M2161" s="12" t="s">
        <v>571</v>
      </c>
      <c r="N2161" s="13">
        <f t="shared" si="54"/>
        <v>197.24</v>
      </c>
    </row>
    <row r="2162" spans="1:14">
      <c r="A2162" s="12">
        <v>2161</v>
      </c>
      <c r="B2162" s="1" t="s">
        <v>557</v>
      </c>
      <c r="C2162" s="42" t="s">
        <v>558</v>
      </c>
      <c r="D2162" s="42" t="s">
        <v>3280</v>
      </c>
      <c r="E2162" s="42" t="s">
        <v>3281</v>
      </c>
      <c r="F2162" s="4">
        <v>1250.54</v>
      </c>
      <c r="G2162" s="47" t="s">
        <v>570</v>
      </c>
      <c r="H2162" s="12">
        <v>998361</v>
      </c>
      <c r="I2162" s="4">
        <v>0</v>
      </c>
      <c r="J2162" s="4">
        <v>0</v>
      </c>
      <c r="K2162" s="4">
        <v>190.76</v>
      </c>
      <c r="L2162" s="4">
        <v>0</v>
      </c>
      <c r="M2162" s="12" t="s">
        <v>571</v>
      </c>
      <c r="N2162" s="13">
        <f t="shared" si="54"/>
        <v>190.76</v>
      </c>
    </row>
    <row r="2163" spans="1:14">
      <c r="A2163" s="12">
        <v>2162</v>
      </c>
      <c r="B2163" s="1" t="s">
        <v>557</v>
      </c>
      <c r="C2163" s="42" t="s">
        <v>558</v>
      </c>
      <c r="D2163" s="42" t="s">
        <v>3282</v>
      </c>
      <c r="E2163" s="42" t="s">
        <v>3283</v>
      </c>
      <c r="F2163" s="4">
        <v>1330.72</v>
      </c>
      <c r="G2163" s="47" t="s">
        <v>570</v>
      </c>
      <c r="H2163" s="12">
        <v>998361</v>
      </c>
      <c r="I2163" s="4">
        <v>0</v>
      </c>
      <c r="J2163" s="4">
        <v>0</v>
      </c>
      <c r="K2163" s="4">
        <v>202.99</v>
      </c>
      <c r="L2163" s="4">
        <v>0</v>
      </c>
      <c r="M2163" s="12" t="s">
        <v>571</v>
      </c>
      <c r="N2163" s="13">
        <f t="shared" si="54"/>
        <v>202.99</v>
      </c>
    </row>
    <row r="2164" spans="1:14">
      <c r="A2164" s="12">
        <v>2163</v>
      </c>
      <c r="B2164" s="1" t="s">
        <v>557</v>
      </c>
      <c r="C2164" s="42" t="s">
        <v>558</v>
      </c>
      <c r="D2164" s="42" t="s">
        <v>3284</v>
      </c>
      <c r="E2164" s="42" t="s">
        <v>3285</v>
      </c>
      <c r="F2164" s="4">
        <v>1331.59</v>
      </c>
      <c r="G2164" s="47" t="s">
        <v>570</v>
      </c>
      <c r="H2164" s="12">
        <v>998361</v>
      </c>
      <c r="I2164" s="4">
        <v>0</v>
      </c>
      <c r="J2164" s="4">
        <v>0</v>
      </c>
      <c r="K2164" s="4">
        <v>203.12</v>
      </c>
      <c r="L2164" s="4">
        <v>0</v>
      </c>
      <c r="M2164" s="12" t="s">
        <v>571</v>
      </c>
      <c r="N2164" s="13">
        <f t="shared" si="54"/>
        <v>203.12</v>
      </c>
    </row>
    <row r="2165" spans="1:14">
      <c r="A2165" s="12">
        <v>2164</v>
      </c>
      <c r="B2165" s="1" t="s">
        <v>557</v>
      </c>
      <c r="C2165" s="42" t="s">
        <v>558</v>
      </c>
      <c r="D2165" s="42" t="s">
        <v>3286</v>
      </c>
      <c r="E2165" s="42" t="s">
        <v>3258</v>
      </c>
      <c r="F2165" s="4">
        <v>1662.05</v>
      </c>
      <c r="G2165" s="47" t="s">
        <v>570</v>
      </c>
      <c r="H2165" s="12">
        <v>998361</v>
      </c>
      <c r="I2165" s="4">
        <v>0</v>
      </c>
      <c r="J2165" s="4">
        <v>0</v>
      </c>
      <c r="K2165" s="4">
        <v>253.53</v>
      </c>
      <c r="L2165" s="4">
        <v>0</v>
      </c>
      <c r="M2165" s="12" t="s">
        <v>571</v>
      </c>
      <c r="N2165" s="13">
        <f t="shared" si="54"/>
        <v>253.53</v>
      </c>
    </row>
    <row r="2166" spans="1:14">
      <c r="A2166" s="12">
        <v>2165</v>
      </c>
      <c r="B2166" s="1" t="s">
        <v>557</v>
      </c>
      <c r="C2166" s="42" t="s">
        <v>558</v>
      </c>
      <c r="D2166" s="42" t="s">
        <v>3287</v>
      </c>
      <c r="E2166" s="42" t="s">
        <v>3288</v>
      </c>
      <c r="F2166" s="4">
        <v>1450.18</v>
      </c>
      <c r="G2166" s="47" t="s">
        <v>570</v>
      </c>
      <c r="H2166" s="12">
        <v>998361</v>
      </c>
      <c r="I2166" s="4">
        <v>0</v>
      </c>
      <c r="J2166" s="4">
        <v>0</v>
      </c>
      <c r="K2166" s="4">
        <v>221.21</v>
      </c>
      <c r="L2166" s="4">
        <v>0</v>
      </c>
      <c r="M2166" s="12" t="s">
        <v>571</v>
      </c>
      <c r="N2166" s="13">
        <f t="shared" si="54"/>
        <v>221.21</v>
      </c>
    </row>
    <row r="2167" spans="1:14">
      <c r="A2167" s="12">
        <v>2166</v>
      </c>
      <c r="B2167" s="1" t="s">
        <v>557</v>
      </c>
      <c r="C2167" s="42" t="s">
        <v>558</v>
      </c>
      <c r="D2167" s="42" t="s">
        <v>3289</v>
      </c>
      <c r="E2167" s="42" t="s">
        <v>3269</v>
      </c>
      <c r="F2167" s="4">
        <v>1568.61</v>
      </c>
      <c r="G2167" s="47" t="s">
        <v>570</v>
      </c>
      <c r="H2167" s="12">
        <v>998361</v>
      </c>
      <c r="I2167" s="4">
        <v>0</v>
      </c>
      <c r="J2167" s="4">
        <v>0</v>
      </c>
      <c r="K2167" s="4">
        <v>239.28</v>
      </c>
      <c r="L2167" s="4">
        <v>0</v>
      </c>
      <c r="M2167" s="12" t="s">
        <v>571</v>
      </c>
      <c r="N2167" s="13">
        <f t="shared" si="54"/>
        <v>239.28</v>
      </c>
    </row>
    <row r="2168" spans="1:14">
      <c r="A2168" s="12">
        <v>2167</v>
      </c>
      <c r="B2168" s="1" t="s">
        <v>557</v>
      </c>
      <c r="C2168" s="42" t="s">
        <v>558</v>
      </c>
      <c r="D2168" s="42" t="s">
        <v>3290</v>
      </c>
      <c r="E2168" s="42" t="s">
        <v>3291</v>
      </c>
      <c r="F2168" s="4">
        <v>1980.89</v>
      </c>
      <c r="G2168" s="47" t="s">
        <v>570</v>
      </c>
      <c r="H2168" s="12">
        <v>998361</v>
      </c>
      <c r="I2168" s="4">
        <v>0</v>
      </c>
      <c r="J2168" s="4">
        <v>0</v>
      </c>
      <c r="K2168" s="4">
        <v>302.17</v>
      </c>
      <c r="L2168" s="4">
        <v>0</v>
      </c>
      <c r="M2168" s="12" t="s">
        <v>571</v>
      </c>
      <c r="N2168" s="13">
        <f t="shared" si="54"/>
        <v>302.17</v>
      </c>
    </row>
    <row r="2169" spans="1:14">
      <c r="A2169" s="12">
        <v>2168</v>
      </c>
      <c r="B2169" s="1" t="s">
        <v>557</v>
      </c>
      <c r="C2169" s="42" t="s">
        <v>558</v>
      </c>
      <c r="D2169" s="42" t="s">
        <v>3292</v>
      </c>
      <c r="E2169" s="42" t="s">
        <v>3293</v>
      </c>
      <c r="F2169" s="4">
        <v>2103.36</v>
      </c>
      <c r="G2169" s="47" t="s">
        <v>570</v>
      </c>
      <c r="H2169" s="12">
        <v>998361</v>
      </c>
      <c r="I2169" s="4">
        <v>0</v>
      </c>
      <c r="J2169" s="4">
        <v>0</v>
      </c>
      <c r="K2169" s="4">
        <v>320.85000000000002</v>
      </c>
      <c r="L2169" s="4">
        <v>0</v>
      </c>
      <c r="M2169" s="12" t="s">
        <v>571</v>
      </c>
      <c r="N2169" s="13">
        <f t="shared" si="54"/>
        <v>320.85000000000002</v>
      </c>
    </row>
    <row r="2170" spans="1:14">
      <c r="A2170" s="12">
        <v>2169</v>
      </c>
      <c r="B2170" s="1" t="s">
        <v>557</v>
      </c>
      <c r="C2170" s="42" t="s">
        <v>558</v>
      </c>
      <c r="D2170" s="42" t="s">
        <v>3294</v>
      </c>
      <c r="E2170" s="42" t="s">
        <v>3295</v>
      </c>
      <c r="F2170" s="4">
        <v>2027.85</v>
      </c>
      <c r="G2170" s="47" t="s">
        <v>570</v>
      </c>
      <c r="H2170" s="12">
        <v>998361</v>
      </c>
      <c r="I2170" s="4">
        <v>0</v>
      </c>
      <c r="J2170" s="4">
        <v>0</v>
      </c>
      <c r="K2170" s="4">
        <v>309.33</v>
      </c>
      <c r="L2170" s="4">
        <v>0</v>
      </c>
      <c r="M2170" s="12" t="s">
        <v>571</v>
      </c>
      <c r="N2170" s="13">
        <f t="shared" si="54"/>
        <v>309.33</v>
      </c>
    </row>
    <row r="2171" spans="1:14">
      <c r="A2171" s="12">
        <v>2170</v>
      </c>
      <c r="B2171" s="1" t="s">
        <v>557</v>
      </c>
      <c r="C2171" s="42" t="s">
        <v>558</v>
      </c>
      <c r="D2171" s="42" t="s">
        <v>3296</v>
      </c>
      <c r="E2171" s="42" t="s">
        <v>3297</v>
      </c>
      <c r="F2171" s="4">
        <v>1753.96</v>
      </c>
      <c r="G2171" s="47" t="s">
        <v>570</v>
      </c>
      <c r="H2171" s="12">
        <v>998361</v>
      </c>
      <c r="I2171" s="4">
        <v>0</v>
      </c>
      <c r="J2171" s="4">
        <v>0</v>
      </c>
      <c r="K2171" s="4">
        <v>267.55</v>
      </c>
      <c r="L2171" s="4">
        <v>0</v>
      </c>
      <c r="M2171" s="12" t="s">
        <v>571</v>
      </c>
      <c r="N2171" s="13">
        <f t="shared" si="54"/>
        <v>267.55</v>
      </c>
    </row>
    <row r="2172" spans="1:14">
      <c r="A2172" s="12">
        <v>2171</v>
      </c>
      <c r="B2172" s="1" t="s">
        <v>557</v>
      </c>
      <c r="C2172" s="42" t="s">
        <v>558</v>
      </c>
      <c r="D2172" s="42" t="s">
        <v>3298</v>
      </c>
      <c r="E2172" s="42" t="s">
        <v>3299</v>
      </c>
      <c r="F2172" s="4">
        <v>1734.86</v>
      </c>
      <c r="G2172" s="47" t="s">
        <v>570</v>
      </c>
      <c r="H2172" s="12">
        <v>998361</v>
      </c>
      <c r="I2172" s="4">
        <v>0</v>
      </c>
      <c r="J2172" s="4">
        <v>0</v>
      </c>
      <c r="K2172" s="4">
        <v>264.64</v>
      </c>
      <c r="L2172" s="4">
        <v>0</v>
      </c>
      <c r="M2172" s="12" t="s">
        <v>571</v>
      </c>
      <c r="N2172" s="13">
        <f t="shared" si="54"/>
        <v>264.64</v>
      </c>
    </row>
    <row r="2173" spans="1:14">
      <c r="A2173" s="12">
        <v>2172</v>
      </c>
      <c r="B2173" s="1" t="s">
        <v>557</v>
      </c>
      <c r="C2173" s="42" t="s">
        <v>558</v>
      </c>
      <c r="D2173" s="42" t="s">
        <v>3300</v>
      </c>
      <c r="E2173" s="42" t="s">
        <v>3301</v>
      </c>
      <c r="F2173" s="4">
        <v>1571.41</v>
      </c>
      <c r="G2173" s="47" t="s">
        <v>570</v>
      </c>
      <c r="H2173" s="12">
        <v>998361</v>
      </c>
      <c r="I2173" s="4">
        <v>0</v>
      </c>
      <c r="J2173" s="4">
        <v>0</v>
      </c>
      <c r="K2173" s="4">
        <v>239.71</v>
      </c>
      <c r="L2173" s="4">
        <v>0</v>
      </c>
      <c r="M2173" s="12" t="s">
        <v>571</v>
      </c>
      <c r="N2173" s="13">
        <f t="shared" si="54"/>
        <v>239.71</v>
      </c>
    </row>
    <row r="2174" spans="1:14">
      <c r="A2174" s="12">
        <v>2173</v>
      </c>
      <c r="B2174" s="1" t="s">
        <v>557</v>
      </c>
      <c r="C2174" s="42" t="s">
        <v>558</v>
      </c>
      <c r="D2174" s="42" t="s">
        <v>3302</v>
      </c>
      <c r="E2174" s="42" t="s">
        <v>3303</v>
      </c>
      <c r="F2174" s="4">
        <v>1102.1600000000001</v>
      </c>
      <c r="G2174" s="47" t="s">
        <v>570</v>
      </c>
      <c r="H2174" s="12">
        <v>998361</v>
      </c>
      <c r="I2174" s="4">
        <v>0</v>
      </c>
      <c r="J2174" s="4">
        <v>0</v>
      </c>
      <c r="K2174" s="4">
        <v>168.13</v>
      </c>
      <c r="L2174" s="4">
        <v>0</v>
      </c>
      <c r="M2174" s="12" t="s">
        <v>571</v>
      </c>
      <c r="N2174" s="13">
        <f t="shared" si="54"/>
        <v>168.13</v>
      </c>
    </row>
    <row r="2175" spans="1:14">
      <c r="A2175" s="12">
        <v>2174</v>
      </c>
      <c r="B2175" s="1" t="s">
        <v>557</v>
      </c>
      <c r="C2175" s="42" t="s">
        <v>558</v>
      </c>
      <c r="D2175" s="42" t="s">
        <v>3304</v>
      </c>
      <c r="E2175" s="42" t="s">
        <v>3305</v>
      </c>
      <c r="F2175" s="4">
        <v>1140.5999999999999</v>
      </c>
      <c r="G2175" s="47" t="s">
        <v>570</v>
      </c>
      <c r="H2175" s="12">
        <v>998361</v>
      </c>
      <c r="I2175" s="4">
        <v>0</v>
      </c>
      <c r="J2175" s="4">
        <v>0</v>
      </c>
      <c r="K2175" s="4">
        <v>173.99</v>
      </c>
      <c r="L2175" s="4">
        <v>0</v>
      </c>
      <c r="M2175" s="12" t="s">
        <v>571</v>
      </c>
      <c r="N2175" s="13">
        <f t="shared" si="54"/>
        <v>173.99</v>
      </c>
    </row>
    <row r="2176" spans="1:14">
      <c r="A2176" s="12">
        <v>2175</v>
      </c>
      <c r="B2176" s="1" t="s">
        <v>557</v>
      </c>
      <c r="C2176" s="42" t="s">
        <v>558</v>
      </c>
      <c r="D2176" s="42" t="s">
        <v>3306</v>
      </c>
      <c r="E2176" s="42" t="s">
        <v>3307</v>
      </c>
      <c r="F2176" s="4">
        <v>431.27</v>
      </c>
      <c r="G2176" s="47" t="s">
        <v>570</v>
      </c>
      <c r="H2176" s="12">
        <v>998361</v>
      </c>
      <c r="I2176" s="4">
        <v>0</v>
      </c>
      <c r="J2176" s="4">
        <v>0</v>
      </c>
      <c r="K2176" s="4">
        <v>65.790000000000006</v>
      </c>
      <c r="L2176" s="4">
        <v>0</v>
      </c>
      <c r="M2176" s="12" t="s">
        <v>571</v>
      </c>
      <c r="N2176" s="13">
        <f t="shared" si="54"/>
        <v>65.790000000000006</v>
      </c>
    </row>
    <row r="2177" spans="1:14">
      <c r="A2177" s="12">
        <v>2176</v>
      </c>
      <c r="B2177" s="1" t="s">
        <v>557</v>
      </c>
      <c r="C2177" s="42" t="s">
        <v>558</v>
      </c>
      <c r="D2177" s="42" t="s">
        <v>3308</v>
      </c>
      <c r="E2177" s="42" t="s">
        <v>3261</v>
      </c>
      <c r="F2177" s="4">
        <v>1265</v>
      </c>
      <c r="G2177" s="47" t="s">
        <v>570</v>
      </c>
      <c r="H2177" s="12">
        <v>998361</v>
      </c>
      <c r="I2177" s="4">
        <v>0</v>
      </c>
      <c r="J2177" s="4">
        <v>0</v>
      </c>
      <c r="K2177" s="4">
        <v>192.97</v>
      </c>
      <c r="L2177" s="4">
        <v>0</v>
      </c>
      <c r="M2177" s="12" t="s">
        <v>571</v>
      </c>
      <c r="N2177" s="13">
        <f t="shared" si="54"/>
        <v>192.97</v>
      </c>
    </row>
    <row r="2178" spans="1:14">
      <c r="A2178" s="12">
        <v>2177</v>
      </c>
      <c r="B2178" s="1" t="s">
        <v>557</v>
      </c>
      <c r="C2178" s="42" t="s">
        <v>558</v>
      </c>
      <c r="D2178" s="42" t="s">
        <v>3309</v>
      </c>
      <c r="E2178" s="42" t="s">
        <v>3310</v>
      </c>
      <c r="F2178" s="4">
        <v>977.49</v>
      </c>
      <c r="G2178" s="47" t="s">
        <v>570</v>
      </c>
      <c r="H2178" s="12">
        <v>998361</v>
      </c>
      <c r="I2178" s="4">
        <v>0</v>
      </c>
      <c r="J2178" s="4">
        <v>0</v>
      </c>
      <c r="K2178" s="4">
        <v>149.11000000000001</v>
      </c>
      <c r="L2178" s="4">
        <v>0</v>
      </c>
      <c r="M2178" s="12" t="s">
        <v>571</v>
      </c>
      <c r="N2178" s="13">
        <f t="shared" si="54"/>
        <v>149.11000000000001</v>
      </c>
    </row>
    <row r="2179" spans="1:14">
      <c r="A2179" s="12">
        <v>2178</v>
      </c>
      <c r="B2179" s="1" t="s">
        <v>557</v>
      </c>
      <c r="C2179" s="42" t="s">
        <v>558</v>
      </c>
      <c r="D2179" s="42" t="s">
        <v>3311</v>
      </c>
      <c r="E2179" s="42" t="s">
        <v>3312</v>
      </c>
      <c r="F2179" s="4">
        <v>832.14</v>
      </c>
      <c r="G2179" s="47" t="s">
        <v>570</v>
      </c>
      <c r="H2179" s="12">
        <v>998361</v>
      </c>
      <c r="I2179" s="4">
        <v>0</v>
      </c>
      <c r="J2179" s="4">
        <v>0</v>
      </c>
      <c r="K2179" s="4">
        <v>126.94</v>
      </c>
      <c r="L2179" s="4">
        <v>0</v>
      </c>
      <c r="M2179" s="12" t="s">
        <v>571</v>
      </c>
      <c r="N2179" s="13">
        <f t="shared" si="54"/>
        <v>126.94</v>
      </c>
    </row>
    <row r="2180" spans="1:14">
      <c r="A2180" s="12">
        <v>2179</v>
      </c>
      <c r="B2180" s="1" t="s">
        <v>557</v>
      </c>
      <c r="C2180" s="42" t="s">
        <v>558</v>
      </c>
      <c r="D2180" s="42" t="s">
        <v>3313</v>
      </c>
      <c r="E2180" s="42" t="s">
        <v>3314</v>
      </c>
      <c r="F2180" s="4">
        <v>825.99</v>
      </c>
      <c r="G2180" s="47" t="s">
        <v>570</v>
      </c>
      <c r="H2180" s="12">
        <v>998361</v>
      </c>
      <c r="I2180" s="4">
        <v>0</v>
      </c>
      <c r="J2180" s="4">
        <v>0</v>
      </c>
      <c r="K2180" s="4">
        <v>126</v>
      </c>
      <c r="L2180" s="4">
        <v>0</v>
      </c>
      <c r="M2180" s="12" t="s">
        <v>571</v>
      </c>
      <c r="N2180" s="13">
        <f t="shared" si="54"/>
        <v>126</v>
      </c>
    </row>
    <row r="2181" spans="1:14">
      <c r="A2181" s="12">
        <v>2180</v>
      </c>
      <c r="B2181" s="1" t="s">
        <v>557</v>
      </c>
      <c r="C2181" s="42" t="s">
        <v>558</v>
      </c>
      <c r="D2181" s="42" t="s">
        <v>3315</v>
      </c>
      <c r="E2181" s="42" t="s">
        <v>3316</v>
      </c>
      <c r="F2181" s="4">
        <v>819.65</v>
      </c>
      <c r="G2181" s="47" t="s">
        <v>570</v>
      </c>
      <c r="H2181" s="12">
        <v>998361</v>
      </c>
      <c r="I2181" s="4">
        <v>0</v>
      </c>
      <c r="J2181" s="4">
        <v>0</v>
      </c>
      <c r="K2181" s="4">
        <v>125.03</v>
      </c>
      <c r="L2181" s="4">
        <v>0</v>
      </c>
      <c r="M2181" s="12" t="s">
        <v>571</v>
      </c>
      <c r="N2181" s="13">
        <f t="shared" si="54"/>
        <v>125.03</v>
      </c>
    </row>
    <row r="2182" spans="1:14">
      <c r="A2182" s="12">
        <v>2181</v>
      </c>
      <c r="B2182" s="1" t="s">
        <v>557</v>
      </c>
      <c r="C2182" s="42" t="s">
        <v>558</v>
      </c>
      <c r="D2182" s="42" t="s">
        <v>3317</v>
      </c>
      <c r="E2182" s="42" t="s">
        <v>3318</v>
      </c>
      <c r="F2182" s="4">
        <v>798.79</v>
      </c>
      <c r="G2182" s="47" t="s">
        <v>570</v>
      </c>
      <c r="H2182" s="12">
        <v>998361</v>
      </c>
      <c r="I2182" s="4">
        <v>0</v>
      </c>
      <c r="J2182" s="4">
        <v>0</v>
      </c>
      <c r="K2182" s="4">
        <v>121.85</v>
      </c>
      <c r="L2182" s="4">
        <v>0</v>
      </c>
      <c r="M2182" s="12" t="s">
        <v>571</v>
      </c>
      <c r="N2182" s="13">
        <f t="shared" si="54"/>
        <v>121.85</v>
      </c>
    </row>
    <row r="2183" spans="1:14">
      <c r="A2183" s="12">
        <v>2182</v>
      </c>
      <c r="B2183" s="1" t="s">
        <v>557</v>
      </c>
      <c r="C2183" s="42" t="s">
        <v>558</v>
      </c>
      <c r="D2183" s="42" t="s">
        <v>3319</v>
      </c>
      <c r="E2183" s="42" t="s">
        <v>3320</v>
      </c>
      <c r="F2183" s="4">
        <v>712.09</v>
      </c>
      <c r="G2183" s="47" t="s">
        <v>570</v>
      </c>
      <c r="H2183" s="12">
        <v>998361</v>
      </c>
      <c r="I2183" s="4">
        <v>0</v>
      </c>
      <c r="J2183" s="4">
        <v>0</v>
      </c>
      <c r="K2183" s="4">
        <v>108.62</v>
      </c>
      <c r="L2183" s="4">
        <v>0</v>
      </c>
      <c r="M2183" s="12" t="s">
        <v>571</v>
      </c>
      <c r="N2183" s="13">
        <f t="shared" si="54"/>
        <v>108.62</v>
      </c>
    </row>
    <row r="2184" spans="1:14">
      <c r="A2184" s="12">
        <v>2183</v>
      </c>
      <c r="B2184" s="1" t="s">
        <v>557</v>
      </c>
      <c r="C2184" s="42" t="s">
        <v>558</v>
      </c>
      <c r="D2184" s="42" t="s">
        <v>3321</v>
      </c>
      <c r="E2184" s="42" t="s">
        <v>3322</v>
      </c>
      <c r="F2184" s="4">
        <v>722.46</v>
      </c>
      <c r="G2184" s="47" t="s">
        <v>570</v>
      </c>
      <c r="H2184" s="12">
        <v>998361</v>
      </c>
      <c r="I2184" s="4">
        <v>0</v>
      </c>
      <c r="J2184" s="4">
        <v>0</v>
      </c>
      <c r="K2184" s="4">
        <v>110.21</v>
      </c>
      <c r="L2184" s="4">
        <v>0</v>
      </c>
      <c r="M2184" s="12" t="s">
        <v>571</v>
      </c>
      <c r="N2184" s="13">
        <f t="shared" si="54"/>
        <v>110.21</v>
      </c>
    </row>
    <row r="2185" spans="1:14">
      <c r="A2185" s="12">
        <v>2184</v>
      </c>
      <c r="B2185" s="1" t="s">
        <v>557</v>
      </c>
      <c r="C2185" s="42" t="s">
        <v>558</v>
      </c>
      <c r="D2185" s="42" t="s">
        <v>3323</v>
      </c>
      <c r="E2185" s="42" t="s">
        <v>3264</v>
      </c>
      <c r="F2185" s="4">
        <v>1224.07</v>
      </c>
      <c r="G2185" s="47" t="s">
        <v>570</v>
      </c>
      <c r="H2185" s="12">
        <v>998361</v>
      </c>
      <c r="I2185" s="4">
        <v>0</v>
      </c>
      <c r="J2185" s="4">
        <v>0</v>
      </c>
      <c r="K2185" s="4">
        <v>186.72</v>
      </c>
      <c r="L2185" s="4">
        <v>0</v>
      </c>
      <c r="M2185" s="12" t="s">
        <v>571</v>
      </c>
      <c r="N2185" s="13">
        <f t="shared" si="54"/>
        <v>186.72</v>
      </c>
    </row>
    <row r="2186" spans="1:14">
      <c r="A2186" s="12">
        <v>2185</v>
      </c>
      <c r="B2186" s="1" t="s">
        <v>557</v>
      </c>
      <c r="C2186" s="42" t="s">
        <v>558</v>
      </c>
      <c r="D2186" s="42" t="s">
        <v>3324</v>
      </c>
      <c r="E2186" s="42" t="s">
        <v>3267</v>
      </c>
      <c r="F2186" s="4">
        <v>789.69</v>
      </c>
      <c r="G2186" s="47" t="s">
        <v>570</v>
      </c>
      <c r="H2186" s="12">
        <v>998361</v>
      </c>
      <c r="I2186" s="4">
        <v>0</v>
      </c>
      <c r="J2186" s="4">
        <v>0</v>
      </c>
      <c r="K2186" s="4">
        <v>120.46</v>
      </c>
      <c r="L2186" s="4">
        <v>0</v>
      </c>
      <c r="M2186" s="12" t="s">
        <v>571</v>
      </c>
      <c r="N2186" s="13">
        <f t="shared" si="54"/>
        <v>120.46</v>
      </c>
    </row>
    <row r="2187" spans="1:14">
      <c r="A2187" s="12">
        <v>2186</v>
      </c>
      <c r="B2187" s="1" t="s">
        <v>528</v>
      </c>
      <c r="C2187" s="42" t="s">
        <v>529</v>
      </c>
      <c r="D2187" s="42" t="s">
        <v>3325</v>
      </c>
      <c r="E2187" s="42" t="s">
        <v>3322</v>
      </c>
      <c r="F2187" s="4">
        <v>1415.12</v>
      </c>
      <c r="G2187" s="47" t="s">
        <v>570</v>
      </c>
      <c r="H2187" s="12">
        <v>998212</v>
      </c>
      <c r="I2187" s="4">
        <v>107.93</v>
      </c>
      <c r="J2187" s="4">
        <v>107.93</v>
      </c>
      <c r="K2187" s="4">
        <v>0</v>
      </c>
      <c r="L2187" s="4">
        <v>0</v>
      </c>
      <c r="M2187" s="12" t="s">
        <v>571</v>
      </c>
      <c r="N2187" s="13">
        <f t="shared" si="54"/>
        <v>215.86</v>
      </c>
    </row>
    <row r="2188" spans="1:14">
      <c r="A2188" s="12">
        <v>2187</v>
      </c>
      <c r="B2188" s="1" t="s">
        <v>528</v>
      </c>
      <c r="C2188" s="42" t="s">
        <v>529</v>
      </c>
      <c r="D2188" s="42" t="s">
        <v>3326</v>
      </c>
      <c r="E2188" s="42" t="s">
        <v>512</v>
      </c>
      <c r="F2188" s="4">
        <v>413</v>
      </c>
      <c r="G2188" s="47" t="s">
        <v>570</v>
      </c>
      <c r="H2188" s="12">
        <v>998212</v>
      </c>
      <c r="I2188" s="4">
        <v>31.5</v>
      </c>
      <c r="J2188" s="4">
        <v>31.5</v>
      </c>
      <c r="K2188" s="4">
        <v>0</v>
      </c>
      <c r="L2188" s="4">
        <v>0</v>
      </c>
      <c r="M2188" s="12" t="s">
        <v>571</v>
      </c>
      <c r="N2188" s="13">
        <f t="shared" si="54"/>
        <v>63</v>
      </c>
    </row>
    <row r="2189" spans="1:14">
      <c r="A2189" s="12">
        <v>2188</v>
      </c>
      <c r="B2189" s="1" t="s">
        <v>3227</v>
      </c>
      <c r="C2189" s="42" t="s">
        <v>3228</v>
      </c>
      <c r="D2189" s="42" t="s">
        <v>3327</v>
      </c>
      <c r="E2189" s="42" t="s">
        <v>512</v>
      </c>
      <c r="F2189" s="4">
        <v>15340</v>
      </c>
      <c r="G2189" s="47" t="s">
        <v>570</v>
      </c>
      <c r="H2189" s="12">
        <v>998383</v>
      </c>
      <c r="I2189" s="4">
        <v>1170</v>
      </c>
      <c r="J2189" s="4">
        <v>1170</v>
      </c>
      <c r="K2189" s="4">
        <v>0</v>
      </c>
      <c r="L2189" s="4">
        <v>0</v>
      </c>
      <c r="M2189" s="12" t="s">
        <v>571</v>
      </c>
      <c r="N2189" s="13">
        <f t="shared" si="54"/>
        <v>2340</v>
      </c>
    </row>
    <row r="2190" spans="1:14">
      <c r="A2190" s="12">
        <v>2189</v>
      </c>
      <c r="B2190" s="1" t="s">
        <v>3328</v>
      </c>
      <c r="C2190" s="42" t="s">
        <v>3329</v>
      </c>
      <c r="D2190" s="42" t="s">
        <v>3330</v>
      </c>
      <c r="E2190" s="42" t="s">
        <v>3267</v>
      </c>
      <c r="F2190" s="4">
        <v>294000</v>
      </c>
      <c r="G2190" s="47" t="s">
        <v>60</v>
      </c>
      <c r="H2190" s="12" t="s">
        <v>1641</v>
      </c>
      <c r="I2190" s="4">
        <v>0</v>
      </c>
      <c r="J2190" s="4">
        <v>0</v>
      </c>
      <c r="K2190" s="4">
        <v>14000</v>
      </c>
      <c r="L2190" s="4">
        <v>0</v>
      </c>
      <c r="M2190" s="12" t="s">
        <v>571</v>
      </c>
      <c r="N2190" s="13">
        <f t="shared" si="54"/>
        <v>14000</v>
      </c>
    </row>
    <row r="2191" spans="1:14">
      <c r="A2191" s="12">
        <v>2190</v>
      </c>
      <c r="B2191" s="1" t="s">
        <v>1762</v>
      </c>
      <c r="C2191" s="42" t="s">
        <v>1763</v>
      </c>
      <c r="D2191" s="42" t="s">
        <v>3331</v>
      </c>
      <c r="E2191" s="42" t="s">
        <v>512</v>
      </c>
      <c r="F2191" s="4">
        <v>7608</v>
      </c>
      <c r="G2191" s="47" t="s">
        <v>570</v>
      </c>
      <c r="H2191" s="12">
        <v>9987</v>
      </c>
      <c r="I2191" s="4">
        <v>580.32000000000005</v>
      </c>
      <c r="J2191" s="4">
        <v>580.32000000000005</v>
      </c>
      <c r="K2191" s="4">
        <v>0</v>
      </c>
      <c r="L2191" s="4">
        <v>0</v>
      </c>
      <c r="M2191" s="12" t="s">
        <v>571</v>
      </c>
      <c r="N2191" s="13">
        <f t="shared" si="54"/>
        <v>1160.6400000000001</v>
      </c>
    </row>
    <row r="2192" spans="1:14">
      <c r="A2192" s="12">
        <v>2191</v>
      </c>
      <c r="B2192" s="1" t="s">
        <v>1762</v>
      </c>
      <c r="C2192" s="42" t="s">
        <v>1763</v>
      </c>
      <c r="D2192" s="42" t="s">
        <v>3332</v>
      </c>
      <c r="E2192" s="42" t="s">
        <v>512</v>
      </c>
      <c r="F2192" s="4">
        <v>3949</v>
      </c>
      <c r="G2192" s="47" t="s">
        <v>570</v>
      </c>
      <c r="H2192" s="12">
        <v>9987</v>
      </c>
      <c r="I2192" s="4">
        <v>301.23</v>
      </c>
      <c r="J2192" s="4">
        <v>301.23</v>
      </c>
      <c r="K2192" s="4">
        <v>0</v>
      </c>
      <c r="L2192" s="4">
        <v>0</v>
      </c>
      <c r="M2192" s="12" t="s">
        <v>571</v>
      </c>
      <c r="N2192" s="13">
        <f t="shared" si="54"/>
        <v>602.46</v>
      </c>
    </row>
    <row r="2193" spans="1:14">
      <c r="A2193" s="12">
        <v>2192</v>
      </c>
      <c r="B2193" s="1" t="s">
        <v>1637</v>
      </c>
      <c r="C2193" s="42" t="s">
        <v>1638</v>
      </c>
      <c r="D2193" s="42" t="s">
        <v>3333</v>
      </c>
      <c r="E2193" s="42" t="s">
        <v>512</v>
      </c>
      <c r="F2193" s="4">
        <v>4000.5</v>
      </c>
      <c r="G2193" s="47" t="s">
        <v>60</v>
      </c>
      <c r="H2193" s="12" t="s">
        <v>1641</v>
      </c>
      <c r="I2193" s="4">
        <v>0</v>
      </c>
      <c r="J2193" s="4">
        <v>0</v>
      </c>
      <c r="K2193" s="4">
        <v>190.5</v>
      </c>
      <c r="L2193" s="4">
        <v>0</v>
      </c>
      <c r="M2193" s="12" t="s">
        <v>571</v>
      </c>
      <c r="N2193" s="13">
        <f t="shared" si="54"/>
        <v>190.5</v>
      </c>
    </row>
    <row r="2194" spans="1:14">
      <c r="A2194" s="12">
        <v>2193</v>
      </c>
      <c r="B2194" s="1" t="s">
        <v>1637</v>
      </c>
      <c r="C2194" s="42" t="s">
        <v>1638</v>
      </c>
      <c r="D2194" s="42" t="s">
        <v>3334</v>
      </c>
      <c r="E2194" s="42" t="s">
        <v>512</v>
      </c>
      <c r="F2194" s="4">
        <v>4436.8</v>
      </c>
      <c r="G2194" s="47" t="s">
        <v>60</v>
      </c>
      <c r="H2194" s="12">
        <v>7310</v>
      </c>
      <c r="I2194" s="4">
        <v>0</v>
      </c>
      <c r="J2194" s="4">
        <v>0</v>
      </c>
      <c r="K2194" s="4">
        <v>676.8</v>
      </c>
      <c r="L2194" s="4">
        <v>0</v>
      </c>
      <c r="M2194" s="12" t="s">
        <v>571</v>
      </c>
      <c r="N2194" s="13">
        <f t="shared" si="54"/>
        <v>676.8</v>
      </c>
    </row>
    <row r="2195" spans="1:14">
      <c r="A2195" s="12">
        <v>2194</v>
      </c>
      <c r="B2195" s="1" t="s">
        <v>1637</v>
      </c>
      <c r="C2195" s="42" t="s">
        <v>1638</v>
      </c>
      <c r="D2195" s="42" t="s">
        <v>3335</v>
      </c>
      <c r="E2195" s="42" t="s">
        <v>512</v>
      </c>
      <c r="F2195" s="4">
        <v>12602.1</v>
      </c>
      <c r="G2195" s="47" t="s">
        <v>60</v>
      </c>
      <c r="H2195" s="12" t="s">
        <v>1641</v>
      </c>
      <c r="I2195" s="4">
        <v>0</v>
      </c>
      <c r="J2195" s="4">
        <v>0</v>
      </c>
      <c r="K2195" s="4">
        <v>600.1</v>
      </c>
      <c r="L2195" s="4">
        <v>0</v>
      </c>
      <c r="M2195" s="12" t="s">
        <v>571</v>
      </c>
      <c r="N2195" s="13">
        <f t="shared" si="54"/>
        <v>600.1</v>
      </c>
    </row>
    <row r="2196" spans="1:14">
      <c r="A2196" s="12">
        <v>2195</v>
      </c>
      <c r="B2196" s="1" t="s">
        <v>1637</v>
      </c>
      <c r="C2196" s="42" t="s">
        <v>1638</v>
      </c>
      <c r="D2196" s="42" t="s">
        <v>3336</v>
      </c>
      <c r="E2196" s="42" t="s">
        <v>3273</v>
      </c>
      <c r="F2196" s="4">
        <v>49280.18</v>
      </c>
      <c r="G2196" s="47" t="s">
        <v>60</v>
      </c>
      <c r="H2196" s="12" t="s">
        <v>1641</v>
      </c>
      <c r="I2196" s="4">
        <v>0</v>
      </c>
      <c r="J2196" s="4">
        <v>0</v>
      </c>
      <c r="K2196" s="4">
        <v>2346.6799999999998</v>
      </c>
      <c r="L2196" s="4">
        <v>0</v>
      </c>
      <c r="M2196" s="12" t="s">
        <v>571</v>
      </c>
      <c r="N2196" s="13">
        <f t="shared" si="54"/>
        <v>2346.6799999999998</v>
      </c>
    </row>
    <row r="2197" spans="1:14">
      <c r="A2197" s="12">
        <v>2196</v>
      </c>
      <c r="B2197" s="1" t="s">
        <v>1637</v>
      </c>
      <c r="C2197" s="42" t="s">
        <v>1638</v>
      </c>
      <c r="D2197" s="42" t="s">
        <v>3337</v>
      </c>
      <c r="E2197" s="42" t="s">
        <v>3275</v>
      </c>
      <c r="F2197" s="4">
        <v>49492.800000000003</v>
      </c>
      <c r="G2197" s="47" t="s">
        <v>60</v>
      </c>
      <c r="H2197" s="12" t="s">
        <v>1641</v>
      </c>
      <c r="I2197" s="4">
        <v>0</v>
      </c>
      <c r="J2197" s="4">
        <v>0</v>
      </c>
      <c r="K2197" s="4">
        <v>2356.8000000000002</v>
      </c>
      <c r="L2197" s="4">
        <v>0</v>
      </c>
      <c r="M2197" s="12" t="s">
        <v>571</v>
      </c>
      <c r="N2197" s="13">
        <f t="shared" si="54"/>
        <v>2356.8000000000002</v>
      </c>
    </row>
    <row r="2198" spans="1:14">
      <c r="A2198" s="12">
        <v>2197</v>
      </c>
      <c r="B2198" s="1" t="s">
        <v>1637</v>
      </c>
      <c r="C2198" s="42" t="s">
        <v>1638</v>
      </c>
      <c r="D2198" s="42" t="s">
        <v>3338</v>
      </c>
      <c r="E2198" s="42" t="s">
        <v>3277</v>
      </c>
      <c r="F2198" s="4">
        <v>48640.21</v>
      </c>
      <c r="G2198" s="47" t="s">
        <v>60</v>
      </c>
      <c r="H2198" s="12" t="s">
        <v>1641</v>
      </c>
      <c r="I2198" s="4">
        <v>0</v>
      </c>
      <c r="J2198" s="4">
        <v>0</v>
      </c>
      <c r="K2198" s="4">
        <v>2316.1999999999998</v>
      </c>
      <c r="L2198" s="4">
        <v>0</v>
      </c>
      <c r="M2198" s="12" t="s">
        <v>571</v>
      </c>
      <c r="N2198" s="13">
        <f t="shared" si="54"/>
        <v>2316.1999999999998</v>
      </c>
    </row>
    <row r="2199" spans="1:14">
      <c r="A2199" s="12">
        <v>2198</v>
      </c>
      <c r="B2199" s="1" t="s">
        <v>1637</v>
      </c>
      <c r="C2199" s="42" t="s">
        <v>1638</v>
      </c>
      <c r="D2199" s="42" t="s">
        <v>3339</v>
      </c>
      <c r="E2199" s="42" t="s">
        <v>3277</v>
      </c>
      <c r="F2199" s="4">
        <v>1132.8</v>
      </c>
      <c r="G2199" s="47" t="s">
        <v>60</v>
      </c>
      <c r="H2199" s="12">
        <v>4819</v>
      </c>
      <c r="I2199" s="4">
        <v>0</v>
      </c>
      <c r="J2199" s="4">
        <v>0</v>
      </c>
      <c r="K2199" s="4">
        <v>172.8</v>
      </c>
      <c r="L2199" s="4">
        <v>0</v>
      </c>
      <c r="M2199" s="12" t="s">
        <v>571</v>
      </c>
      <c r="N2199" s="13">
        <f t="shared" si="54"/>
        <v>172.8</v>
      </c>
    </row>
    <row r="2200" spans="1:14">
      <c r="A2200" s="12">
        <v>2199</v>
      </c>
      <c r="B2200" s="1" t="s">
        <v>1637</v>
      </c>
      <c r="C2200" s="42" t="s">
        <v>1638</v>
      </c>
      <c r="D2200" s="42" t="s">
        <v>3340</v>
      </c>
      <c r="E2200" s="42" t="s">
        <v>3279</v>
      </c>
      <c r="F2200" s="4">
        <v>33720.75</v>
      </c>
      <c r="G2200" s="47" t="s">
        <v>60</v>
      </c>
      <c r="H2200" s="12" t="s">
        <v>1641</v>
      </c>
      <c r="I2200" s="4">
        <v>0</v>
      </c>
      <c r="J2200" s="4">
        <v>0</v>
      </c>
      <c r="K2200" s="4">
        <v>1605.75</v>
      </c>
      <c r="L2200" s="4">
        <v>0</v>
      </c>
      <c r="M2200" s="12" t="s">
        <v>571</v>
      </c>
      <c r="N2200" s="13">
        <f t="shared" si="54"/>
        <v>1605.75</v>
      </c>
    </row>
    <row r="2201" spans="1:14">
      <c r="A2201" s="12">
        <v>2200</v>
      </c>
      <c r="B2201" s="1" t="s">
        <v>1637</v>
      </c>
      <c r="C2201" s="42" t="s">
        <v>1638</v>
      </c>
      <c r="D2201" s="42" t="s">
        <v>3341</v>
      </c>
      <c r="E2201" s="42" t="s">
        <v>3279</v>
      </c>
      <c r="F2201" s="4">
        <v>5803.24</v>
      </c>
      <c r="G2201" s="47" t="s">
        <v>60</v>
      </c>
      <c r="H2201" s="12">
        <v>3923</v>
      </c>
      <c r="I2201" s="4">
        <v>0</v>
      </c>
      <c r="J2201" s="4">
        <v>0</v>
      </c>
      <c r="K2201" s="4">
        <v>885.24</v>
      </c>
      <c r="L2201" s="4">
        <v>0</v>
      </c>
      <c r="M2201" s="12" t="s">
        <v>571</v>
      </c>
      <c r="N2201" s="13">
        <f t="shared" si="54"/>
        <v>885.24</v>
      </c>
    </row>
    <row r="2202" spans="1:14">
      <c r="A2202" s="12">
        <v>2201</v>
      </c>
      <c r="B2202" s="1" t="s">
        <v>1637</v>
      </c>
      <c r="C2202" s="42" t="s">
        <v>1638</v>
      </c>
      <c r="D2202" s="42" t="s">
        <v>3342</v>
      </c>
      <c r="E2202" s="42" t="s">
        <v>3279</v>
      </c>
      <c r="F2202" s="4">
        <v>8795.85</v>
      </c>
      <c r="G2202" s="47" t="s">
        <v>60</v>
      </c>
      <c r="H2202" s="12" t="s">
        <v>1641</v>
      </c>
      <c r="I2202" s="4">
        <v>0</v>
      </c>
      <c r="J2202" s="4">
        <v>0</v>
      </c>
      <c r="K2202" s="4">
        <v>418.85</v>
      </c>
      <c r="L2202" s="4">
        <v>0</v>
      </c>
      <c r="M2202" s="12" t="s">
        <v>571</v>
      </c>
      <c r="N2202" s="13">
        <f t="shared" si="54"/>
        <v>418.85</v>
      </c>
    </row>
    <row r="2203" spans="1:14">
      <c r="A2203" s="12">
        <v>2202</v>
      </c>
      <c r="B2203" s="1" t="s">
        <v>1637</v>
      </c>
      <c r="C2203" s="42" t="s">
        <v>1638</v>
      </c>
      <c r="D2203" s="42" t="s">
        <v>3343</v>
      </c>
      <c r="E2203" s="42" t="s">
        <v>3281</v>
      </c>
      <c r="F2203" s="4">
        <v>22008</v>
      </c>
      <c r="G2203" s="47" t="s">
        <v>60</v>
      </c>
      <c r="H2203" s="12" t="s">
        <v>1641</v>
      </c>
      <c r="I2203" s="4">
        <v>0</v>
      </c>
      <c r="J2203" s="4">
        <v>0</v>
      </c>
      <c r="K2203" s="4">
        <v>1048</v>
      </c>
      <c r="L2203" s="4">
        <v>0</v>
      </c>
      <c r="M2203" s="12" t="s">
        <v>571</v>
      </c>
      <c r="N2203" s="13">
        <f t="shared" si="54"/>
        <v>1048</v>
      </c>
    </row>
    <row r="2204" spans="1:14">
      <c r="A2204" s="12">
        <v>2203</v>
      </c>
      <c r="B2204" s="1" t="s">
        <v>1637</v>
      </c>
      <c r="C2204" s="42" t="s">
        <v>1638</v>
      </c>
      <c r="D2204" s="42" t="s">
        <v>3344</v>
      </c>
      <c r="E2204" s="42" t="s">
        <v>3281</v>
      </c>
      <c r="F2204" s="4">
        <v>25410</v>
      </c>
      <c r="G2204" s="47" t="s">
        <v>60</v>
      </c>
      <c r="H2204" s="12" t="s">
        <v>1641</v>
      </c>
      <c r="I2204" s="4">
        <v>0</v>
      </c>
      <c r="J2204" s="4">
        <v>0</v>
      </c>
      <c r="K2204" s="4">
        <v>1210</v>
      </c>
      <c r="L2204" s="4">
        <v>0</v>
      </c>
      <c r="M2204" s="12" t="s">
        <v>571</v>
      </c>
      <c r="N2204" s="13">
        <f t="shared" si="54"/>
        <v>1210</v>
      </c>
    </row>
    <row r="2205" spans="1:14">
      <c r="A2205" s="12">
        <v>2204</v>
      </c>
      <c r="B2205" s="1" t="s">
        <v>1637</v>
      </c>
      <c r="C2205" s="42" t="s">
        <v>1638</v>
      </c>
      <c r="D2205" s="42" t="s">
        <v>3345</v>
      </c>
      <c r="E2205" s="42" t="s">
        <v>3283</v>
      </c>
      <c r="F2205" s="4">
        <v>35973</v>
      </c>
      <c r="G2205" s="47" t="s">
        <v>60</v>
      </c>
      <c r="H2205" s="12" t="s">
        <v>1641</v>
      </c>
      <c r="I2205" s="4">
        <v>0</v>
      </c>
      <c r="J2205" s="4">
        <v>0</v>
      </c>
      <c r="K2205" s="4">
        <v>1713</v>
      </c>
      <c r="L2205" s="4">
        <v>0</v>
      </c>
      <c r="M2205" s="12" t="s">
        <v>571</v>
      </c>
      <c r="N2205" s="13">
        <f t="shared" si="54"/>
        <v>1713</v>
      </c>
    </row>
    <row r="2206" spans="1:14">
      <c r="A2206" s="12">
        <v>2205</v>
      </c>
      <c r="B2206" s="1" t="s">
        <v>1637</v>
      </c>
      <c r="C2206" s="42" t="s">
        <v>1638</v>
      </c>
      <c r="D2206" s="42" t="s">
        <v>3346</v>
      </c>
      <c r="E2206" s="42" t="s">
        <v>3283</v>
      </c>
      <c r="F2206" s="4">
        <v>7900.1</v>
      </c>
      <c r="G2206" s="47" t="s">
        <v>60</v>
      </c>
      <c r="H2206" s="12">
        <v>4819</v>
      </c>
      <c r="I2206" s="4">
        <v>0</v>
      </c>
      <c r="J2206" s="4">
        <v>0</v>
      </c>
      <c r="K2206" s="4">
        <v>1205.0999999999999</v>
      </c>
      <c r="L2206" s="4">
        <v>0</v>
      </c>
      <c r="M2206" s="12" t="s">
        <v>571</v>
      </c>
      <c r="N2206" s="13">
        <f t="shared" si="54"/>
        <v>1205.0999999999999</v>
      </c>
    </row>
    <row r="2207" spans="1:14">
      <c r="A2207" s="12">
        <v>2206</v>
      </c>
      <c r="B2207" s="1" t="s">
        <v>1637</v>
      </c>
      <c r="C2207" s="42" t="s">
        <v>1638</v>
      </c>
      <c r="D2207" s="42" t="s">
        <v>3347</v>
      </c>
      <c r="E2207" s="42" t="s">
        <v>3285</v>
      </c>
      <c r="F2207" s="4">
        <v>44657.87</v>
      </c>
      <c r="G2207" s="47" t="s">
        <v>60</v>
      </c>
      <c r="H2207" s="12" t="s">
        <v>1641</v>
      </c>
      <c r="I2207" s="4">
        <v>0</v>
      </c>
      <c r="J2207" s="4">
        <v>0</v>
      </c>
      <c r="K2207" s="4">
        <v>2126.5700000000002</v>
      </c>
      <c r="L2207" s="4">
        <v>0</v>
      </c>
      <c r="M2207" s="12" t="s">
        <v>571</v>
      </c>
      <c r="N2207" s="13">
        <f t="shared" si="54"/>
        <v>2126.5700000000002</v>
      </c>
    </row>
    <row r="2208" spans="1:14">
      <c r="A2208" s="12">
        <v>2207</v>
      </c>
      <c r="B2208" s="1" t="s">
        <v>1637</v>
      </c>
      <c r="C2208" s="42" t="s">
        <v>1638</v>
      </c>
      <c r="D2208" s="42" t="s">
        <v>3348</v>
      </c>
      <c r="E2208" s="42" t="s">
        <v>3285</v>
      </c>
      <c r="F2208" s="4">
        <v>1038.4000000000001</v>
      </c>
      <c r="G2208" s="47" t="s">
        <v>60</v>
      </c>
      <c r="H2208" s="12">
        <v>4819</v>
      </c>
      <c r="I2208" s="4">
        <v>0</v>
      </c>
      <c r="J2208" s="4">
        <v>0</v>
      </c>
      <c r="K2208" s="4">
        <v>158.4</v>
      </c>
      <c r="L2208" s="4">
        <v>0</v>
      </c>
      <c r="M2208" s="12" t="s">
        <v>571</v>
      </c>
      <c r="N2208" s="13">
        <f t="shared" si="54"/>
        <v>158.4</v>
      </c>
    </row>
    <row r="2209" spans="1:14">
      <c r="A2209" s="12">
        <v>2208</v>
      </c>
      <c r="B2209" s="1" t="s">
        <v>1637</v>
      </c>
      <c r="C2209" s="42" t="s">
        <v>1638</v>
      </c>
      <c r="D2209" s="42" t="s">
        <v>3349</v>
      </c>
      <c r="E2209" s="42" t="s">
        <v>3258</v>
      </c>
      <c r="F2209" s="4">
        <v>21640.5</v>
      </c>
      <c r="G2209" s="47" t="s">
        <v>60</v>
      </c>
      <c r="H2209" s="12" t="s">
        <v>1641</v>
      </c>
      <c r="I2209" s="4">
        <v>0</v>
      </c>
      <c r="J2209" s="4">
        <v>0</v>
      </c>
      <c r="K2209" s="4">
        <v>1030.5</v>
      </c>
      <c r="L2209" s="4">
        <v>0</v>
      </c>
      <c r="M2209" s="12" t="s">
        <v>571</v>
      </c>
      <c r="N2209" s="13">
        <f t="shared" si="54"/>
        <v>1030.5</v>
      </c>
    </row>
    <row r="2210" spans="1:14">
      <c r="A2210" s="12">
        <v>2209</v>
      </c>
      <c r="B2210" s="1" t="s">
        <v>1637</v>
      </c>
      <c r="C2210" s="42" t="s">
        <v>1638</v>
      </c>
      <c r="D2210" s="42" t="s">
        <v>3350</v>
      </c>
      <c r="E2210" s="42" t="s">
        <v>3288</v>
      </c>
      <c r="F2210" s="4">
        <v>12285.53</v>
      </c>
      <c r="G2210" s="47" t="s">
        <v>60</v>
      </c>
      <c r="H2210" s="12" t="s">
        <v>1641</v>
      </c>
      <c r="I2210" s="4">
        <v>0</v>
      </c>
      <c r="J2210" s="4">
        <v>0</v>
      </c>
      <c r="K2210" s="4">
        <v>585.03</v>
      </c>
      <c r="L2210" s="4">
        <v>0</v>
      </c>
      <c r="M2210" s="12" t="s">
        <v>571</v>
      </c>
      <c r="N2210" s="13">
        <f t="shared" ref="N2210:N2260" si="55">SUM(I2210:K2210)</f>
        <v>585.03</v>
      </c>
    </row>
    <row r="2211" spans="1:14">
      <c r="A2211" s="12">
        <v>2210</v>
      </c>
      <c r="B2211" s="1" t="s">
        <v>1637</v>
      </c>
      <c r="C2211" s="42" t="s">
        <v>1638</v>
      </c>
      <c r="D2211" s="42" t="s">
        <v>3351</v>
      </c>
      <c r="E2211" s="42" t="s">
        <v>3288</v>
      </c>
      <c r="F2211" s="4">
        <v>566.4</v>
      </c>
      <c r="G2211" s="47" t="s">
        <v>60</v>
      </c>
      <c r="H2211" s="12">
        <v>4819</v>
      </c>
      <c r="I2211" s="4">
        <v>0</v>
      </c>
      <c r="J2211" s="4">
        <v>0</v>
      </c>
      <c r="K2211" s="4">
        <v>86.4</v>
      </c>
      <c r="L2211" s="4">
        <v>0</v>
      </c>
      <c r="M2211" s="12" t="s">
        <v>571</v>
      </c>
      <c r="N2211" s="13">
        <f t="shared" si="55"/>
        <v>86.4</v>
      </c>
    </row>
    <row r="2212" spans="1:14">
      <c r="A2212" s="12">
        <v>2211</v>
      </c>
      <c r="B2212" s="1" t="s">
        <v>1637</v>
      </c>
      <c r="C2212" s="42" t="s">
        <v>1638</v>
      </c>
      <c r="D2212" s="42" t="s">
        <v>3352</v>
      </c>
      <c r="E2212" s="42" t="s">
        <v>3288</v>
      </c>
      <c r="F2212" s="4">
        <v>34248.269999999997</v>
      </c>
      <c r="G2212" s="47" t="s">
        <v>60</v>
      </c>
      <c r="H2212" s="12" t="s">
        <v>1641</v>
      </c>
      <c r="I2212" s="4">
        <v>0</v>
      </c>
      <c r="J2212" s="4">
        <v>0</v>
      </c>
      <c r="K2212" s="4">
        <v>1630.87</v>
      </c>
      <c r="L2212" s="4">
        <v>0</v>
      </c>
      <c r="M2212" s="12" t="s">
        <v>571</v>
      </c>
      <c r="N2212" s="13">
        <f t="shared" si="55"/>
        <v>1630.87</v>
      </c>
    </row>
    <row r="2213" spans="1:14">
      <c r="A2213" s="12">
        <v>2212</v>
      </c>
      <c r="B2213" s="1" t="s">
        <v>1637</v>
      </c>
      <c r="C2213" s="42" t="s">
        <v>1638</v>
      </c>
      <c r="D2213" s="42" t="s">
        <v>3353</v>
      </c>
      <c r="E2213" s="42" t="s">
        <v>3291</v>
      </c>
      <c r="F2213" s="4">
        <v>38483.550000000003</v>
      </c>
      <c r="G2213" s="47" t="s">
        <v>60</v>
      </c>
      <c r="H2213" s="12" t="s">
        <v>1641</v>
      </c>
      <c r="I2213" s="4">
        <v>0</v>
      </c>
      <c r="J2213" s="4">
        <v>0</v>
      </c>
      <c r="K2213" s="4">
        <v>1832.55</v>
      </c>
      <c r="L2213" s="4">
        <v>0</v>
      </c>
      <c r="M2213" s="12" t="s">
        <v>571</v>
      </c>
      <c r="N2213" s="13">
        <f t="shared" si="55"/>
        <v>1832.55</v>
      </c>
    </row>
    <row r="2214" spans="1:14">
      <c r="A2214" s="12">
        <v>2213</v>
      </c>
      <c r="B2214" s="1" t="s">
        <v>1637</v>
      </c>
      <c r="C2214" s="42" t="s">
        <v>1638</v>
      </c>
      <c r="D2214" s="42" t="s">
        <v>3354</v>
      </c>
      <c r="E2214" s="42" t="s">
        <v>3291</v>
      </c>
      <c r="F2214" s="4">
        <v>6844</v>
      </c>
      <c r="G2214" s="47" t="s">
        <v>60</v>
      </c>
      <c r="H2214" s="12">
        <v>3923</v>
      </c>
      <c r="I2214" s="4">
        <v>0</v>
      </c>
      <c r="J2214" s="4">
        <v>0</v>
      </c>
      <c r="K2214" s="4">
        <v>1044</v>
      </c>
      <c r="L2214" s="4">
        <v>0</v>
      </c>
      <c r="M2214" s="12" t="s">
        <v>571</v>
      </c>
      <c r="N2214" s="13">
        <f t="shared" si="55"/>
        <v>1044</v>
      </c>
    </row>
    <row r="2215" spans="1:14">
      <c r="A2215" s="12">
        <v>2214</v>
      </c>
      <c r="B2215" s="1" t="s">
        <v>1637</v>
      </c>
      <c r="C2215" s="42" t="s">
        <v>1638</v>
      </c>
      <c r="D2215" s="42" t="s">
        <v>3355</v>
      </c>
      <c r="E2215" s="42" t="s">
        <v>3293</v>
      </c>
      <c r="F2215" s="4">
        <v>32851.199999999997</v>
      </c>
      <c r="G2215" s="47" t="s">
        <v>60</v>
      </c>
      <c r="H2215" s="12">
        <v>7310</v>
      </c>
      <c r="I2215" s="4">
        <v>0</v>
      </c>
      <c r="J2215" s="4">
        <v>0</v>
      </c>
      <c r="K2215" s="4">
        <v>5011.2</v>
      </c>
      <c r="L2215" s="4">
        <v>0</v>
      </c>
      <c r="M2215" s="12" t="s">
        <v>571</v>
      </c>
      <c r="N2215" s="13">
        <f t="shared" si="55"/>
        <v>5011.2</v>
      </c>
    </row>
    <row r="2216" spans="1:14">
      <c r="A2216" s="12">
        <v>2215</v>
      </c>
      <c r="B2216" s="1" t="s">
        <v>1637</v>
      </c>
      <c r="C2216" s="42" t="s">
        <v>1638</v>
      </c>
      <c r="D2216" s="42" t="s">
        <v>3356</v>
      </c>
      <c r="E2216" s="42" t="s">
        <v>3293</v>
      </c>
      <c r="F2216" s="4">
        <v>14010.41</v>
      </c>
      <c r="G2216" s="47" t="s">
        <v>60</v>
      </c>
      <c r="H2216" s="12" t="s">
        <v>1641</v>
      </c>
      <c r="I2216" s="4">
        <v>0</v>
      </c>
      <c r="J2216" s="4">
        <v>0</v>
      </c>
      <c r="K2216" s="4">
        <v>667.16</v>
      </c>
      <c r="L2216" s="4">
        <v>0</v>
      </c>
      <c r="M2216" s="12" t="s">
        <v>571</v>
      </c>
      <c r="N2216" s="13">
        <f t="shared" si="55"/>
        <v>667.16</v>
      </c>
    </row>
    <row r="2217" spans="1:14">
      <c r="A2217" s="12">
        <v>2216</v>
      </c>
      <c r="B2217" s="1" t="s">
        <v>1637</v>
      </c>
      <c r="C2217" s="42" t="s">
        <v>1638</v>
      </c>
      <c r="D2217" s="42" t="s">
        <v>3357</v>
      </c>
      <c r="E2217" s="42" t="s">
        <v>3295</v>
      </c>
      <c r="F2217" s="4">
        <v>27623.4</v>
      </c>
      <c r="G2217" s="47" t="s">
        <v>60</v>
      </c>
      <c r="H2217" s="12" t="s">
        <v>1641</v>
      </c>
      <c r="I2217" s="4">
        <v>0</v>
      </c>
      <c r="J2217" s="4">
        <v>0</v>
      </c>
      <c r="K2217" s="4">
        <v>1315.4</v>
      </c>
      <c r="L2217" s="4">
        <v>0</v>
      </c>
      <c r="M2217" s="12" t="s">
        <v>571</v>
      </c>
      <c r="N2217" s="13">
        <f t="shared" si="55"/>
        <v>1315.4</v>
      </c>
    </row>
    <row r="2218" spans="1:14">
      <c r="A2218" s="12">
        <v>2217</v>
      </c>
      <c r="B2218" s="1" t="s">
        <v>1637</v>
      </c>
      <c r="C2218" s="42" t="s">
        <v>1638</v>
      </c>
      <c r="D2218" s="42" t="s">
        <v>3358</v>
      </c>
      <c r="E2218" s="42" t="s">
        <v>3295</v>
      </c>
      <c r="F2218" s="4">
        <v>2419</v>
      </c>
      <c r="G2218" s="47" t="s">
        <v>60</v>
      </c>
      <c r="H2218" s="12">
        <v>3923</v>
      </c>
      <c r="I2218" s="4">
        <v>0</v>
      </c>
      <c r="J2218" s="4">
        <v>0</v>
      </c>
      <c r="K2218" s="4">
        <v>369</v>
      </c>
      <c r="L2218" s="4">
        <v>0</v>
      </c>
      <c r="M2218" s="12" t="s">
        <v>571</v>
      </c>
      <c r="N2218" s="13">
        <f t="shared" si="55"/>
        <v>369</v>
      </c>
    </row>
    <row r="2219" spans="1:14">
      <c r="A2219" s="12">
        <v>2218</v>
      </c>
      <c r="B2219" s="1" t="s">
        <v>1637</v>
      </c>
      <c r="C2219" s="42" t="s">
        <v>1638</v>
      </c>
      <c r="D2219" s="42" t="s">
        <v>3359</v>
      </c>
      <c r="E2219" s="42" t="s">
        <v>3297</v>
      </c>
      <c r="F2219" s="4">
        <v>12626</v>
      </c>
      <c r="G2219" s="47" t="s">
        <v>60</v>
      </c>
      <c r="H2219" s="12">
        <v>7310</v>
      </c>
      <c r="I2219" s="4">
        <v>0</v>
      </c>
      <c r="J2219" s="4">
        <v>0</v>
      </c>
      <c r="K2219" s="4">
        <v>1926</v>
      </c>
      <c r="L2219" s="4">
        <v>0</v>
      </c>
      <c r="M2219" s="12" t="s">
        <v>571</v>
      </c>
      <c r="N2219" s="13">
        <f t="shared" si="55"/>
        <v>1926</v>
      </c>
    </row>
    <row r="2220" spans="1:14">
      <c r="A2220" s="12">
        <v>2219</v>
      </c>
      <c r="B2220" s="1" t="s">
        <v>1637</v>
      </c>
      <c r="C2220" s="42" t="s">
        <v>1638</v>
      </c>
      <c r="D2220" s="42" t="s">
        <v>3360</v>
      </c>
      <c r="E2220" s="42" t="s">
        <v>3297</v>
      </c>
      <c r="F2220" s="4">
        <v>36445.5</v>
      </c>
      <c r="G2220" s="47" t="s">
        <v>60</v>
      </c>
      <c r="H2220" s="12" t="s">
        <v>1641</v>
      </c>
      <c r="I2220" s="4">
        <v>0</v>
      </c>
      <c r="J2220" s="4">
        <v>0</v>
      </c>
      <c r="K2220" s="4">
        <v>1735.5</v>
      </c>
      <c r="L2220" s="4">
        <v>0</v>
      </c>
      <c r="M2220" s="12" t="s">
        <v>571</v>
      </c>
      <c r="N2220" s="13">
        <f t="shared" si="55"/>
        <v>1735.5</v>
      </c>
    </row>
    <row r="2221" spans="1:14">
      <c r="A2221" s="12">
        <v>2220</v>
      </c>
      <c r="B2221" s="1" t="s">
        <v>1637</v>
      </c>
      <c r="C2221" s="42" t="s">
        <v>1638</v>
      </c>
      <c r="D2221" s="42" t="s">
        <v>3361</v>
      </c>
      <c r="E2221" s="42" t="s">
        <v>3299</v>
      </c>
      <c r="F2221" s="4">
        <v>1829</v>
      </c>
      <c r="G2221" s="47" t="s">
        <v>60</v>
      </c>
      <c r="H2221" s="12">
        <v>3923</v>
      </c>
      <c r="I2221" s="4">
        <v>0</v>
      </c>
      <c r="J2221" s="4">
        <v>0</v>
      </c>
      <c r="K2221" s="4">
        <v>279</v>
      </c>
      <c r="L2221" s="4">
        <v>0</v>
      </c>
      <c r="M2221" s="12" t="s">
        <v>571</v>
      </c>
      <c r="N2221" s="13">
        <f t="shared" si="55"/>
        <v>279</v>
      </c>
    </row>
    <row r="2222" spans="1:14">
      <c r="A2222" s="12">
        <v>2221</v>
      </c>
      <c r="B2222" s="1" t="s">
        <v>1637</v>
      </c>
      <c r="C2222" s="42" t="s">
        <v>1638</v>
      </c>
      <c r="D2222" s="42" t="s">
        <v>3362</v>
      </c>
      <c r="E2222" s="42" t="s">
        <v>3299</v>
      </c>
      <c r="F2222" s="4">
        <v>47250</v>
      </c>
      <c r="G2222" s="47" t="s">
        <v>60</v>
      </c>
      <c r="H2222" s="12" t="s">
        <v>1641</v>
      </c>
      <c r="I2222" s="4">
        <v>0</v>
      </c>
      <c r="J2222" s="4">
        <v>0</v>
      </c>
      <c r="K2222" s="4">
        <v>2250</v>
      </c>
      <c r="L2222" s="4">
        <v>0</v>
      </c>
      <c r="M2222" s="12" t="s">
        <v>571</v>
      </c>
      <c r="N2222" s="13">
        <f t="shared" si="55"/>
        <v>2250</v>
      </c>
    </row>
    <row r="2223" spans="1:14">
      <c r="A2223" s="12">
        <v>2222</v>
      </c>
      <c r="B2223" s="1" t="s">
        <v>1637</v>
      </c>
      <c r="C2223" s="42" t="s">
        <v>1638</v>
      </c>
      <c r="D2223" s="42" t="s">
        <v>3363</v>
      </c>
      <c r="E2223" s="42" t="s">
        <v>3301</v>
      </c>
      <c r="F2223" s="4">
        <v>15867.6</v>
      </c>
      <c r="G2223" s="47" t="s">
        <v>60</v>
      </c>
      <c r="H2223" s="12" t="s">
        <v>1641</v>
      </c>
      <c r="I2223" s="4">
        <v>0</v>
      </c>
      <c r="J2223" s="4">
        <v>0</v>
      </c>
      <c r="K2223" s="4">
        <v>755.6</v>
      </c>
      <c r="L2223" s="4">
        <v>0</v>
      </c>
      <c r="M2223" s="12" t="s">
        <v>571</v>
      </c>
      <c r="N2223" s="13">
        <f t="shared" si="55"/>
        <v>755.6</v>
      </c>
    </row>
    <row r="2224" spans="1:14">
      <c r="A2224" s="12">
        <v>2223</v>
      </c>
      <c r="B2224" s="1" t="s">
        <v>1637</v>
      </c>
      <c r="C2224" s="42" t="s">
        <v>1638</v>
      </c>
      <c r="D2224" s="42" t="s">
        <v>3364</v>
      </c>
      <c r="E2224" s="42" t="s">
        <v>3301</v>
      </c>
      <c r="F2224" s="4">
        <v>2867.4</v>
      </c>
      <c r="G2224" s="47" t="s">
        <v>60</v>
      </c>
      <c r="H2224" s="12">
        <v>4819</v>
      </c>
      <c r="I2224" s="4">
        <v>0</v>
      </c>
      <c r="J2224" s="4">
        <v>0</v>
      </c>
      <c r="K2224" s="4">
        <v>437.4</v>
      </c>
      <c r="L2224" s="4">
        <v>0</v>
      </c>
      <c r="M2224" s="12" t="s">
        <v>571</v>
      </c>
      <c r="N2224" s="13">
        <f t="shared" si="55"/>
        <v>437.4</v>
      </c>
    </row>
    <row r="2225" spans="1:14">
      <c r="A2225" s="12">
        <v>2224</v>
      </c>
      <c r="B2225" s="1" t="s">
        <v>1637</v>
      </c>
      <c r="C2225" s="42" t="s">
        <v>1638</v>
      </c>
      <c r="D2225" s="42" t="s">
        <v>3365</v>
      </c>
      <c r="E2225" s="42" t="s">
        <v>3301</v>
      </c>
      <c r="F2225" s="4">
        <v>31111.5</v>
      </c>
      <c r="G2225" s="47" t="s">
        <v>60</v>
      </c>
      <c r="H2225" s="12" t="s">
        <v>1641</v>
      </c>
      <c r="I2225" s="4">
        <v>0</v>
      </c>
      <c r="J2225" s="4">
        <v>0</v>
      </c>
      <c r="K2225" s="4">
        <v>1481.5</v>
      </c>
      <c r="L2225" s="4">
        <v>0</v>
      </c>
      <c r="M2225" s="12" t="s">
        <v>571</v>
      </c>
      <c r="N2225" s="13">
        <f t="shared" si="55"/>
        <v>1481.5</v>
      </c>
    </row>
    <row r="2226" spans="1:14">
      <c r="A2226" s="12">
        <v>2225</v>
      </c>
      <c r="B2226" s="1" t="s">
        <v>1637</v>
      </c>
      <c r="C2226" s="42" t="s">
        <v>1638</v>
      </c>
      <c r="D2226" s="42" t="s">
        <v>3366</v>
      </c>
      <c r="E2226" s="42" t="s">
        <v>3303</v>
      </c>
      <c r="F2226" s="4">
        <v>105472.5</v>
      </c>
      <c r="G2226" s="47" t="s">
        <v>60</v>
      </c>
      <c r="H2226" s="12" t="s">
        <v>1641</v>
      </c>
      <c r="I2226" s="4">
        <v>0</v>
      </c>
      <c r="J2226" s="4">
        <v>0</v>
      </c>
      <c r="K2226" s="4">
        <v>5022.5</v>
      </c>
      <c r="L2226" s="4">
        <v>0</v>
      </c>
      <c r="M2226" s="12" t="s">
        <v>571</v>
      </c>
      <c r="N2226" s="13">
        <f t="shared" si="55"/>
        <v>5022.5</v>
      </c>
    </row>
    <row r="2227" spans="1:14">
      <c r="A2227" s="12">
        <v>2226</v>
      </c>
      <c r="B2227" s="1" t="s">
        <v>1637</v>
      </c>
      <c r="C2227" s="42" t="s">
        <v>1638</v>
      </c>
      <c r="D2227" s="42" t="s">
        <v>3367</v>
      </c>
      <c r="E2227" s="42" t="s">
        <v>3305</v>
      </c>
      <c r="F2227" s="4">
        <v>7572.6</v>
      </c>
      <c r="G2227" s="47" t="s">
        <v>60</v>
      </c>
      <c r="H2227" s="12" t="s">
        <v>1641</v>
      </c>
      <c r="I2227" s="4">
        <v>0</v>
      </c>
      <c r="J2227" s="4">
        <v>0</v>
      </c>
      <c r="K2227" s="4">
        <v>360.6</v>
      </c>
      <c r="L2227" s="4">
        <v>0</v>
      </c>
      <c r="M2227" s="12" t="s">
        <v>571</v>
      </c>
      <c r="N2227" s="13">
        <f t="shared" si="55"/>
        <v>360.6</v>
      </c>
    </row>
    <row r="2228" spans="1:14">
      <c r="A2228" s="12">
        <v>2227</v>
      </c>
      <c r="B2228" s="1" t="s">
        <v>1637</v>
      </c>
      <c r="C2228" s="42" t="s">
        <v>1638</v>
      </c>
      <c r="D2228" s="42" t="s">
        <v>3368</v>
      </c>
      <c r="E2228" s="42" t="s">
        <v>3305</v>
      </c>
      <c r="F2228" s="4">
        <v>8914.5</v>
      </c>
      <c r="G2228" s="47" t="s">
        <v>60</v>
      </c>
      <c r="H2228" s="12" t="s">
        <v>1641</v>
      </c>
      <c r="I2228" s="4">
        <v>0</v>
      </c>
      <c r="J2228" s="4">
        <v>0</v>
      </c>
      <c r="K2228" s="4">
        <v>424.5</v>
      </c>
      <c r="L2228" s="4">
        <v>0</v>
      </c>
      <c r="M2228" s="12" t="s">
        <v>571</v>
      </c>
      <c r="N2228" s="13">
        <f t="shared" si="55"/>
        <v>424.5</v>
      </c>
    </row>
    <row r="2229" spans="1:14">
      <c r="A2229" s="12">
        <v>2228</v>
      </c>
      <c r="B2229" s="1" t="s">
        <v>1637</v>
      </c>
      <c r="C2229" s="42" t="s">
        <v>1638</v>
      </c>
      <c r="D2229" s="42" t="s">
        <v>3369</v>
      </c>
      <c r="E2229" s="42" t="s">
        <v>3305</v>
      </c>
      <c r="F2229" s="4">
        <v>2395.4</v>
      </c>
      <c r="G2229" s="47" t="s">
        <v>60</v>
      </c>
      <c r="H2229" s="12">
        <v>4819</v>
      </c>
      <c r="I2229" s="4">
        <v>0</v>
      </c>
      <c r="J2229" s="4">
        <v>0</v>
      </c>
      <c r="K2229" s="4">
        <v>365.4</v>
      </c>
      <c r="L2229" s="4">
        <v>0</v>
      </c>
      <c r="M2229" s="12" t="s">
        <v>571</v>
      </c>
      <c r="N2229" s="13">
        <f t="shared" si="55"/>
        <v>365.4</v>
      </c>
    </row>
    <row r="2230" spans="1:14">
      <c r="A2230" s="12">
        <v>2229</v>
      </c>
      <c r="B2230" s="1" t="s">
        <v>1637</v>
      </c>
      <c r="C2230" s="42" t="s">
        <v>1638</v>
      </c>
      <c r="D2230" s="42" t="s">
        <v>3370</v>
      </c>
      <c r="E2230" s="42" t="s">
        <v>3305</v>
      </c>
      <c r="F2230" s="4">
        <v>30030</v>
      </c>
      <c r="G2230" s="47" t="s">
        <v>60</v>
      </c>
      <c r="H2230" s="12" t="s">
        <v>1641</v>
      </c>
      <c r="I2230" s="4">
        <v>0</v>
      </c>
      <c r="J2230" s="4">
        <v>0</v>
      </c>
      <c r="K2230" s="4">
        <v>1430</v>
      </c>
      <c r="L2230" s="4">
        <v>0</v>
      </c>
      <c r="M2230" s="12" t="s">
        <v>571</v>
      </c>
      <c r="N2230" s="13">
        <f t="shared" si="55"/>
        <v>1430</v>
      </c>
    </row>
    <row r="2231" spans="1:14">
      <c r="A2231" s="12">
        <v>2230</v>
      </c>
      <c r="B2231" s="1" t="s">
        <v>1637</v>
      </c>
      <c r="C2231" s="42" t="s">
        <v>1638</v>
      </c>
      <c r="D2231" s="42" t="s">
        <v>3371</v>
      </c>
      <c r="E2231" s="42" t="s">
        <v>3307</v>
      </c>
      <c r="F2231" s="4">
        <v>49512.75</v>
      </c>
      <c r="G2231" s="47" t="s">
        <v>60</v>
      </c>
      <c r="H2231" s="12" t="s">
        <v>1641</v>
      </c>
      <c r="I2231" s="4">
        <v>0</v>
      </c>
      <c r="J2231" s="4">
        <v>0</v>
      </c>
      <c r="K2231" s="4">
        <v>2357.75</v>
      </c>
      <c r="L2231" s="4">
        <v>0</v>
      </c>
      <c r="M2231" s="12" t="s">
        <v>571</v>
      </c>
      <c r="N2231" s="13">
        <f t="shared" si="55"/>
        <v>2357.75</v>
      </c>
    </row>
    <row r="2232" spans="1:14">
      <c r="A2232" s="12">
        <v>2231</v>
      </c>
      <c r="B2232" s="1" t="s">
        <v>1637</v>
      </c>
      <c r="C2232" s="42" t="s">
        <v>1638</v>
      </c>
      <c r="D2232" s="42" t="s">
        <v>3372</v>
      </c>
      <c r="E2232" s="42" t="s">
        <v>3373</v>
      </c>
      <c r="F2232" s="4">
        <v>18469.5</v>
      </c>
      <c r="G2232" s="47" t="s">
        <v>60</v>
      </c>
      <c r="H2232" s="12" t="s">
        <v>1641</v>
      </c>
      <c r="I2232" s="4">
        <v>0</v>
      </c>
      <c r="J2232" s="4">
        <v>0</v>
      </c>
      <c r="K2232" s="4">
        <v>879.5</v>
      </c>
      <c r="L2232" s="4">
        <v>0</v>
      </c>
      <c r="M2232" s="12" t="s">
        <v>571</v>
      </c>
      <c r="N2232" s="13">
        <f t="shared" si="55"/>
        <v>879.5</v>
      </c>
    </row>
    <row r="2233" spans="1:14">
      <c r="A2233" s="12">
        <v>2232</v>
      </c>
      <c r="B2233" s="1" t="s">
        <v>1637</v>
      </c>
      <c r="C2233" s="42" t="s">
        <v>1638</v>
      </c>
      <c r="D2233" s="42" t="s">
        <v>3374</v>
      </c>
      <c r="E2233" s="42" t="s">
        <v>3373</v>
      </c>
      <c r="F2233" s="4">
        <v>3245</v>
      </c>
      <c r="G2233" s="47" t="s">
        <v>60</v>
      </c>
      <c r="H2233" s="12">
        <v>3923</v>
      </c>
      <c r="I2233" s="4">
        <v>0</v>
      </c>
      <c r="J2233" s="4">
        <v>0</v>
      </c>
      <c r="K2233" s="4">
        <v>495</v>
      </c>
      <c r="L2233" s="4">
        <v>0</v>
      </c>
      <c r="M2233" s="12" t="s">
        <v>571</v>
      </c>
      <c r="N2233" s="13">
        <f t="shared" si="55"/>
        <v>495</v>
      </c>
    </row>
    <row r="2234" spans="1:14">
      <c r="A2234" s="12">
        <v>2233</v>
      </c>
      <c r="B2234" s="1" t="s">
        <v>1637</v>
      </c>
      <c r="C2234" s="42" t="s">
        <v>1638</v>
      </c>
      <c r="D2234" s="42" t="s">
        <v>3375</v>
      </c>
      <c r="E2234" s="42" t="s">
        <v>3261</v>
      </c>
      <c r="F2234" s="4">
        <v>34588.47</v>
      </c>
      <c r="G2234" s="47" t="s">
        <v>60</v>
      </c>
      <c r="H2234" s="12" t="s">
        <v>1641</v>
      </c>
      <c r="I2234" s="4">
        <v>0</v>
      </c>
      <c r="J2234" s="4">
        <v>0</v>
      </c>
      <c r="K2234" s="4">
        <v>1647.07</v>
      </c>
      <c r="L2234" s="4">
        <v>0</v>
      </c>
      <c r="M2234" s="12" t="s">
        <v>571</v>
      </c>
      <c r="N2234" s="13">
        <f t="shared" si="55"/>
        <v>1647.07</v>
      </c>
    </row>
    <row r="2235" spans="1:14">
      <c r="A2235" s="12">
        <v>2234</v>
      </c>
      <c r="B2235" s="1" t="s">
        <v>1637</v>
      </c>
      <c r="C2235" s="42" t="s">
        <v>1638</v>
      </c>
      <c r="D2235" s="42" t="s">
        <v>3376</v>
      </c>
      <c r="E2235" s="42" t="s">
        <v>3261</v>
      </c>
      <c r="F2235" s="4">
        <v>10631.8</v>
      </c>
      <c r="G2235" s="47" t="s">
        <v>60</v>
      </c>
      <c r="H2235" s="12">
        <v>7310</v>
      </c>
      <c r="I2235" s="4">
        <v>0</v>
      </c>
      <c r="J2235" s="4">
        <v>0</v>
      </c>
      <c r="K2235" s="4">
        <v>1621.8</v>
      </c>
      <c r="L2235" s="4">
        <v>0</v>
      </c>
      <c r="M2235" s="12" t="s">
        <v>571</v>
      </c>
      <c r="N2235" s="13">
        <f t="shared" si="55"/>
        <v>1621.8</v>
      </c>
    </row>
    <row r="2236" spans="1:14">
      <c r="A2236" s="12">
        <v>2235</v>
      </c>
      <c r="B2236" s="1" t="s">
        <v>1637</v>
      </c>
      <c r="C2236" s="42" t="s">
        <v>1638</v>
      </c>
      <c r="D2236" s="42" t="s">
        <v>3377</v>
      </c>
      <c r="E2236" s="42" t="s">
        <v>3310</v>
      </c>
      <c r="F2236" s="4">
        <v>49140</v>
      </c>
      <c r="G2236" s="47" t="s">
        <v>60</v>
      </c>
      <c r="H2236" s="12" t="s">
        <v>1641</v>
      </c>
      <c r="I2236" s="4">
        <v>0</v>
      </c>
      <c r="J2236" s="4">
        <v>0</v>
      </c>
      <c r="K2236" s="4">
        <v>2340</v>
      </c>
      <c r="L2236" s="4">
        <v>0</v>
      </c>
      <c r="M2236" s="12" t="s">
        <v>571</v>
      </c>
      <c r="N2236" s="13">
        <f t="shared" si="55"/>
        <v>2340</v>
      </c>
    </row>
    <row r="2237" spans="1:14">
      <c r="A2237" s="12">
        <v>2236</v>
      </c>
      <c r="B2237" s="1" t="s">
        <v>1637</v>
      </c>
      <c r="C2237" s="42" t="s">
        <v>1638</v>
      </c>
      <c r="D2237" s="42" t="s">
        <v>3378</v>
      </c>
      <c r="E2237" s="42" t="s">
        <v>3312</v>
      </c>
      <c r="F2237" s="4">
        <v>49896</v>
      </c>
      <c r="G2237" s="47" t="s">
        <v>60</v>
      </c>
      <c r="H2237" s="12" t="s">
        <v>1641</v>
      </c>
      <c r="I2237" s="4">
        <v>0</v>
      </c>
      <c r="J2237" s="4">
        <v>0</v>
      </c>
      <c r="K2237" s="4">
        <v>2376</v>
      </c>
      <c r="L2237" s="4">
        <v>0</v>
      </c>
      <c r="M2237" s="12" t="s">
        <v>571</v>
      </c>
      <c r="N2237" s="13">
        <f t="shared" si="55"/>
        <v>2376</v>
      </c>
    </row>
    <row r="2238" spans="1:14">
      <c r="A2238" s="12">
        <v>2237</v>
      </c>
      <c r="B2238" s="1" t="s">
        <v>1637</v>
      </c>
      <c r="C2238" s="42" t="s">
        <v>1638</v>
      </c>
      <c r="D2238" s="42" t="s">
        <v>3379</v>
      </c>
      <c r="E2238" s="42" t="s">
        <v>3314</v>
      </c>
      <c r="F2238" s="4">
        <v>16142.49</v>
      </c>
      <c r="G2238" s="47" t="s">
        <v>60</v>
      </c>
      <c r="H2238" s="12" t="s">
        <v>1641</v>
      </c>
      <c r="I2238" s="4">
        <v>0</v>
      </c>
      <c r="J2238" s="4">
        <v>0</v>
      </c>
      <c r="K2238" s="4">
        <v>768.69</v>
      </c>
      <c r="L2238" s="4">
        <v>0</v>
      </c>
      <c r="M2238" s="12" t="s">
        <v>571</v>
      </c>
      <c r="N2238" s="13">
        <f t="shared" si="55"/>
        <v>768.69</v>
      </c>
    </row>
    <row r="2239" spans="1:14">
      <c r="A2239" s="12">
        <v>2238</v>
      </c>
      <c r="B2239" s="1" t="s">
        <v>1637</v>
      </c>
      <c r="C2239" s="42" t="s">
        <v>1638</v>
      </c>
      <c r="D2239" s="42" t="s">
        <v>3380</v>
      </c>
      <c r="E2239" s="42" t="s">
        <v>3314</v>
      </c>
      <c r="F2239" s="4">
        <v>4425</v>
      </c>
      <c r="G2239" s="47" t="s">
        <v>60</v>
      </c>
      <c r="H2239" s="12">
        <v>4819</v>
      </c>
      <c r="I2239" s="4">
        <v>0</v>
      </c>
      <c r="J2239" s="4">
        <v>0</v>
      </c>
      <c r="K2239" s="4">
        <v>675</v>
      </c>
      <c r="L2239" s="4">
        <v>0</v>
      </c>
      <c r="M2239" s="12" t="s">
        <v>571</v>
      </c>
      <c r="N2239" s="13">
        <f t="shared" si="55"/>
        <v>675</v>
      </c>
    </row>
    <row r="2240" spans="1:14">
      <c r="A2240" s="12">
        <v>2239</v>
      </c>
      <c r="B2240" s="1" t="s">
        <v>1637</v>
      </c>
      <c r="C2240" s="42" t="s">
        <v>1638</v>
      </c>
      <c r="D2240" s="42" t="s">
        <v>3381</v>
      </c>
      <c r="E2240" s="42" t="s">
        <v>3318</v>
      </c>
      <c r="F2240" s="4">
        <v>19696.96</v>
      </c>
      <c r="G2240" s="47" t="s">
        <v>60</v>
      </c>
      <c r="H2240" s="12" t="s">
        <v>1641</v>
      </c>
      <c r="I2240" s="4">
        <v>0</v>
      </c>
      <c r="J2240" s="4">
        <v>0</v>
      </c>
      <c r="K2240" s="4">
        <v>937.95</v>
      </c>
      <c r="L2240" s="4">
        <v>0</v>
      </c>
      <c r="M2240" s="12" t="s">
        <v>571</v>
      </c>
      <c r="N2240" s="13">
        <f t="shared" si="55"/>
        <v>937.95</v>
      </c>
    </row>
    <row r="2241" spans="1:14">
      <c r="A2241" s="12">
        <v>2240</v>
      </c>
      <c r="B2241" s="1" t="s">
        <v>1637</v>
      </c>
      <c r="C2241" s="42" t="s">
        <v>1638</v>
      </c>
      <c r="D2241" s="42" t="s">
        <v>3382</v>
      </c>
      <c r="E2241" s="42" t="s">
        <v>3320</v>
      </c>
      <c r="F2241" s="4">
        <v>14820.8</v>
      </c>
      <c r="G2241" s="47" t="s">
        <v>60</v>
      </c>
      <c r="H2241" s="12">
        <v>7310</v>
      </c>
      <c r="I2241" s="4">
        <v>0</v>
      </c>
      <c r="J2241" s="4">
        <v>0</v>
      </c>
      <c r="K2241" s="4">
        <v>2260.8000000000002</v>
      </c>
      <c r="L2241" s="4">
        <v>0</v>
      </c>
      <c r="M2241" s="12" t="s">
        <v>571</v>
      </c>
      <c r="N2241" s="13">
        <f t="shared" si="55"/>
        <v>2260.8000000000002</v>
      </c>
    </row>
    <row r="2242" spans="1:14">
      <c r="A2242" s="12">
        <v>2241</v>
      </c>
      <c r="B2242" s="1" t="s">
        <v>1637</v>
      </c>
      <c r="C2242" s="42" t="s">
        <v>1638</v>
      </c>
      <c r="D2242" s="42" t="s">
        <v>3383</v>
      </c>
      <c r="E2242" s="42" t="s">
        <v>3320</v>
      </c>
      <c r="F2242" s="4">
        <v>14183.01</v>
      </c>
      <c r="G2242" s="47" t="s">
        <v>60</v>
      </c>
      <c r="H2242" s="12">
        <v>4819</v>
      </c>
      <c r="I2242" s="4">
        <v>0</v>
      </c>
      <c r="J2242" s="4">
        <v>0</v>
      </c>
      <c r="K2242" s="4">
        <v>2163.5100000000002</v>
      </c>
      <c r="L2242" s="4">
        <v>0</v>
      </c>
      <c r="M2242" s="12" t="s">
        <v>571</v>
      </c>
      <c r="N2242" s="13">
        <f t="shared" si="55"/>
        <v>2163.5100000000002</v>
      </c>
    </row>
    <row r="2243" spans="1:14">
      <c r="A2243" s="12">
        <v>2242</v>
      </c>
      <c r="B2243" s="1" t="s">
        <v>1637</v>
      </c>
      <c r="C2243" s="42" t="s">
        <v>1638</v>
      </c>
      <c r="D2243" s="42" t="s">
        <v>3384</v>
      </c>
      <c r="E2243" s="42" t="s">
        <v>3322</v>
      </c>
      <c r="F2243" s="4">
        <v>39706.800000000003</v>
      </c>
      <c r="G2243" s="47" t="s">
        <v>60</v>
      </c>
      <c r="H2243" s="12" t="s">
        <v>1641</v>
      </c>
      <c r="I2243" s="4">
        <v>0</v>
      </c>
      <c r="J2243" s="4">
        <v>0</v>
      </c>
      <c r="K2243" s="4">
        <v>1890.8</v>
      </c>
      <c r="L2243" s="4">
        <v>0</v>
      </c>
      <c r="M2243" s="12" t="s">
        <v>571</v>
      </c>
      <c r="N2243" s="13">
        <f t="shared" si="55"/>
        <v>1890.8</v>
      </c>
    </row>
    <row r="2244" spans="1:14">
      <c r="A2244" s="12">
        <v>2243</v>
      </c>
      <c r="B2244" s="1" t="s">
        <v>1637</v>
      </c>
      <c r="C2244" s="42" t="s">
        <v>1638</v>
      </c>
      <c r="D2244" s="42" t="s">
        <v>3385</v>
      </c>
      <c r="E2244" s="42" t="s">
        <v>3264</v>
      </c>
      <c r="F2244" s="4">
        <v>14516.25</v>
      </c>
      <c r="G2244" s="47" t="s">
        <v>60</v>
      </c>
      <c r="H2244" s="12" t="s">
        <v>1641</v>
      </c>
      <c r="I2244" s="4">
        <v>0</v>
      </c>
      <c r="J2244" s="4">
        <v>0</v>
      </c>
      <c r="K2244" s="4">
        <v>691.25</v>
      </c>
      <c r="L2244" s="4">
        <v>0</v>
      </c>
      <c r="M2244" s="12" t="s">
        <v>571</v>
      </c>
      <c r="N2244" s="13">
        <f t="shared" si="55"/>
        <v>691.25</v>
      </c>
    </row>
    <row r="2245" spans="1:14">
      <c r="A2245" s="12">
        <v>2244</v>
      </c>
      <c r="B2245" s="1" t="s">
        <v>1637</v>
      </c>
      <c r="C2245" s="42" t="s">
        <v>1638</v>
      </c>
      <c r="D2245" s="42" t="s">
        <v>3386</v>
      </c>
      <c r="E2245" s="42" t="s">
        <v>3264</v>
      </c>
      <c r="F2245" s="4">
        <v>34556.03</v>
      </c>
      <c r="G2245" s="47" t="s">
        <v>60</v>
      </c>
      <c r="H2245" s="12" t="s">
        <v>1641</v>
      </c>
      <c r="I2245" s="4">
        <v>0</v>
      </c>
      <c r="J2245" s="4">
        <v>0</v>
      </c>
      <c r="K2245" s="4">
        <v>1645.53</v>
      </c>
      <c r="L2245" s="4">
        <v>0</v>
      </c>
      <c r="M2245" s="12" t="s">
        <v>571</v>
      </c>
      <c r="N2245" s="13">
        <f t="shared" si="55"/>
        <v>1645.53</v>
      </c>
    </row>
    <row r="2246" spans="1:14">
      <c r="A2246" s="12">
        <v>2245</v>
      </c>
      <c r="B2246" s="1" t="s">
        <v>1637</v>
      </c>
      <c r="C2246" s="42" t="s">
        <v>1638</v>
      </c>
      <c r="D2246" s="42" t="s">
        <v>3387</v>
      </c>
      <c r="E2246" s="42" t="s">
        <v>3267</v>
      </c>
      <c r="F2246" s="4">
        <v>18713.099999999999</v>
      </c>
      <c r="G2246" s="47" t="s">
        <v>60</v>
      </c>
      <c r="H2246" s="12" t="s">
        <v>1641</v>
      </c>
      <c r="I2246" s="4">
        <v>0</v>
      </c>
      <c r="J2246" s="4">
        <v>0</v>
      </c>
      <c r="K2246" s="4">
        <v>891.1</v>
      </c>
      <c r="L2246" s="4">
        <v>0</v>
      </c>
      <c r="M2246" s="12" t="s">
        <v>571</v>
      </c>
      <c r="N2246" s="13">
        <f t="shared" si="55"/>
        <v>891.1</v>
      </c>
    </row>
    <row r="2247" spans="1:14">
      <c r="A2247" s="12">
        <v>2246</v>
      </c>
      <c r="B2247" s="1" t="s">
        <v>1637</v>
      </c>
      <c r="C2247" s="42" t="s">
        <v>1638</v>
      </c>
      <c r="D2247" s="42" t="s">
        <v>3388</v>
      </c>
      <c r="E2247" s="42" t="s">
        <v>3267</v>
      </c>
      <c r="F2247" s="4">
        <v>31246.400000000001</v>
      </c>
      <c r="G2247" s="47" t="s">
        <v>60</v>
      </c>
      <c r="H2247" s="12">
        <v>4819</v>
      </c>
      <c r="I2247" s="4">
        <v>0</v>
      </c>
      <c r="J2247" s="4">
        <v>0</v>
      </c>
      <c r="K2247" s="4">
        <v>4766.3999999999996</v>
      </c>
      <c r="L2247" s="4">
        <v>0</v>
      </c>
      <c r="M2247" s="12" t="s">
        <v>571</v>
      </c>
      <c r="N2247" s="13">
        <f t="shared" si="55"/>
        <v>4766.3999999999996</v>
      </c>
    </row>
    <row r="2248" spans="1:14">
      <c r="A2248" s="12">
        <v>2247</v>
      </c>
      <c r="B2248" s="1" t="s">
        <v>3389</v>
      </c>
      <c r="C2248" s="42" t="s">
        <v>593</v>
      </c>
      <c r="D2248" s="42" t="s">
        <v>3390</v>
      </c>
      <c r="E2248" s="42" t="s">
        <v>3299</v>
      </c>
      <c r="F2248" s="4">
        <v>1009</v>
      </c>
      <c r="G2248" s="47" t="s">
        <v>1772</v>
      </c>
      <c r="H2248" s="12">
        <v>4202</v>
      </c>
      <c r="I2248" s="4">
        <v>0</v>
      </c>
      <c r="J2248" s="4">
        <v>0</v>
      </c>
      <c r="K2248" s="4">
        <v>0</v>
      </c>
      <c r="L2248" s="4">
        <v>0</v>
      </c>
      <c r="M2248" s="12" t="s">
        <v>571</v>
      </c>
      <c r="N2248" s="13">
        <f t="shared" si="55"/>
        <v>0</v>
      </c>
    </row>
    <row r="2249" spans="1:14">
      <c r="A2249" s="12">
        <v>2248</v>
      </c>
      <c r="B2249" s="1" t="s">
        <v>3391</v>
      </c>
      <c r="C2249" s="42" t="s">
        <v>3392</v>
      </c>
      <c r="D2249" s="42" t="s">
        <v>3393</v>
      </c>
      <c r="E2249" s="42" t="s">
        <v>3261</v>
      </c>
      <c r="F2249" s="4">
        <v>2495.6</v>
      </c>
      <c r="G2249" s="47" t="s">
        <v>570</v>
      </c>
      <c r="H2249" s="12" t="s">
        <v>847</v>
      </c>
      <c r="I2249" s="4">
        <v>145.80000000000001</v>
      </c>
      <c r="J2249" s="4">
        <v>145.80000000000001</v>
      </c>
      <c r="K2249" s="4">
        <v>0</v>
      </c>
      <c r="L2249" s="4">
        <v>0</v>
      </c>
      <c r="M2249" s="12" t="s">
        <v>571</v>
      </c>
      <c r="N2249" s="13">
        <f>SUM(J2249:K2249)</f>
        <v>145.80000000000001</v>
      </c>
    </row>
    <row r="2250" spans="1:14">
      <c r="A2250" s="12">
        <v>2249</v>
      </c>
      <c r="B2250" s="1" t="s">
        <v>3391</v>
      </c>
      <c r="C2250" s="42" t="s">
        <v>3392</v>
      </c>
      <c r="D2250" s="42" t="s">
        <v>3394</v>
      </c>
      <c r="E2250" s="42" t="s">
        <v>3310</v>
      </c>
      <c r="F2250" s="4">
        <v>1846.6</v>
      </c>
      <c r="G2250" s="47" t="s">
        <v>570</v>
      </c>
      <c r="H2250" s="12" t="s">
        <v>847</v>
      </c>
      <c r="I2250" s="4">
        <v>96.3</v>
      </c>
      <c r="J2250" s="4">
        <v>96.3</v>
      </c>
      <c r="K2250" s="4">
        <v>0</v>
      </c>
      <c r="L2250" s="4">
        <v>0</v>
      </c>
      <c r="M2250" s="12" t="s">
        <v>571</v>
      </c>
      <c r="N2250" s="13">
        <f t="shared" si="55"/>
        <v>192.6</v>
      </c>
    </row>
    <row r="2251" spans="1:14">
      <c r="A2251" s="12">
        <v>2250</v>
      </c>
      <c r="B2251" s="1" t="s">
        <v>3391</v>
      </c>
      <c r="C2251" s="42" t="s">
        <v>3392</v>
      </c>
      <c r="D2251" s="42" t="s">
        <v>3395</v>
      </c>
      <c r="E2251" s="42" t="s">
        <v>3314</v>
      </c>
      <c r="F2251" s="4">
        <v>1846.6</v>
      </c>
      <c r="G2251" s="47" t="s">
        <v>570</v>
      </c>
      <c r="H2251" s="12" t="s">
        <v>847</v>
      </c>
      <c r="I2251" s="4">
        <v>96.3</v>
      </c>
      <c r="J2251" s="4">
        <v>96.3</v>
      </c>
      <c r="K2251" s="4">
        <v>0</v>
      </c>
      <c r="L2251" s="4">
        <v>0</v>
      </c>
      <c r="M2251" s="12" t="s">
        <v>571</v>
      </c>
      <c r="N2251" s="13">
        <f t="shared" si="55"/>
        <v>192.6</v>
      </c>
    </row>
    <row r="2252" spans="1:14">
      <c r="A2252" s="12">
        <v>2251</v>
      </c>
      <c r="B2252" s="1" t="s">
        <v>3391</v>
      </c>
      <c r="C2252" s="42" t="s">
        <v>3392</v>
      </c>
      <c r="D2252" s="42" t="s">
        <v>3396</v>
      </c>
      <c r="E2252" s="42" t="s">
        <v>3314</v>
      </c>
      <c r="F2252" s="4">
        <v>1846.6</v>
      </c>
      <c r="G2252" s="47" t="s">
        <v>570</v>
      </c>
      <c r="H2252" s="12" t="s">
        <v>847</v>
      </c>
      <c r="I2252" s="4">
        <v>96.3</v>
      </c>
      <c r="J2252" s="4">
        <v>96.3</v>
      </c>
      <c r="K2252" s="4">
        <v>0</v>
      </c>
      <c r="L2252" s="4">
        <v>0</v>
      </c>
      <c r="M2252" s="12" t="s">
        <v>571</v>
      </c>
      <c r="N2252" s="13">
        <f t="shared" si="55"/>
        <v>192.6</v>
      </c>
    </row>
    <row r="2253" spans="1:14">
      <c r="A2253" s="12">
        <v>2252</v>
      </c>
      <c r="B2253" s="1" t="s">
        <v>3391</v>
      </c>
      <c r="C2253" s="42" t="s">
        <v>3392</v>
      </c>
      <c r="D2253" s="42" t="s">
        <v>3397</v>
      </c>
      <c r="E2253" s="42" t="s">
        <v>3314</v>
      </c>
      <c r="F2253" s="4">
        <v>1846.6</v>
      </c>
      <c r="G2253" s="47" t="s">
        <v>570</v>
      </c>
      <c r="H2253" s="12" t="s">
        <v>847</v>
      </c>
      <c r="I2253" s="4">
        <v>96.3</v>
      </c>
      <c r="J2253" s="4">
        <v>96.3</v>
      </c>
      <c r="K2253" s="4">
        <v>0</v>
      </c>
      <c r="L2253" s="4">
        <v>0</v>
      </c>
      <c r="M2253" s="12" t="s">
        <v>571</v>
      </c>
      <c r="N2253" s="13">
        <f t="shared" si="55"/>
        <v>192.6</v>
      </c>
    </row>
    <row r="2254" spans="1:14">
      <c r="A2254" s="12">
        <v>2253</v>
      </c>
      <c r="B2254" s="1" t="s">
        <v>3398</v>
      </c>
      <c r="C2254" s="42" t="s">
        <v>3399</v>
      </c>
      <c r="D2254" s="42" t="s">
        <v>3400</v>
      </c>
      <c r="E2254" s="42" t="s">
        <v>2767</v>
      </c>
      <c r="F2254" s="4">
        <v>672</v>
      </c>
      <c r="G2254" s="47" t="s">
        <v>60</v>
      </c>
      <c r="H2254" s="12">
        <v>34</v>
      </c>
      <c r="I2254" s="4">
        <v>36</v>
      </c>
      <c r="J2254" s="4">
        <v>36</v>
      </c>
      <c r="K2254" s="4">
        <v>0</v>
      </c>
      <c r="L2254" s="4">
        <v>0</v>
      </c>
      <c r="M2254" s="12" t="s">
        <v>571</v>
      </c>
      <c r="N2254" s="13">
        <f t="shared" si="55"/>
        <v>72</v>
      </c>
    </row>
    <row r="2255" spans="1:14">
      <c r="A2255" s="12">
        <v>2254</v>
      </c>
      <c r="B2255" s="1" t="s">
        <v>3401</v>
      </c>
      <c r="C2255" s="42" t="s">
        <v>3402</v>
      </c>
      <c r="D2255" s="42" t="s">
        <v>3403</v>
      </c>
      <c r="E2255" s="42" t="s">
        <v>3299</v>
      </c>
      <c r="F2255" s="4">
        <v>35400</v>
      </c>
      <c r="G2255" s="47" t="s">
        <v>570</v>
      </c>
      <c r="H2255" s="12">
        <v>998361</v>
      </c>
      <c r="I2255" s="4">
        <v>0</v>
      </c>
      <c r="J2255" s="4">
        <v>0</v>
      </c>
      <c r="K2255" s="4">
        <v>5400</v>
      </c>
      <c r="L2255" s="4">
        <v>0</v>
      </c>
      <c r="M2255" s="12" t="s">
        <v>571</v>
      </c>
      <c r="N2255" s="13">
        <f t="shared" si="55"/>
        <v>5400</v>
      </c>
    </row>
    <row r="2256" spans="1:14">
      <c r="A2256" s="12">
        <v>2255</v>
      </c>
      <c r="B2256" s="1" t="s">
        <v>1753</v>
      </c>
      <c r="C2256" s="42" t="s">
        <v>1754</v>
      </c>
      <c r="D2256" s="42" t="s">
        <v>3404</v>
      </c>
      <c r="E2256" s="42" t="s">
        <v>3299</v>
      </c>
      <c r="F2256" s="4">
        <v>167477.4</v>
      </c>
      <c r="G2256" s="47" t="s">
        <v>60</v>
      </c>
      <c r="H2256" s="12">
        <v>4911</v>
      </c>
      <c r="I2256" s="4">
        <v>12773.7</v>
      </c>
      <c r="J2256" s="4">
        <v>12773.7</v>
      </c>
      <c r="K2256" s="4">
        <v>0</v>
      </c>
      <c r="L2256" s="4">
        <v>0</v>
      </c>
      <c r="M2256" s="12" t="s">
        <v>571</v>
      </c>
      <c r="N2256" s="13">
        <f t="shared" si="55"/>
        <v>25547.4</v>
      </c>
    </row>
    <row r="2257" spans="1:14">
      <c r="A2257" s="12">
        <v>2256</v>
      </c>
      <c r="B2257" s="1" t="s">
        <v>1753</v>
      </c>
      <c r="C2257" s="42" t="s">
        <v>1754</v>
      </c>
      <c r="D2257" s="42" t="s">
        <v>3405</v>
      </c>
      <c r="E2257" s="42" t="s">
        <v>3299</v>
      </c>
      <c r="F2257" s="4">
        <v>96984.2</v>
      </c>
      <c r="G2257" s="47" t="s">
        <v>60</v>
      </c>
      <c r="H2257" s="12">
        <v>4911</v>
      </c>
      <c r="I2257" s="4">
        <v>7397.1</v>
      </c>
      <c r="J2257" s="4">
        <v>7397.1</v>
      </c>
      <c r="K2257" s="4">
        <v>0</v>
      </c>
      <c r="L2257" s="4">
        <v>0</v>
      </c>
      <c r="M2257" s="12" t="s">
        <v>571</v>
      </c>
      <c r="N2257" s="13">
        <f t="shared" si="55"/>
        <v>14794.2</v>
      </c>
    </row>
    <row r="2258" spans="1:14">
      <c r="A2258" s="12">
        <v>2257</v>
      </c>
      <c r="B2258" s="1" t="s">
        <v>1753</v>
      </c>
      <c r="C2258" s="42" t="s">
        <v>1754</v>
      </c>
      <c r="D2258" s="42" t="s">
        <v>3406</v>
      </c>
      <c r="E2258" s="42" t="s">
        <v>3299</v>
      </c>
      <c r="F2258" s="4">
        <v>95332.2</v>
      </c>
      <c r="G2258" s="47" t="s">
        <v>60</v>
      </c>
      <c r="H2258" s="12">
        <v>4911</v>
      </c>
      <c r="I2258" s="4">
        <v>7271.1</v>
      </c>
      <c r="J2258" s="4">
        <v>7271.1</v>
      </c>
      <c r="K2258" s="4">
        <v>0</v>
      </c>
      <c r="L2258" s="4">
        <v>0</v>
      </c>
      <c r="M2258" s="12" t="s">
        <v>571</v>
      </c>
      <c r="N2258" s="13">
        <f t="shared" si="55"/>
        <v>14542.2</v>
      </c>
    </row>
    <row r="2259" spans="1:14">
      <c r="A2259" s="12">
        <v>2258</v>
      </c>
      <c r="B2259" s="1" t="s">
        <v>2964</v>
      </c>
      <c r="C2259" s="42" t="s">
        <v>2965</v>
      </c>
      <c r="D2259" s="42" t="s">
        <v>3407</v>
      </c>
      <c r="E2259" s="42" t="s">
        <v>3310</v>
      </c>
      <c r="F2259" s="4">
        <v>17700</v>
      </c>
      <c r="G2259" s="47" t="s">
        <v>570</v>
      </c>
      <c r="H2259" s="12">
        <v>998361</v>
      </c>
      <c r="I2259" s="4">
        <v>0</v>
      </c>
      <c r="J2259" s="4">
        <v>0</v>
      </c>
      <c r="K2259" s="4">
        <v>2700</v>
      </c>
      <c r="L2259" s="4">
        <v>0</v>
      </c>
      <c r="M2259" s="12" t="s">
        <v>571</v>
      </c>
      <c r="N2259" s="13">
        <f t="shared" si="55"/>
        <v>2700</v>
      </c>
    </row>
    <row r="2260" spans="1:14">
      <c r="A2260" s="12">
        <v>2259</v>
      </c>
      <c r="B2260" s="1" t="s">
        <v>1876</v>
      </c>
      <c r="C2260" s="42" t="s">
        <v>1877</v>
      </c>
      <c r="D2260" s="42" t="s">
        <v>3408</v>
      </c>
      <c r="E2260" s="42" t="s">
        <v>3314</v>
      </c>
      <c r="F2260" s="4">
        <v>45200</v>
      </c>
      <c r="G2260" s="47" t="s">
        <v>570</v>
      </c>
      <c r="H2260" s="12">
        <v>3923</v>
      </c>
      <c r="I2260" s="4">
        <v>3447.45</v>
      </c>
      <c r="J2260" s="4">
        <v>3447.45</v>
      </c>
      <c r="K2260" s="4">
        <v>0</v>
      </c>
      <c r="L2260" s="4">
        <v>0</v>
      </c>
      <c r="M2260" s="12" t="s">
        <v>571</v>
      </c>
      <c r="N2260" s="13">
        <f t="shared" si="55"/>
        <v>6894.9</v>
      </c>
    </row>
    <row r="2261" spans="1:14">
      <c r="A2261" s="12">
        <v>2260</v>
      </c>
      <c r="B2261" s="1" t="s">
        <v>3409</v>
      </c>
      <c r="C2261" s="42" t="s">
        <v>3410</v>
      </c>
      <c r="D2261" s="42" t="s">
        <v>3411</v>
      </c>
      <c r="E2261" s="42" t="s">
        <v>3273</v>
      </c>
      <c r="F2261" s="4">
        <v>20500</v>
      </c>
      <c r="G2261" s="47" t="s">
        <v>2046</v>
      </c>
      <c r="H2261" s="12">
        <v>84388010</v>
      </c>
      <c r="I2261" s="4">
        <v>1563.56</v>
      </c>
      <c r="J2261" s="4">
        <v>1563.56</v>
      </c>
      <c r="K2261" s="4">
        <v>0</v>
      </c>
      <c r="L2261" s="4">
        <v>0</v>
      </c>
      <c r="M2261" s="14" t="s">
        <v>157</v>
      </c>
      <c r="N2261" s="15" t="s">
        <v>202</v>
      </c>
    </row>
    <row r="2262" spans="1:14">
      <c r="A2262" s="12">
        <v>2261</v>
      </c>
      <c r="B2262" s="1" t="s">
        <v>3412</v>
      </c>
      <c r="C2262" s="42" t="s">
        <v>3413</v>
      </c>
      <c r="D2262" s="42" t="s">
        <v>3414</v>
      </c>
      <c r="E2262" s="42" t="s">
        <v>2631</v>
      </c>
      <c r="F2262" s="4">
        <v>269</v>
      </c>
      <c r="G2262" s="47" t="s">
        <v>60</v>
      </c>
      <c r="H2262" s="12">
        <v>6301</v>
      </c>
      <c r="I2262" s="4">
        <v>0</v>
      </c>
      <c r="J2262" s="4">
        <v>0</v>
      </c>
      <c r="K2262" s="4">
        <v>12.81</v>
      </c>
      <c r="L2262" s="4">
        <v>0</v>
      </c>
      <c r="M2262" s="14" t="s">
        <v>157</v>
      </c>
      <c r="N2262" s="15" t="s">
        <v>202</v>
      </c>
    </row>
    <row r="2263" spans="1:14">
      <c r="A2263" s="12">
        <v>2262</v>
      </c>
      <c r="B2263" s="1" t="s">
        <v>1793</v>
      </c>
      <c r="C2263" s="42" t="s">
        <v>1794</v>
      </c>
      <c r="D2263" s="42" t="s">
        <v>3415</v>
      </c>
      <c r="E2263" s="42" t="s">
        <v>3267</v>
      </c>
      <c r="F2263" s="4">
        <v>40837.910000000003</v>
      </c>
      <c r="G2263" s="47" t="s">
        <v>570</v>
      </c>
      <c r="H2263" s="12">
        <v>996812</v>
      </c>
      <c r="I2263" s="4">
        <v>3114.76</v>
      </c>
      <c r="J2263" s="4">
        <v>3114.76</v>
      </c>
      <c r="K2263" s="4">
        <v>0</v>
      </c>
      <c r="L2263" s="4">
        <v>0</v>
      </c>
      <c r="M2263" s="12" t="s">
        <v>571</v>
      </c>
      <c r="N2263" s="13">
        <f t="shared" ref="N2263:N2304" si="56">SUM(I2263:K2263)</f>
        <v>6229.52</v>
      </c>
    </row>
    <row r="2264" spans="1:14">
      <c r="A2264" s="12">
        <v>2263</v>
      </c>
      <c r="B2264" s="1" t="s">
        <v>1793</v>
      </c>
      <c r="C2264" s="42" t="s">
        <v>1794</v>
      </c>
      <c r="D2264" s="42" t="s">
        <v>3416</v>
      </c>
      <c r="E2264" s="42" t="s">
        <v>3267</v>
      </c>
      <c r="F2264" s="4">
        <v>11076.97</v>
      </c>
      <c r="G2264" s="47" t="s">
        <v>570</v>
      </c>
      <c r="H2264" s="12">
        <v>996812</v>
      </c>
      <c r="I2264" s="4">
        <v>844.85</v>
      </c>
      <c r="J2264" s="4">
        <v>844.85</v>
      </c>
      <c r="K2264" s="4">
        <v>0</v>
      </c>
      <c r="L2264" s="4">
        <v>0</v>
      </c>
      <c r="M2264" s="12" t="s">
        <v>571</v>
      </c>
      <c r="N2264" s="13">
        <f t="shared" si="56"/>
        <v>1689.7</v>
      </c>
    </row>
    <row r="2265" spans="1:14">
      <c r="A2265" s="12">
        <v>2264</v>
      </c>
      <c r="B2265" s="1" t="s">
        <v>1793</v>
      </c>
      <c r="C2265" s="42" t="s">
        <v>1794</v>
      </c>
      <c r="D2265" s="42" t="s">
        <v>3417</v>
      </c>
      <c r="E2265" s="42" t="s">
        <v>3267</v>
      </c>
      <c r="F2265" s="4">
        <v>105197.02</v>
      </c>
      <c r="G2265" s="47" t="s">
        <v>570</v>
      </c>
      <c r="H2265" s="12">
        <v>996812</v>
      </c>
      <c r="I2265" s="4">
        <v>8023.5</v>
      </c>
      <c r="J2265" s="4">
        <v>8023.5</v>
      </c>
      <c r="K2265" s="4">
        <v>0</v>
      </c>
      <c r="L2265" s="4">
        <v>0</v>
      </c>
      <c r="M2265" s="12" t="s">
        <v>571</v>
      </c>
      <c r="N2265" s="13">
        <f t="shared" si="56"/>
        <v>16047</v>
      </c>
    </row>
    <row r="2266" spans="1:14">
      <c r="A2266" s="12">
        <v>2265</v>
      </c>
      <c r="B2266" s="1" t="s">
        <v>1799</v>
      </c>
      <c r="C2266" s="42" t="s">
        <v>1800</v>
      </c>
      <c r="D2266" s="42" t="s">
        <v>3418</v>
      </c>
      <c r="E2266" s="42" t="s">
        <v>3267</v>
      </c>
      <c r="F2266" s="4">
        <v>12.74</v>
      </c>
      <c r="G2266" s="47" t="s">
        <v>570</v>
      </c>
      <c r="H2266" s="12">
        <v>997159</v>
      </c>
      <c r="I2266" s="4">
        <v>0.97</v>
      </c>
      <c r="J2266" s="4">
        <v>0.97</v>
      </c>
      <c r="K2266" s="4">
        <v>0</v>
      </c>
      <c r="L2266" s="4">
        <v>0</v>
      </c>
      <c r="M2266" s="12" t="s">
        <v>571</v>
      </c>
      <c r="N2266" s="13">
        <f t="shared" si="56"/>
        <v>1.94</v>
      </c>
    </row>
    <row r="2267" spans="1:14">
      <c r="A2267" s="12">
        <v>2266</v>
      </c>
      <c r="B2267" s="1" t="s">
        <v>3419</v>
      </c>
      <c r="C2267" s="42" t="s">
        <v>3420</v>
      </c>
      <c r="D2267" s="42" t="s">
        <v>3421</v>
      </c>
      <c r="E2267" s="42" t="s">
        <v>3258</v>
      </c>
      <c r="F2267" s="4">
        <v>118000</v>
      </c>
      <c r="G2267" s="47" t="s">
        <v>570</v>
      </c>
      <c r="H2267" s="29" t="s">
        <v>847</v>
      </c>
      <c r="I2267" s="4">
        <v>9000</v>
      </c>
      <c r="J2267" s="4">
        <v>9000</v>
      </c>
      <c r="K2267" s="4">
        <v>0</v>
      </c>
      <c r="L2267" s="4">
        <v>0</v>
      </c>
      <c r="M2267" s="12" t="s">
        <v>571</v>
      </c>
      <c r="N2267" s="13">
        <f t="shared" si="56"/>
        <v>18000</v>
      </c>
    </row>
    <row r="2268" spans="1:14">
      <c r="A2268" s="12">
        <v>2267</v>
      </c>
      <c r="B2268" s="1" t="s">
        <v>1687</v>
      </c>
      <c r="C2268" s="42" t="s">
        <v>1688</v>
      </c>
      <c r="D2268" s="42" t="s">
        <v>3422</v>
      </c>
      <c r="E2268" s="42" t="s">
        <v>3293</v>
      </c>
      <c r="F2268" s="4">
        <v>26545</v>
      </c>
      <c r="G2268" s="47" t="s">
        <v>60</v>
      </c>
      <c r="H2268" s="12" t="s">
        <v>1641</v>
      </c>
      <c r="I2268" s="4">
        <v>632.03</v>
      </c>
      <c r="J2268" s="4">
        <v>632.03</v>
      </c>
      <c r="K2268" s="4">
        <v>0</v>
      </c>
      <c r="L2268" s="4">
        <v>0</v>
      </c>
      <c r="M2268" s="12" t="s">
        <v>571</v>
      </c>
      <c r="N2268" s="13">
        <f t="shared" si="56"/>
        <v>1264.06</v>
      </c>
    </row>
    <row r="2269" spans="1:14">
      <c r="A2269" s="12">
        <v>2268</v>
      </c>
      <c r="B2269" s="1" t="s">
        <v>1687</v>
      </c>
      <c r="C2269" s="42" t="s">
        <v>1688</v>
      </c>
      <c r="D2269" s="42" t="s">
        <v>3423</v>
      </c>
      <c r="E2269" s="42" t="s">
        <v>3322</v>
      </c>
      <c r="F2269" s="4">
        <v>10017</v>
      </c>
      <c r="G2269" s="47" t="s">
        <v>60</v>
      </c>
      <c r="H2269" s="12" t="s">
        <v>1641</v>
      </c>
      <c r="I2269" s="4">
        <v>238.5</v>
      </c>
      <c r="J2269" s="4">
        <v>238.5</v>
      </c>
      <c r="K2269" s="4">
        <v>0</v>
      </c>
      <c r="L2269" s="4">
        <v>0</v>
      </c>
      <c r="M2269" s="12" t="s">
        <v>571</v>
      </c>
      <c r="N2269" s="13">
        <f t="shared" si="56"/>
        <v>477</v>
      </c>
    </row>
    <row r="2270" spans="1:14">
      <c r="A2270" s="12">
        <v>2269</v>
      </c>
      <c r="B2270" s="1" t="s">
        <v>3424</v>
      </c>
      <c r="C2270" s="42" t="s">
        <v>577</v>
      </c>
      <c r="D2270" s="42" t="s">
        <v>3425</v>
      </c>
      <c r="E2270" s="42" t="s">
        <v>3297</v>
      </c>
      <c r="F2270" s="4">
        <v>4916</v>
      </c>
      <c r="G2270" s="42" t="s">
        <v>570</v>
      </c>
      <c r="H2270" s="12" t="s">
        <v>3426</v>
      </c>
      <c r="I2270" s="4">
        <v>0</v>
      </c>
      <c r="J2270" s="4">
        <v>0</v>
      </c>
      <c r="K2270" s="4">
        <v>184</v>
      </c>
      <c r="L2270" s="4">
        <v>0</v>
      </c>
      <c r="M2270" s="12" t="s">
        <v>571</v>
      </c>
      <c r="N2270" s="13">
        <f t="shared" si="56"/>
        <v>184</v>
      </c>
    </row>
    <row r="2271" spans="1:14">
      <c r="A2271" s="12">
        <v>2270</v>
      </c>
      <c r="B2271" s="1" t="s">
        <v>805</v>
      </c>
      <c r="C2271" s="42" t="s">
        <v>806</v>
      </c>
      <c r="D2271" s="42" t="s">
        <v>3427</v>
      </c>
      <c r="E2271" s="42" t="s">
        <v>3267</v>
      </c>
      <c r="F2271" s="4">
        <v>10547.87</v>
      </c>
      <c r="G2271" s="47" t="s">
        <v>570</v>
      </c>
      <c r="H2271" s="12" t="s">
        <v>847</v>
      </c>
      <c r="I2271" s="4">
        <v>0</v>
      </c>
      <c r="J2271" s="4">
        <v>0</v>
      </c>
      <c r="K2271" s="4">
        <v>1609</v>
      </c>
      <c r="L2271" s="4">
        <v>0</v>
      </c>
      <c r="M2271" s="12" t="s">
        <v>571</v>
      </c>
      <c r="N2271" s="13">
        <f t="shared" si="56"/>
        <v>1609</v>
      </c>
    </row>
    <row r="2272" spans="1:14">
      <c r="A2272" s="12">
        <v>2271</v>
      </c>
      <c r="B2272" s="1" t="s">
        <v>1844</v>
      </c>
      <c r="C2272" s="42" t="s">
        <v>1845</v>
      </c>
      <c r="D2272" s="42" t="s">
        <v>3428</v>
      </c>
      <c r="E2272" s="42" t="s">
        <v>3267</v>
      </c>
      <c r="F2272" s="4">
        <v>1819.08</v>
      </c>
      <c r="G2272" s="47" t="s">
        <v>570</v>
      </c>
      <c r="H2272" s="12">
        <v>997158</v>
      </c>
      <c r="I2272" s="4">
        <v>0</v>
      </c>
      <c r="J2272" s="4">
        <v>0</v>
      </c>
      <c r="K2272" s="4">
        <v>0</v>
      </c>
      <c r="L2272" s="4">
        <v>0</v>
      </c>
      <c r="M2272" s="12" t="s">
        <v>571</v>
      </c>
      <c r="N2272" s="13">
        <f t="shared" si="56"/>
        <v>0</v>
      </c>
    </row>
    <row r="2273" spans="1:14">
      <c r="A2273" s="12">
        <v>2272</v>
      </c>
      <c r="B2273" s="1" t="s">
        <v>1844</v>
      </c>
      <c r="C2273" s="42" t="s">
        <v>1845</v>
      </c>
      <c r="D2273" s="42" t="s">
        <v>3428</v>
      </c>
      <c r="E2273" s="42" t="s">
        <v>3267</v>
      </c>
      <c r="F2273" s="4">
        <v>1819.08</v>
      </c>
      <c r="G2273" s="47" t="s">
        <v>570</v>
      </c>
      <c r="H2273" s="12">
        <v>997158</v>
      </c>
      <c r="I2273" s="4">
        <v>0</v>
      </c>
      <c r="J2273" s="4">
        <v>0</v>
      </c>
      <c r="K2273" s="4">
        <v>244.22</v>
      </c>
      <c r="L2273" s="4">
        <v>0</v>
      </c>
      <c r="M2273" s="12" t="s">
        <v>571</v>
      </c>
      <c r="N2273" s="13">
        <f t="shared" si="56"/>
        <v>244.22</v>
      </c>
    </row>
    <row r="2274" spans="1:14">
      <c r="A2274" s="12">
        <v>2273</v>
      </c>
      <c r="B2274" s="1" t="s">
        <v>1766</v>
      </c>
      <c r="C2274" s="42" t="s">
        <v>1767</v>
      </c>
      <c r="D2274" s="42" t="s">
        <v>3429</v>
      </c>
      <c r="E2274" s="42" t="s">
        <v>3269</v>
      </c>
      <c r="F2274" s="4">
        <v>315.75</v>
      </c>
      <c r="G2274" s="47" t="s">
        <v>570</v>
      </c>
      <c r="H2274" s="12">
        <v>996511</v>
      </c>
      <c r="I2274" s="4">
        <v>0</v>
      </c>
      <c r="J2274" s="4">
        <v>0</v>
      </c>
      <c r="K2274" s="4">
        <v>48.17</v>
      </c>
      <c r="L2274" s="4">
        <v>0</v>
      </c>
      <c r="M2274" s="12" t="s">
        <v>571</v>
      </c>
      <c r="N2274" s="13">
        <f t="shared" si="56"/>
        <v>48.17</v>
      </c>
    </row>
    <row r="2275" spans="1:14">
      <c r="A2275" s="12">
        <v>2274</v>
      </c>
      <c r="B2275" s="1" t="s">
        <v>1766</v>
      </c>
      <c r="C2275" s="42" t="s">
        <v>1767</v>
      </c>
      <c r="D2275" s="42" t="s">
        <v>3430</v>
      </c>
      <c r="E2275" s="42" t="s">
        <v>3269</v>
      </c>
      <c r="F2275" s="4">
        <v>19385</v>
      </c>
      <c r="G2275" s="47" t="s">
        <v>570</v>
      </c>
      <c r="H2275" s="12">
        <v>996511</v>
      </c>
      <c r="I2275" s="4">
        <v>0</v>
      </c>
      <c r="J2275" s="4">
        <v>0</v>
      </c>
      <c r="K2275" s="4">
        <v>2957.03</v>
      </c>
      <c r="L2275" s="4">
        <v>0</v>
      </c>
      <c r="M2275" s="12" t="s">
        <v>571</v>
      </c>
      <c r="N2275" s="13">
        <f t="shared" si="56"/>
        <v>2957.03</v>
      </c>
    </row>
    <row r="2276" spans="1:14">
      <c r="A2276" s="12">
        <v>2275</v>
      </c>
      <c r="B2276" s="1" t="s">
        <v>1824</v>
      </c>
      <c r="C2276" s="42" t="s">
        <v>1825</v>
      </c>
      <c r="D2276" s="42" t="s">
        <v>3431</v>
      </c>
      <c r="E2276" s="42" t="s">
        <v>3267</v>
      </c>
      <c r="F2276" s="4">
        <v>1525.25</v>
      </c>
      <c r="G2276" s="47" t="s">
        <v>570</v>
      </c>
      <c r="H2276" s="12">
        <v>997159</v>
      </c>
      <c r="I2276" s="4">
        <v>0</v>
      </c>
      <c r="J2276" s="4">
        <v>0</v>
      </c>
      <c r="K2276" s="4">
        <v>232.64</v>
      </c>
      <c r="L2276" s="4">
        <v>0</v>
      </c>
      <c r="M2276" s="12" t="s">
        <v>571</v>
      </c>
      <c r="N2276" s="13">
        <f t="shared" si="56"/>
        <v>232.64</v>
      </c>
    </row>
    <row r="2277" spans="1:14">
      <c r="A2277" s="12">
        <v>2276</v>
      </c>
      <c r="B2277" s="1" t="s">
        <v>1824</v>
      </c>
      <c r="C2277" s="42" t="s">
        <v>1825</v>
      </c>
      <c r="D2277" s="42" t="s">
        <v>3432</v>
      </c>
      <c r="E2277" s="42" t="s">
        <v>3267</v>
      </c>
      <c r="F2277" s="4">
        <v>126.09</v>
      </c>
      <c r="G2277" s="47" t="s">
        <v>570</v>
      </c>
      <c r="H2277" s="12">
        <v>997159</v>
      </c>
      <c r="I2277" s="4">
        <v>0</v>
      </c>
      <c r="J2277" s="4">
        <v>0</v>
      </c>
      <c r="K2277" s="4">
        <v>19.23</v>
      </c>
      <c r="L2277" s="4">
        <v>0</v>
      </c>
      <c r="M2277" s="12" t="s">
        <v>571</v>
      </c>
      <c r="N2277" s="13">
        <f t="shared" si="56"/>
        <v>19.23</v>
      </c>
    </row>
    <row r="2278" spans="1:14">
      <c r="A2278" s="12">
        <v>2277</v>
      </c>
      <c r="B2278" s="1" t="s">
        <v>1759</v>
      </c>
      <c r="C2278" s="42" t="s">
        <v>1760</v>
      </c>
      <c r="D2278" s="42" t="s">
        <v>3433</v>
      </c>
      <c r="E2278" s="42" t="s">
        <v>3267</v>
      </c>
      <c r="F2278" s="4">
        <v>1934.44</v>
      </c>
      <c r="G2278" s="47" t="s">
        <v>570</v>
      </c>
      <c r="H2278" s="12">
        <v>997159</v>
      </c>
      <c r="I2278" s="4">
        <v>0</v>
      </c>
      <c r="J2278" s="4">
        <v>0</v>
      </c>
      <c r="K2278" s="4">
        <v>295.08</v>
      </c>
      <c r="L2278" s="4">
        <v>0</v>
      </c>
      <c r="M2278" s="12" t="s">
        <v>571</v>
      </c>
      <c r="N2278" s="13">
        <f t="shared" si="56"/>
        <v>295.08</v>
      </c>
    </row>
    <row r="2279" spans="1:14">
      <c r="A2279" s="12">
        <v>2278</v>
      </c>
      <c r="B2279" s="1" t="s">
        <v>1759</v>
      </c>
      <c r="C2279" s="42" t="s">
        <v>1760</v>
      </c>
      <c r="D2279" s="42" t="s">
        <v>3434</v>
      </c>
      <c r="E2279" s="42" t="s">
        <v>3267</v>
      </c>
      <c r="F2279" s="4">
        <v>500</v>
      </c>
      <c r="G2279" s="47" t="s">
        <v>570</v>
      </c>
      <c r="H2279" s="12">
        <v>997159</v>
      </c>
      <c r="I2279" s="4">
        <v>0</v>
      </c>
      <c r="J2279" s="4">
        <v>0</v>
      </c>
      <c r="K2279" s="4">
        <v>76.27</v>
      </c>
      <c r="L2279" s="4">
        <v>0</v>
      </c>
      <c r="M2279" s="12" t="s">
        <v>571</v>
      </c>
      <c r="N2279" s="13">
        <f t="shared" si="56"/>
        <v>76.27</v>
      </c>
    </row>
    <row r="2280" spans="1:14">
      <c r="A2280" s="12">
        <v>2279</v>
      </c>
      <c r="B2280" s="1" t="s">
        <v>1759</v>
      </c>
      <c r="C2280" s="42" t="s">
        <v>1760</v>
      </c>
      <c r="D2280" s="42" t="s">
        <v>3435</v>
      </c>
      <c r="E2280" s="42" t="s">
        <v>3267</v>
      </c>
      <c r="F2280" s="4">
        <v>15540.15</v>
      </c>
      <c r="G2280" s="47" t="s">
        <v>570</v>
      </c>
      <c r="H2280" s="12">
        <v>997159</v>
      </c>
      <c r="I2280" s="4">
        <v>0</v>
      </c>
      <c r="J2280" s="4">
        <v>0</v>
      </c>
      <c r="K2280" s="4">
        <v>2370.5300000000002</v>
      </c>
      <c r="L2280" s="4">
        <v>0</v>
      </c>
      <c r="M2280" s="12" t="s">
        <v>571</v>
      </c>
      <c r="N2280" s="13">
        <f t="shared" si="56"/>
        <v>2370.5300000000002</v>
      </c>
    </row>
    <row r="2281" spans="1:14">
      <c r="A2281" s="12">
        <v>2280</v>
      </c>
      <c r="B2281" s="1" t="s">
        <v>1832</v>
      </c>
      <c r="C2281" s="42" t="s">
        <v>1833</v>
      </c>
      <c r="D2281" s="42" t="s">
        <v>3436</v>
      </c>
      <c r="E2281" s="42" t="s">
        <v>3288</v>
      </c>
      <c r="F2281" s="4">
        <v>15876</v>
      </c>
      <c r="G2281" s="47" t="s">
        <v>60</v>
      </c>
      <c r="H2281" s="12" t="s">
        <v>1835</v>
      </c>
      <c r="I2281" s="4">
        <v>378</v>
      </c>
      <c r="J2281" s="4">
        <v>378</v>
      </c>
      <c r="K2281" s="4">
        <v>0</v>
      </c>
      <c r="L2281" s="4">
        <v>0</v>
      </c>
      <c r="M2281" s="12" t="s">
        <v>571</v>
      </c>
      <c r="N2281" s="13">
        <f t="shared" si="56"/>
        <v>756</v>
      </c>
    </row>
    <row r="2282" spans="1:14">
      <c r="A2282" s="12">
        <v>2281</v>
      </c>
      <c r="B2282" s="1" t="s">
        <v>1832</v>
      </c>
      <c r="C2282" s="42" t="s">
        <v>1833</v>
      </c>
      <c r="D2282" s="42" t="s">
        <v>3437</v>
      </c>
      <c r="E2282" s="42" t="s">
        <v>3299</v>
      </c>
      <c r="F2282" s="4">
        <v>14438</v>
      </c>
      <c r="G2282" s="47" t="s">
        <v>60</v>
      </c>
      <c r="H2282" s="12" t="s">
        <v>1835</v>
      </c>
      <c r="I2282" s="4">
        <v>343.75</v>
      </c>
      <c r="J2282" s="4">
        <v>343.75</v>
      </c>
      <c r="K2282" s="4">
        <v>0</v>
      </c>
      <c r="L2282" s="4">
        <v>0</v>
      </c>
      <c r="M2282" s="12" t="s">
        <v>571</v>
      </c>
      <c r="N2282" s="13">
        <f t="shared" si="56"/>
        <v>687.5</v>
      </c>
    </row>
    <row r="2283" spans="1:14">
      <c r="A2283" s="12">
        <v>2282</v>
      </c>
      <c r="B2283" s="1" t="s">
        <v>1832</v>
      </c>
      <c r="C2283" s="42" t="s">
        <v>1833</v>
      </c>
      <c r="D2283" s="42" t="s">
        <v>3438</v>
      </c>
      <c r="E2283" s="42" t="s">
        <v>3307</v>
      </c>
      <c r="F2283" s="4">
        <v>57750</v>
      </c>
      <c r="G2283" s="47" t="s">
        <v>60</v>
      </c>
      <c r="H2283" s="12" t="s">
        <v>1835</v>
      </c>
      <c r="I2283" s="4">
        <v>1375</v>
      </c>
      <c r="J2283" s="4">
        <v>1375</v>
      </c>
      <c r="K2283" s="4">
        <v>0</v>
      </c>
      <c r="L2283" s="4">
        <v>0</v>
      </c>
      <c r="M2283" s="12" t="s">
        <v>571</v>
      </c>
      <c r="N2283" s="13">
        <f t="shared" si="56"/>
        <v>2750</v>
      </c>
    </row>
    <row r="2284" spans="1:14">
      <c r="A2284" s="12">
        <v>2283</v>
      </c>
      <c r="B2284" s="1" t="s">
        <v>1832</v>
      </c>
      <c r="C2284" s="42" t="s">
        <v>1833</v>
      </c>
      <c r="D2284" s="42" t="s">
        <v>3439</v>
      </c>
      <c r="E2284" s="42" t="s">
        <v>3310</v>
      </c>
      <c r="F2284" s="4">
        <v>23972</v>
      </c>
      <c r="G2284" s="47" t="s">
        <v>60</v>
      </c>
      <c r="H2284" s="12" t="s">
        <v>1835</v>
      </c>
      <c r="I2284" s="4">
        <v>570.75</v>
      </c>
      <c r="J2284" s="4">
        <v>570.75</v>
      </c>
      <c r="K2284" s="4">
        <v>0</v>
      </c>
      <c r="L2284" s="4">
        <v>0</v>
      </c>
      <c r="M2284" s="12" t="s">
        <v>571</v>
      </c>
      <c r="N2284" s="13">
        <f t="shared" si="56"/>
        <v>1141.5</v>
      </c>
    </row>
    <row r="2285" spans="1:14">
      <c r="A2285" s="12">
        <v>2284</v>
      </c>
      <c r="B2285" s="1" t="s">
        <v>2740</v>
      </c>
      <c r="C2285" s="42" t="s">
        <v>2741</v>
      </c>
      <c r="D2285" s="42" t="s">
        <v>3440</v>
      </c>
      <c r="E2285" s="42" t="s">
        <v>3273</v>
      </c>
      <c r="F2285" s="4">
        <v>11800</v>
      </c>
      <c r="G2285" s="47" t="s">
        <v>570</v>
      </c>
      <c r="H2285" s="12">
        <v>998739</v>
      </c>
      <c r="I2285" s="4">
        <v>900</v>
      </c>
      <c r="J2285" s="4">
        <v>900</v>
      </c>
      <c r="K2285" s="4">
        <v>0</v>
      </c>
      <c r="L2285" s="4">
        <v>0</v>
      </c>
      <c r="M2285" s="12" t="s">
        <v>571</v>
      </c>
      <c r="N2285" s="13">
        <f t="shared" si="56"/>
        <v>1800</v>
      </c>
    </row>
    <row r="2286" spans="1:14">
      <c r="A2286" s="12">
        <v>2285</v>
      </c>
      <c r="B2286" s="1" t="s">
        <v>1740</v>
      </c>
      <c r="C2286" s="42" t="s">
        <v>1741</v>
      </c>
      <c r="D2286" s="42" t="s">
        <v>3441</v>
      </c>
      <c r="E2286" s="42" t="s">
        <v>3322</v>
      </c>
      <c r="F2286" s="4">
        <v>15750</v>
      </c>
      <c r="G2286" s="47" t="s">
        <v>60</v>
      </c>
      <c r="H2286" s="12" t="s">
        <v>1700</v>
      </c>
      <c r="I2286" s="4">
        <v>0</v>
      </c>
      <c r="J2286" s="4">
        <v>0</v>
      </c>
      <c r="K2286" s="4">
        <v>750</v>
      </c>
      <c r="L2286" s="4">
        <v>0</v>
      </c>
      <c r="M2286" s="12" t="s">
        <v>571</v>
      </c>
      <c r="N2286" s="13">
        <f t="shared" si="56"/>
        <v>750</v>
      </c>
    </row>
    <row r="2287" spans="1:14">
      <c r="A2287" s="12">
        <v>2286</v>
      </c>
      <c r="B2287" s="1" t="s">
        <v>3442</v>
      </c>
      <c r="C2287" s="42" t="s">
        <v>3443</v>
      </c>
      <c r="D2287" s="42" t="s">
        <v>3444</v>
      </c>
      <c r="E2287" s="42" t="s">
        <v>3307</v>
      </c>
      <c r="F2287" s="4">
        <v>275</v>
      </c>
      <c r="G2287" s="47" t="s">
        <v>1772</v>
      </c>
      <c r="H2287" s="12">
        <v>1904</v>
      </c>
      <c r="I2287" s="4">
        <v>0</v>
      </c>
      <c r="J2287" s="4">
        <v>0</v>
      </c>
      <c r="K2287" s="4">
        <v>41.95</v>
      </c>
      <c r="L2287" s="4">
        <v>0</v>
      </c>
      <c r="M2287" s="12" t="s">
        <v>571</v>
      </c>
      <c r="N2287" s="13">
        <f t="shared" si="56"/>
        <v>41.95</v>
      </c>
    </row>
    <row r="2288" spans="1:14">
      <c r="A2288" s="12">
        <v>2287</v>
      </c>
      <c r="B2288" s="1" t="s">
        <v>1737</v>
      </c>
      <c r="C2288" s="42" t="s">
        <v>1738</v>
      </c>
      <c r="D2288" s="42" t="s">
        <v>3445</v>
      </c>
      <c r="E2288" s="42" t="s">
        <v>3267</v>
      </c>
      <c r="F2288" s="4">
        <v>12532</v>
      </c>
      <c r="G2288" s="47" t="s">
        <v>60</v>
      </c>
      <c r="H2288" s="12">
        <v>4911</v>
      </c>
      <c r="I2288" s="4">
        <v>955.8</v>
      </c>
      <c r="J2288" s="4">
        <v>955.8</v>
      </c>
      <c r="K2288" s="4">
        <v>0</v>
      </c>
      <c r="L2288" s="4">
        <v>0</v>
      </c>
      <c r="M2288" s="12" t="s">
        <v>571</v>
      </c>
      <c r="N2288" s="13">
        <f t="shared" si="56"/>
        <v>1911.6</v>
      </c>
    </row>
    <row r="2289" spans="1:14">
      <c r="A2289" s="12">
        <v>2288</v>
      </c>
      <c r="B2289" s="1" t="s">
        <v>3446</v>
      </c>
      <c r="C2289" s="42" t="s">
        <v>3447</v>
      </c>
      <c r="D2289" s="42" t="s">
        <v>3448</v>
      </c>
      <c r="E2289" s="42" t="s">
        <v>3303</v>
      </c>
      <c r="F2289" s="4">
        <v>7965</v>
      </c>
      <c r="G2289" s="47" t="s">
        <v>570</v>
      </c>
      <c r="H2289" s="12">
        <v>8523</v>
      </c>
      <c r="I2289" s="4">
        <v>0</v>
      </c>
      <c r="J2289" s="4">
        <v>0</v>
      </c>
      <c r="K2289" s="4">
        <v>1215</v>
      </c>
      <c r="L2289" s="4">
        <v>0</v>
      </c>
      <c r="M2289" s="12" t="s">
        <v>571</v>
      </c>
      <c r="N2289" s="13">
        <f t="shared" si="56"/>
        <v>1215</v>
      </c>
    </row>
    <row r="2290" spans="1:14">
      <c r="A2290" s="12">
        <v>2289</v>
      </c>
      <c r="B2290" s="1" t="s">
        <v>576</v>
      </c>
      <c r="C2290" s="42" t="s">
        <v>577</v>
      </c>
      <c r="D2290" s="42" t="s">
        <v>3449</v>
      </c>
      <c r="E2290" s="42" t="s">
        <v>3297</v>
      </c>
      <c r="F2290" s="4">
        <v>5083</v>
      </c>
      <c r="G2290" s="42" t="s">
        <v>570</v>
      </c>
      <c r="H2290" s="12" t="s">
        <v>3426</v>
      </c>
      <c r="I2290" s="4">
        <v>112</v>
      </c>
      <c r="J2290" s="4">
        <v>112</v>
      </c>
      <c r="K2290" s="4">
        <v>0</v>
      </c>
      <c r="L2290" s="4">
        <v>0</v>
      </c>
      <c r="M2290" s="12" t="s">
        <v>571</v>
      </c>
      <c r="N2290" s="13">
        <f t="shared" si="56"/>
        <v>224</v>
      </c>
    </row>
    <row r="2291" spans="1:14">
      <c r="A2291" s="12">
        <v>2290</v>
      </c>
      <c r="B2291" s="1" t="s">
        <v>2020</v>
      </c>
      <c r="C2291" s="42" t="s">
        <v>2021</v>
      </c>
      <c r="D2291" s="42" t="s">
        <v>3450</v>
      </c>
      <c r="E2291" s="42" t="s">
        <v>3267</v>
      </c>
      <c r="F2291" s="4">
        <v>543.39</v>
      </c>
      <c r="G2291" s="47" t="s">
        <v>570</v>
      </c>
      <c r="H2291" s="12">
        <v>998311</v>
      </c>
      <c r="I2291" s="4">
        <v>41.45</v>
      </c>
      <c r="J2291" s="4">
        <v>41.45</v>
      </c>
      <c r="K2291" s="4">
        <v>0</v>
      </c>
      <c r="L2291" s="4">
        <v>0</v>
      </c>
      <c r="M2291" s="12" t="s">
        <v>571</v>
      </c>
      <c r="N2291" s="13">
        <f t="shared" si="56"/>
        <v>82.9</v>
      </c>
    </row>
    <row r="2292" spans="1:14">
      <c r="A2292" s="12">
        <v>2291</v>
      </c>
      <c r="B2292" s="1" t="s">
        <v>1807</v>
      </c>
      <c r="C2292" s="42" t="s">
        <v>1808</v>
      </c>
      <c r="D2292" s="42" t="s">
        <v>3451</v>
      </c>
      <c r="E2292" s="42" t="s">
        <v>3297</v>
      </c>
      <c r="F2292" s="4">
        <v>4116</v>
      </c>
      <c r="G2292" s="47" t="s">
        <v>60</v>
      </c>
      <c r="H2292" s="12" t="s">
        <v>1810</v>
      </c>
      <c r="I2292" s="4">
        <v>98</v>
      </c>
      <c r="J2292" s="4">
        <v>98</v>
      </c>
      <c r="K2292" s="4">
        <v>0</v>
      </c>
      <c r="L2292" s="4">
        <v>0</v>
      </c>
      <c r="M2292" s="12" t="s">
        <v>571</v>
      </c>
      <c r="N2292" s="13">
        <f t="shared" si="56"/>
        <v>196</v>
      </c>
    </row>
    <row r="2293" spans="1:14">
      <c r="A2293" s="12">
        <v>2292</v>
      </c>
      <c r="B2293" s="1" t="s">
        <v>1820</v>
      </c>
      <c r="C2293" s="42" t="s">
        <v>1821</v>
      </c>
      <c r="D2293" s="42" t="s">
        <v>3452</v>
      </c>
      <c r="E2293" s="42" t="s">
        <v>3307</v>
      </c>
      <c r="F2293" s="4">
        <v>2783</v>
      </c>
      <c r="G2293" s="47" t="s">
        <v>60</v>
      </c>
      <c r="H2293" s="12" t="s">
        <v>1806</v>
      </c>
      <c r="I2293" s="4">
        <v>0</v>
      </c>
      <c r="J2293" s="4">
        <v>0</v>
      </c>
      <c r="K2293" s="4">
        <v>132.5</v>
      </c>
      <c r="L2293" s="4">
        <v>0</v>
      </c>
      <c r="M2293" s="12" t="s">
        <v>571</v>
      </c>
      <c r="N2293" s="13">
        <f t="shared" si="56"/>
        <v>132.5</v>
      </c>
    </row>
    <row r="2294" spans="1:14">
      <c r="A2294" s="12">
        <v>2293</v>
      </c>
      <c r="B2294" s="1" t="s">
        <v>3453</v>
      </c>
      <c r="C2294" s="42" t="s">
        <v>99</v>
      </c>
      <c r="D2294" s="42" t="s">
        <v>3454</v>
      </c>
      <c r="E2294" s="42" t="s">
        <v>3455</v>
      </c>
      <c r="F2294" s="4">
        <v>2000</v>
      </c>
      <c r="G2294" s="47" t="s">
        <v>570</v>
      </c>
      <c r="H2294" s="12">
        <v>996511</v>
      </c>
      <c r="I2294" s="4">
        <v>0</v>
      </c>
      <c r="J2294" s="4">
        <v>0</v>
      </c>
      <c r="K2294" s="4">
        <v>100</v>
      </c>
      <c r="L2294" s="4">
        <v>0</v>
      </c>
      <c r="M2294" s="12" t="s">
        <v>571</v>
      </c>
      <c r="N2294" s="13">
        <f t="shared" si="56"/>
        <v>100</v>
      </c>
    </row>
    <row r="2295" spans="1:14">
      <c r="A2295" s="12">
        <v>2294</v>
      </c>
      <c r="B2295" s="1" t="s">
        <v>3051</v>
      </c>
      <c r="C2295" s="42" t="s">
        <v>3052</v>
      </c>
      <c r="D2295" s="42" t="s">
        <v>3456</v>
      </c>
      <c r="E2295" s="42" t="s">
        <v>514</v>
      </c>
      <c r="F2295" s="4">
        <v>2083</v>
      </c>
      <c r="G2295" s="47" t="s">
        <v>60</v>
      </c>
      <c r="H2295" s="12">
        <v>70134900</v>
      </c>
      <c r="I2295" s="4">
        <v>158.88</v>
      </c>
      <c r="J2295" s="4">
        <v>158.88</v>
      </c>
      <c r="K2295" s="4">
        <v>0</v>
      </c>
      <c r="L2295" s="4">
        <v>0</v>
      </c>
      <c r="M2295" s="12" t="s">
        <v>571</v>
      </c>
      <c r="N2295" s="13">
        <f t="shared" si="56"/>
        <v>317.76</v>
      </c>
    </row>
    <row r="2296" spans="1:14">
      <c r="A2296" s="12">
        <v>2295</v>
      </c>
      <c r="B2296" s="1" t="s">
        <v>1802</v>
      </c>
      <c r="C2296" s="42" t="s">
        <v>1803</v>
      </c>
      <c r="D2296" s="42" t="s">
        <v>3457</v>
      </c>
      <c r="E2296" s="42" t="s">
        <v>3458</v>
      </c>
      <c r="F2296" s="4">
        <v>32088</v>
      </c>
      <c r="G2296" s="47" t="s">
        <v>60</v>
      </c>
      <c r="H2296" s="12" t="s">
        <v>1806</v>
      </c>
      <c r="I2296" s="4">
        <v>0</v>
      </c>
      <c r="J2296" s="4">
        <v>0</v>
      </c>
      <c r="K2296" s="4">
        <v>3438</v>
      </c>
      <c r="L2296" s="4">
        <v>0</v>
      </c>
      <c r="M2296" s="12" t="s">
        <v>571</v>
      </c>
      <c r="N2296" s="13">
        <f t="shared" si="56"/>
        <v>3438</v>
      </c>
    </row>
    <row r="2297" spans="1:14">
      <c r="A2297" s="12">
        <v>2296</v>
      </c>
      <c r="B2297" s="1" t="s">
        <v>1802</v>
      </c>
      <c r="C2297" s="42" t="s">
        <v>1803</v>
      </c>
      <c r="D2297" s="42" t="s">
        <v>3459</v>
      </c>
      <c r="E2297" s="42" t="s">
        <v>517</v>
      </c>
      <c r="F2297" s="4">
        <v>11025</v>
      </c>
      <c r="G2297" s="47" t="s">
        <v>60</v>
      </c>
      <c r="H2297" s="12" t="s">
        <v>1792</v>
      </c>
      <c r="I2297" s="4">
        <v>0</v>
      </c>
      <c r="J2297" s="4">
        <v>0</v>
      </c>
      <c r="K2297" s="4">
        <v>525</v>
      </c>
      <c r="L2297" s="4">
        <v>0</v>
      </c>
      <c r="M2297" s="12" t="s">
        <v>571</v>
      </c>
      <c r="N2297" s="13">
        <f t="shared" si="56"/>
        <v>525</v>
      </c>
    </row>
    <row r="2298" spans="1:14">
      <c r="A2298" s="12">
        <v>2297</v>
      </c>
      <c r="B2298" s="1" t="s">
        <v>1820</v>
      </c>
      <c r="C2298" s="42" t="s">
        <v>1821</v>
      </c>
      <c r="D2298" s="42" t="s">
        <v>3460</v>
      </c>
      <c r="E2298" s="42" t="s">
        <v>3461</v>
      </c>
      <c r="F2298" s="4">
        <v>32482</v>
      </c>
      <c r="G2298" s="47" t="s">
        <v>60</v>
      </c>
      <c r="H2298" s="12" t="s">
        <v>1806</v>
      </c>
      <c r="I2298" s="4">
        <v>0</v>
      </c>
      <c r="J2298" s="4">
        <v>0</v>
      </c>
      <c r="K2298" s="4">
        <v>1546.75</v>
      </c>
      <c r="L2298" s="4">
        <v>0</v>
      </c>
      <c r="M2298" s="12" t="s">
        <v>571</v>
      </c>
      <c r="N2298" s="13">
        <f t="shared" si="56"/>
        <v>1546.75</v>
      </c>
    </row>
    <row r="2299" spans="1:14">
      <c r="A2299" s="12">
        <v>2298</v>
      </c>
      <c r="B2299" s="1" t="s">
        <v>1820</v>
      </c>
      <c r="C2299" s="42" t="s">
        <v>1821</v>
      </c>
      <c r="D2299" s="42" t="s">
        <v>3462</v>
      </c>
      <c r="E2299" s="42" t="s">
        <v>3463</v>
      </c>
      <c r="F2299" s="4">
        <v>32482</v>
      </c>
      <c r="G2299" s="47" t="s">
        <v>60</v>
      </c>
      <c r="H2299" s="12" t="s">
        <v>1806</v>
      </c>
      <c r="I2299" s="4">
        <v>0</v>
      </c>
      <c r="J2299" s="4">
        <v>0</v>
      </c>
      <c r="K2299" s="4">
        <v>1546.75</v>
      </c>
      <c r="L2299" s="4">
        <v>0</v>
      </c>
      <c r="M2299" s="12" t="s">
        <v>571</v>
      </c>
      <c r="N2299" s="13">
        <f t="shared" si="56"/>
        <v>1546.75</v>
      </c>
    </row>
    <row r="2300" spans="1:14">
      <c r="A2300" s="12">
        <v>2299</v>
      </c>
      <c r="B2300" s="1" t="s">
        <v>3401</v>
      </c>
      <c r="C2300" s="42" t="s">
        <v>3402</v>
      </c>
      <c r="D2300" s="42" t="s">
        <v>3464</v>
      </c>
      <c r="E2300" s="42" t="s">
        <v>3465</v>
      </c>
      <c r="F2300" s="4">
        <v>53100</v>
      </c>
      <c r="G2300" s="47" t="s">
        <v>570</v>
      </c>
      <c r="H2300" s="12">
        <v>998361</v>
      </c>
      <c r="I2300" s="4">
        <v>0</v>
      </c>
      <c r="J2300" s="4">
        <v>0</v>
      </c>
      <c r="K2300" s="4">
        <v>8100</v>
      </c>
      <c r="L2300" s="4">
        <v>0</v>
      </c>
      <c r="M2300" s="12" t="s">
        <v>571</v>
      </c>
      <c r="N2300" s="13">
        <f t="shared" si="56"/>
        <v>8100</v>
      </c>
    </row>
    <row r="2301" spans="1:14">
      <c r="A2301" s="12">
        <v>2300</v>
      </c>
      <c r="B2301" s="1" t="s">
        <v>1620</v>
      </c>
      <c r="C2301" s="42" t="s">
        <v>1621</v>
      </c>
      <c r="D2301" s="42" t="s">
        <v>3466</v>
      </c>
      <c r="E2301" s="42" t="s">
        <v>3467</v>
      </c>
      <c r="F2301" s="4">
        <v>413</v>
      </c>
      <c r="G2301" s="47" t="s">
        <v>570</v>
      </c>
      <c r="H2301" s="12">
        <v>997159</v>
      </c>
      <c r="I2301" s="4">
        <v>0</v>
      </c>
      <c r="J2301" s="4">
        <v>0</v>
      </c>
      <c r="K2301" s="4">
        <v>63</v>
      </c>
      <c r="L2301" s="4">
        <v>0</v>
      </c>
      <c r="M2301" s="12" t="s">
        <v>571</v>
      </c>
      <c r="N2301" s="13">
        <f t="shared" si="56"/>
        <v>63</v>
      </c>
    </row>
    <row r="2302" spans="1:14">
      <c r="A2302" s="12">
        <v>2301</v>
      </c>
      <c r="B2302" s="1" t="s">
        <v>1620</v>
      </c>
      <c r="C2302" s="42" t="s">
        <v>1621</v>
      </c>
      <c r="D2302" s="42" t="s">
        <v>3468</v>
      </c>
      <c r="E2302" s="42" t="s">
        <v>3469</v>
      </c>
      <c r="F2302" s="4">
        <v>9888.7099999999991</v>
      </c>
      <c r="G2302" s="47" t="s">
        <v>570</v>
      </c>
      <c r="H2302" s="12">
        <v>997159</v>
      </c>
      <c r="I2302" s="4">
        <v>0</v>
      </c>
      <c r="J2302" s="4">
        <v>0</v>
      </c>
      <c r="K2302" s="4">
        <v>1508.45</v>
      </c>
      <c r="L2302" s="4">
        <v>0</v>
      </c>
      <c r="M2302" s="12" t="s">
        <v>571</v>
      </c>
      <c r="N2302" s="13">
        <f t="shared" si="56"/>
        <v>1508.45</v>
      </c>
    </row>
    <row r="2303" spans="1:14">
      <c r="A2303" s="12">
        <v>2302</v>
      </c>
      <c r="B2303" s="1" t="s">
        <v>1762</v>
      </c>
      <c r="C2303" s="42" t="s">
        <v>1763</v>
      </c>
      <c r="D2303" s="42" t="s">
        <v>3470</v>
      </c>
      <c r="E2303" s="42" t="s">
        <v>3471</v>
      </c>
      <c r="F2303" s="4">
        <v>7608</v>
      </c>
      <c r="G2303" s="47" t="s">
        <v>570</v>
      </c>
      <c r="H2303" s="12">
        <v>9987</v>
      </c>
      <c r="I2303" s="4">
        <v>580.32000000000005</v>
      </c>
      <c r="J2303" s="4">
        <v>580.32000000000005</v>
      </c>
      <c r="K2303" s="4">
        <v>0</v>
      </c>
      <c r="L2303" s="4">
        <v>0</v>
      </c>
      <c r="M2303" s="12" t="s">
        <v>571</v>
      </c>
      <c r="N2303" s="13">
        <f t="shared" si="56"/>
        <v>1160.6400000000001</v>
      </c>
    </row>
    <row r="2304" spans="1:14">
      <c r="A2304" s="12">
        <v>2303</v>
      </c>
      <c r="B2304" s="1" t="s">
        <v>1762</v>
      </c>
      <c r="C2304" s="42" t="s">
        <v>1763</v>
      </c>
      <c r="D2304" s="42" t="s">
        <v>3472</v>
      </c>
      <c r="E2304" s="42" t="s">
        <v>3471</v>
      </c>
      <c r="F2304" s="4">
        <v>3949</v>
      </c>
      <c r="G2304" s="47" t="s">
        <v>570</v>
      </c>
      <c r="H2304" s="12">
        <v>9987</v>
      </c>
      <c r="I2304" s="4">
        <v>301.23</v>
      </c>
      <c r="J2304" s="4">
        <v>301.23</v>
      </c>
      <c r="K2304" s="4">
        <v>0</v>
      </c>
      <c r="L2304" s="4">
        <v>0</v>
      </c>
      <c r="M2304" s="12" t="s">
        <v>571</v>
      </c>
      <c r="N2304" s="13">
        <f t="shared" si="56"/>
        <v>602.46</v>
      </c>
    </row>
    <row r="2305" spans="1:14">
      <c r="A2305" s="12">
        <v>2304</v>
      </c>
      <c r="B2305" s="1" t="s">
        <v>3473</v>
      </c>
      <c r="C2305" s="42" t="s">
        <v>3474</v>
      </c>
      <c r="D2305" s="42" t="s">
        <v>3475</v>
      </c>
      <c r="E2305" s="42" t="s">
        <v>3476</v>
      </c>
      <c r="F2305" s="4">
        <v>15950</v>
      </c>
      <c r="G2305" s="47" t="s">
        <v>2046</v>
      </c>
      <c r="H2305" s="12">
        <v>84624990</v>
      </c>
      <c r="I2305" s="4">
        <v>0</v>
      </c>
      <c r="J2305" s="4">
        <v>0</v>
      </c>
      <c r="K2305" s="4">
        <v>2342</v>
      </c>
      <c r="L2305" s="4">
        <v>0</v>
      </c>
      <c r="M2305" s="14" t="s">
        <v>157</v>
      </c>
      <c r="N2305" s="15" t="s">
        <v>202</v>
      </c>
    </row>
    <row r="2306" spans="1:14">
      <c r="A2306" s="12">
        <v>2305</v>
      </c>
      <c r="B2306" s="1" t="s">
        <v>3473</v>
      </c>
      <c r="C2306" s="42" t="s">
        <v>3474</v>
      </c>
      <c r="D2306" s="42" t="s">
        <v>3475</v>
      </c>
      <c r="E2306" s="42" t="s">
        <v>3476</v>
      </c>
      <c r="F2306" s="4">
        <v>15950</v>
      </c>
      <c r="G2306" s="47" t="s">
        <v>2046</v>
      </c>
      <c r="H2306" s="12">
        <v>84624990</v>
      </c>
      <c r="I2306" s="4">
        <v>0</v>
      </c>
      <c r="J2306" s="4">
        <v>0</v>
      </c>
      <c r="K2306" s="4">
        <v>64</v>
      </c>
      <c r="L2306" s="4">
        <v>0</v>
      </c>
      <c r="M2306" s="14" t="s">
        <v>157</v>
      </c>
      <c r="N2306" s="15" t="s">
        <v>202</v>
      </c>
    </row>
    <row r="2307" spans="1:14">
      <c r="A2307" s="12">
        <v>2306</v>
      </c>
      <c r="B2307" s="1" t="s">
        <v>557</v>
      </c>
      <c r="C2307" s="42" t="s">
        <v>558</v>
      </c>
      <c r="D2307" s="42" t="s">
        <v>3477</v>
      </c>
      <c r="E2307" s="42" t="s">
        <v>3471</v>
      </c>
      <c r="F2307" s="4">
        <v>708.42</v>
      </c>
      <c r="G2307" s="47" t="s">
        <v>570</v>
      </c>
      <c r="H2307" s="12">
        <v>998361</v>
      </c>
      <c r="I2307" s="4">
        <v>0</v>
      </c>
      <c r="J2307" s="4">
        <v>0</v>
      </c>
      <c r="K2307" s="4">
        <v>108.06</v>
      </c>
      <c r="L2307" s="4">
        <v>0</v>
      </c>
      <c r="M2307" s="12" t="s">
        <v>571</v>
      </c>
      <c r="N2307" s="13">
        <f t="shared" ref="N2307:N2335" si="57">SUM(I2307:K2307)</f>
        <v>108.06</v>
      </c>
    </row>
    <row r="2308" spans="1:14">
      <c r="A2308" s="12">
        <v>2307</v>
      </c>
      <c r="B2308" s="1" t="s">
        <v>557</v>
      </c>
      <c r="C2308" s="42" t="s">
        <v>558</v>
      </c>
      <c r="D2308" s="42" t="s">
        <v>3478</v>
      </c>
      <c r="E2308" s="42" t="s">
        <v>3461</v>
      </c>
      <c r="F2308" s="4">
        <v>705.39</v>
      </c>
      <c r="G2308" s="47" t="s">
        <v>570</v>
      </c>
      <c r="H2308" s="12">
        <v>998361</v>
      </c>
      <c r="I2308" s="4">
        <v>0</v>
      </c>
      <c r="J2308" s="4">
        <v>0</v>
      </c>
      <c r="K2308" s="4">
        <v>107.6</v>
      </c>
      <c r="L2308" s="4">
        <v>0</v>
      </c>
      <c r="M2308" s="12" t="s">
        <v>571</v>
      </c>
      <c r="N2308" s="13">
        <f t="shared" si="57"/>
        <v>107.6</v>
      </c>
    </row>
    <row r="2309" spans="1:14">
      <c r="A2309" s="12">
        <v>2308</v>
      </c>
      <c r="B2309" s="1" t="s">
        <v>557</v>
      </c>
      <c r="C2309" s="42" t="s">
        <v>558</v>
      </c>
      <c r="D2309" s="42" t="s">
        <v>3479</v>
      </c>
      <c r="E2309" s="42" t="s">
        <v>3480</v>
      </c>
      <c r="F2309" s="4">
        <v>685.05</v>
      </c>
      <c r="G2309" s="47" t="s">
        <v>570</v>
      </c>
      <c r="H2309" s="12">
        <v>998361</v>
      </c>
      <c r="I2309" s="4">
        <v>0</v>
      </c>
      <c r="J2309" s="4">
        <v>0</v>
      </c>
      <c r="K2309" s="4">
        <v>104.5</v>
      </c>
      <c r="L2309" s="4">
        <v>0</v>
      </c>
      <c r="M2309" s="12" t="s">
        <v>571</v>
      </c>
      <c r="N2309" s="13">
        <f t="shared" si="57"/>
        <v>104.5</v>
      </c>
    </row>
    <row r="2310" spans="1:14">
      <c r="A2310" s="12">
        <v>2309</v>
      </c>
      <c r="B2310" s="1" t="s">
        <v>557</v>
      </c>
      <c r="C2310" s="42" t="s">
        <v>558</v>
      </c>
      <c r="D2310" s="42" t="s">
        <v>3481</v>
      </c>
      <c r="E2310" s="42" t="s">
        <v>3482</v>
      </c>
      <c r="F2310" s="4">
        <v>714.47</v>
      </c>
      <c r="G2310" s="47" t="s">
        <v>570</v>
      </c>
      <c r="H2310" s="12">
        <v>998361</v>
      </c>
      <c r="I2310" s="4">
        <v>0</v>
      </c>
      <c r="J2310" s="4">
        <v>0</v>
      </c>
      <c r="K2310" s="4">
        <v>108.99</v>
      </c>
      <c r="L2310" s="4">
        <v>0</v>
      </c>
      <c r="M2310" s="12" t="s">
        <v>571</v>
      </c>
      <c r="N2310" s="13">
        <f t="shared" si="57"/>
        <v>108.99</v>
      </c>
    </row>
    <row r="2311" spans="1:14">
      <c r="A2311" s="12">
        <v>2310</v>
      </c>
      <c r="B2311" s="1" t="s">
        <v>557</v>
      </c>
      <c r="C2311" s="42" t="s">
        <v>558</v>
      </c>
      <c r="D2311" s="42" t="s">
        <v>3483</v>
      </c>
      <c r="E2311" s="42" t="s">
        <v>3463</v>
      </c>
      <c r="F2311" s="4">
        <v>728.61</v>
      </c>
      <c r="G2311" s="47" t="s">
        <v>570</v>
      </c>
      <c r="H2311" s="12">
        <v>998361</v>
      </c>
      <c r="I2311" s="4">
        <v>0</v>
      </c>
      <c r="J2311" s="4">
        <v>0</v>
      </c>
      <c r="K2311" s="4">
        <v>111.14</v>
      </c>
      <c r="L2311" s="4">
        <v>0</v>
      </c>
      <c r="M2311" s="12" t="s">
        <v>571</v>
      </c>
      <c r="N2311" s="13">
        <f t="shared" si="57"/>
        <v>111.14</v>
      </c>
    </row>
    <row r="2312" spans="1:14">
      <c r="A2312" s="12">
        <v>2311</v>
      </c>
      <c r="B2312" s="1" t="s">
        <v>557</v>
      </c>
      <c r="C2312" s="42" t="s">
        <v>558</v>
      </c>
      <c r="D2312" s="42" t="s">
        <v>3484</v>
      </c>
      <c r="E2312" s="42" t="s">
        <v>3485</v>
      </c>
      <c r="F2312" s="4">
        <v>709.52</v>
      </c>
      <c r="G2312" s="47" t="s">
        <v>570</v>
      </c>
      <c r="H2312" s="12">
        <v>998361</v>
      </c>
      <c r="I2312" s="4">
        <v>0</v>
      </c>
      <c r="J2312" s="4">
        <v>0</v>
      </c>
      <c r="K2312" s="4">
        <v>108.23</v>
      </c>
      <c r="L2312" s="4">
        <v>0</v>
      </c>
      <c r="M2312" s="12" t="s">
        <v>571</v>
      </c>
      <c r="N2312" s="13">
        <f t="shared" si="57"/>
        <v>108.23</v>
      </c>
    </row>
    <row r="2313" spans="1:14">
      <c r="A2313" s="12">
        <v>2312</v>
      </c>
      <c r="B2313" s="1" t="s">
        <v>557</v>
      </c>
      <c r="C2313" s="42" t="s">
        <v>558</v>
      </c>
      <c r="D2313" s="42" t="s">
        <v>3486</v>
      </c>
      <c r="E2313" s="42" t="s">
        <v>514</v>
      </c>
      <c r="F2313" s="4">
        <v>702.91</v>
      </c>
      <c r="G2313" s="47" t="s">
        <v>570</v>
      </c>
      <c r="H2313" s="12">
        <v>998361</v>
      </c>
      <c r="I2313" s="4">
        <v>0</v>
      </c>
      <c r="J2313" s="4">
        <v>0</v>
      </c>
      <c r="K2313" s="4">
        <v>107.22</v>
      </c>
      <c r="L2313" s="4">
        <v>0</v>
      </c>
      <c r="M2313" s="12" t="s">
        <v>571</v>
      </c>
      <c r="N2313" s="13">
        <f t="shared" si="57"/>
        <v>107.22</v>
      </c>
    </row>
    <row r="2314" spans="1:14">
      <c r="A2314" s="12">
        <v>2313</v>
      </c>
      <c r="B2314" s="1" t="s">
        <v>557</v>
      </c>
      <c r="C2314" s="42" t="s">
        <v>558</v>
      </c>
      <c r="D2314" s="42" t="s">
        <v>3487</v>
      </c>
      <c r="E2314" s="42" t="s">
        <v>3488</v>
      </c>
      <c r="F2314" s="4">
        <v>704.09</v>
      </c>
      <c r="G2314" s="47" t="s">
        <v>570</v>
      </c>
      <c r="H2314" s="12">
        <v>998361</v>
      </c>
      <c r="I2314" s="4">
        <v>0</v>
      </c>
      <c r="J2314" s="4">
        <v>0</v>
      </c>
      <c r="K2314" s="4">
        <v>107.4</v>
      </c>
      <c r="L2314" s="4">
        <v>0</v>
      </c>
      <c r="M2314" s="12" t="s">
        <v>571</v>
      </c>
      <c r="N2314" s="13">
        <f t="shared" si="57"/>
        <v>107.4</v>
      </c>
    </row>
    <row r="2315" spans="1:14">
      <c r="A2315" s="12">
        <v>2314</v>
      </c>
      <c r="B2315" s="1" t="s">
        <v>557</v>
      </c>
      <c r="C2315" s="42" t="s">
        <v>558</v>
      </c>
      <c r="D2315" s="42" t="s">
        <v>3489</v>
      </c>
      <c r="E2315" s="42" t="s">
        <v>3465</v>
      </c>
      <c r="F2315" s="4">
        <v>709.24</v>
      </c>
      <c r="G2315" s="47" t="s">
        <v>570</v>
      </c>
      <c r="H2315" s="12">
        <v>998361</v>
      </c>
      <c r="I2315" s="4">
        <v>0</v>
      </c>
      <c r="J2315" s="4">
        <v>0</v>
      </c>
      <c r="K2315" s="4">
        <v>108.19</v>
      </c>
      <c r="L2315" s="4">
        <v>0</v>
      </c>
      <c r="M2315" s="12" t="s">
        <v>571</v>
      </c>
      <c r="N2315" s="13">
        <f t="shared" si="57"/>
        <v>108.19</v>
      </c>
    </row>
    <row r="2316" spans="1:14">
      <c r="A2316" s="12">
        <v>2315</v>
      </c>
      <c r="B2316" s="1" t="s">
        <v>557</v>
      </c>
      <c r="C2316" s="42" t="s">
        <v>558</v>
      </c>
      <c r="D2316" s="42" t="s">
        <v>3490</v>
      </c>
      <c r="E2316" s="42" t="s">
        <v>3491</v>
      </c>
      <c r="F2316" s="4">
        <v>687.15</v>
      </c>
      <c r="G2316" s="47" t="s">
        <v>570</v>
      </c>
      <c r="H2316" s="12">
        <v>998361</v>
      </c>
      <c r="I2316" s="4">
        <v>0</v>
      </c>
      <c r="J2316" s="4">
        <v>0</v>
      </c>
      <c r="K2316" s="4">
        <v>104.82</v>
      </c>
      <c r="L2316" s="4">
        <v>0</v>
      </c>
      <c r="M2316" s="12" t="s">
        <v>571</v>
      </c>
      <c r="N2316" s="13">
        <f t="shared" si="57"/>
        <v>104.82</v>
      </c>
    </row>
    <row r="2317" spans="1:14">
      <c r="A2317" s="12">
        <v>2316</v>
      </c>
      <c r="B2317" s="1" t="s">
        <v>557</v>
      </c>
      <c r="C2317" s="42" t="s">
        <v>558</v>
      </c>
      <c r="D2317" s="42" t="s">
        <v>3492</v>
      </c>
      <c r="E2317" s="42" t="s">
        <v>3467</v>
      </c>
      <c r="F2317" s="4">
        <v>710.66</v>
      </c>
      <c r="G2317" s="47" t="s">
        <v>570</v>
      </c>
      <c r="H2317" s="12">
        <v>998361</v>
      </c>
      <c r="I2317" s="4">
        <v>0</v>
      </c>
      <c r="J2317" s="4">
        <v>0</v>
      </c>
      <c r="K2317" s="4">
        <v>108.41</v>
      </c>
      <c r="L2317" s="4">
        <v>0</v>
      </c>
      <c r="M2317" s="12" t="s">
        <v>571</v>
      </c>
      <c r="N2317" s="13">
        <f t="shared" si="57"/>
        <v>108.41</v>
      </c>
    </row>
    <row r="2318" spans="1:14">
      <c r="A2318" s="12">
        <v>2317</v>
      </c>
      <c r="B2318" s="1" t="s">
        <v>557</v>
      </c>
      <c r="C2318" s="42" t="s">
        <v>558</v>
      </c>
      <c r="D2318" s="42" t="s">
        <v>3493</v>
      </c>
      <c r="E2318" s="42" t="s">
        <v>3494</v>
      </c>
      <c r="F2318" s="4">
        <v>734.8</v>
      </c>
      <c r="G2318" s="47" t="s">
        <v>570</v>
      </c>
      <c r="H2318" s="12">
        <v>998361</v>
      </c>
      <c r="I2318" s="4">
        <v>0</v>
      </c>
      <c r="J2318" s="4">
        <v>0</v>
      </c>
      <c r="K2318" s="4">
        <v>112.09</v>
      </c>
      <c r="L2318" s="4">
        <v>0</v>
      </c>
      <c r="M2318" s="12" t="s">
        <v>571</v>
      </c>
      <c r="N2318" s="13">
        <f t="shared" si="57"/>
        <v>112.09</v>
      </c>
    </row>
    <row r="2319" spans="1:14">
      <c r="A2319" s="12">
        <v>2318</v>
      </c>
      <c r="B2319" s="1" t="s">
        <v>557</v>
      </c>
      <c r="C2319" s="42" t="s">
        <v>558</v>
      </c>
      <c r="D2319" s="42" t="s">
        <v>3495</v>
      </c>
      <c r="E2319" s="42" t="s">
        <v>3496</v>
      </c>
      <c r="F2319" s="4">
        <v>722.69</v>
      </c>
      <c r="G2319" s="47" t="s">
        <v>570</v>
      </c>
      <c r="H2319" s="12">
        <v>998361</v>
      </c>
      <c r="I2319" s="4">
        <v>0</v>
      </c>
      <c r="J2319" s="4">
        <v>0</v>
      </c>
      <c r="K2319" s="4">
        <v>110.24</v>
      </c>
      <c r="L2319" s="4">
        <v>0</v>
      </c>
      <c r="M2319" s="12" t="s">
        <v>571</v>
      </c>
      <c r="N2319" s="13">
        <f t="shared" si="57"/>
        <v>110.24</v>
      </c>
    </row>
    <row r="2320" spans="1:14">
      <c r="A2320" s="12">
        <v>2319</v>
      </c>
      <c r="B2320" s="1" t="s">
        <v>557</v>
      </c>
      <c r="C2320" s="42" t="s">
        <v>558</v>
      </c>
      <c r="D2320" s="42" t="s">
        <v>3497</v>
      </c>
      <c r="E2320" s="42" t="s">
        <v>3476</v>
      </c>
      <c r="F2320" s="4">
        <v>701.34</v>
      </c>
      <c r="G2320" s="47" t="s">
        <v>570</v>
      </c>
      <c r="H2320" s="12">
        <v>998361</v>
      </c>
      <c r="I2320" s="4">
        <v>0</v>
      </c>
      <c r="J2320" s="4">
        <v>0</v>
      </c>
      <c r="K2320" s="4">
        <v>106.98</v>
      </c>
      <c r="L2320" s="4">
        <v>0</v>
      </c>
      <c r="M2320" s="12" t="s">
        <v>571</v>
      </c>
      <c r="N2320" s="13">
        <f t="shared" si="57"/>
        <v>106.98</v>
      </c>
    </row>
    <row r="2321" spans="1:14">
      <c r="A2321" s="12">
        <v>2320</v>
      </c>
      <c r="B2321" s="1" t="s">
        <v>557</v>
      </c>
      <c r="C2321" s="42" t="s">
        <v>558</v>
      </c>
      <c r="D2321" s="42" t="s">
        <v>3498</v>
      </c>
      <c r="E2321" s="42" t="s">
        <v>3458</v>
      </c>
      <c r="F2321" s="4">
        <v>2.34</v>
      </c>
      <c r="G2321" s="47" t="s">
        <v>570</v>
      </c>
      <c r="H2321" s="12">
        <v>998361</v>
      </c>
      <c r="I2321" s="4">
        <v>0</v>
      </c>
      <c r="J2321" s="4">
        <v>0</v>
      </c>
      <c r="K2321" s="4">
        <v>0.36</v>
      </c>
      <c r="L2321" s="4">
        <v>0</v>
      </c>
      <c r="M2321" s="12" t="s">
        <v>571</v>
      </c>
      <c r="N2321" s="13">
        <f t="shared" si="57"/>
        <v>0.36</v>
      </c>
    </row>
    <row r="2322" spans="1:14">
      <c r="A2322" s="12">
        <v>2321</v>
      </c>
      <c r="B2322" s="1" t="s">
        <v>557</v>
      </c>
      <c r="C2322" s="42" t="s">
        <v>558</v>
      </c>
      <c r="D2322" s="42" t="s">
        <v>3499</v>
      </c>
      <c r="E2322" s="42" t="s">
        <v>3500</v>
      </c>
      <c r="F2322" s="4">
        <v>282.01</v>
      </c>
      <c r="G2322" s="47" t="s">
        <v>570</v>
      </c>
      <c r="H2322" s="12">
        <v>998361</v>
      </c>
      <c r="I2322" s="4">
        <v>0</v>
      </c>
      <c r="J2322" s="4">
        <v>0</v>
      </c>
      <c r="K2322" s="4">
        <v>43.02</v>
      </c>
      <c r="L2322" s="4">
        <v>0</v>
      </c>
      <c r="M2322" s="12" t="s">
        <v>571</v>
      </c>
      <c r="N2322" s="13">
        <f t="shared" si="57"/>
        <v>43.02</v>
      </c>
    </row>
    <row r="2323" spans="1:14">
      <c r="A2323" s="12">
        <v>2322</v>
      </c>
      <c r="B2323" s="1" t="s">
        <v>557</v>
      </c>
      <c r="C2323" s="42" t="s">
        <v>558</v>
      </c>
      <c r="D2323" s="42" t="s">
        <v>3501</v>
      </c>
      <c r="E2323" s="42" t="s">
        <v>517</v>
      </c>
      <c r="F2323" s="4">
        <v>682.18</v>
      </c>
      <c r="G2323" s="47" t="s">
        <v>570</v>
      </c>
      <c r="H2323" s="12">
        <v>998361</v>
      </c>
      <c r="I2323" s="4">
        <v>0</v>
      </c>
      <c r="J2323" s="4">
        <v>0</v>
      </c>
      <c r="K2323" s="4">
        <v>104.06</v>
      </c>
      <c r="L2323" s="4">
        <v>0</v>
      </c>
      <c r="M2323" s="12" t="s">
        <v>571</v>
      </c>
      <c r="N2323" s="13">
        <f t="shared" si="57"/>
        <v>104.06</v>
      </c>
    </row>
    <row r="2324" spans="1:14">
      <c r="A2324" s="12">
        <v>2323</v>
      </c>
      <c r="B2324" s="1" t="s">
        <v>557</v>
      </c>
      <c r="C2324" s="42" t="s">
        <v>558</v>
      </c>
      <c r="D2324" s="42" t="s">
        <v>3502</v>
      </c>
      <c r="E2324" s="42" t="s">
        <v>3503</v>
      </c>
      <c r="F2324" s="4">
        <v>711.25</v>
      </c>
      <c r="G2324" s="47" t="s">
        <v>570</v>
      </c>
      <c r="H2324" s="12">
        <v>998361</v>
      </c>
      <c r="I2324" s="4">
        <v>0</v>
      </c>
      <c r="J2324" s="4">
        <v>0</v>
      </c>
      <c r="K2324" s="4">
        <v>108.5</v>
      </c>
      <c r="L2324" s="4">
        <v>0</v>
      </c>
      <c r="M2324" s="12" t="s">
        <v>571</v>
      </c>
      <c r="N2324" s="13">
        <f t="shared" si="57"/>
        <v>108.5</v>
      </c>
    </row>
    <row r="2325" spans="1:14">
      <c r="A2325" s="12">
        <v>2324</v>
      </c>
      <c r="B2325" s="1" t="s">
        <v>557</v>
      </c>
      <c r="C2325" s="42" t="s">
        <v>558</v>
      </c>
      <c r="D2325" s="42" t="s">
        <v>3504</v>
      </c>
      <c r="E2325" s="42" t="s">
        <v>3505</v>
      </c>
      <c r="F2325" s="4">
        <v>430.5</v>
      </c>
      <c r="G2325" s="47" t="s">
        <v>570</v>
      </c>
      <c r="H2325" s="12">
        <v>998361</v>
      </c>
      <c r="I2325" s="4">
        <v>0</v>
      </c>
      <c r="J2325" s="4">
        <v>0</v>
      </c>
      <c r="K2325" s="4">
        <v>65.67</v>
      </c>
      <c r="L2325" s="4">
        <v>0</v>
      </c>
      <c r="M2325" s="12" t="s">
        <v>571</v>
      </c>
      <c r="N2325" s="13">
        <f t="shared" si="57"/>
        <v>65.67</v>
      </c>
    </row>
    <row r="2326" spans="1:14">
      <c r="A2326" s="12">
        <v>2325</v>
      </c>
      <c r="B2326" s="1" t="s">
        <v>557</v>
      </c>
      <c r="C2326" s="42" t="s">
        <v>558</v>
      </c>
      <c r="D2326" s="42" t="s">
        <v>3506</v>
      </c>
      <c r="E2326" s="42" t="s">
        <v>3507</v>
      </c>
      <c r="F2326" s="4">
        <v>866.34</v>
      </c>
      <c r="G2326" s="47" t="s">
        <v>570</v>
      </c>
      <c r="H2326" s="12">
        <v>998361</v>
      </c>
      <c r="I2326" s="4">
        <v>0</v>
      </c>
      <c r="J2326" s="4">
        <v>0</v>
      </c>
      <c r="K2326" s="4">
        <v>132.15</v>
      </c>
      <c r="L2326" s="4">
        <v>0</v>
      </c>
      <c r="M2326" s="12" t="s">
        <v>571</v>
      </c>
      <c r="N2326" s="13">
        <f t="shared" si="57"/>
        <v>132.15</v>
      </c>
    </row>
    <row r="2327" spans="1:14">
      <c r="A2327" s="12">
        <v>2326</v>
      </c>
      <c r="B2327" s="1" t="s">
        <v>557</v>
      </c>
      <c r="C2327" s="42" t="s">
        <v>558</v>
      </c>
      <c r="D2327" s="42" t="s">
        <v>3508</v>
      </c>
      <c r="E2327" s="42" t="s">
        <v>3509</v>
      </c>
      <c r="F2327" s="4">
        <v>727.95</v>
      </c>
      <c r="G2327" s="47" t="s">
        <v>570</v>
      </c>
      <c r="H2327" s="12">
        <v>998361</v>
      </c>
      <c r="I2327" s="4">
        <v>0</v>
      </c>
      <c r="J2327" s="4">
        <v>0</v>
      </c>
      <c r="K2327" s="4">
        <v>111.04</v>
      </c>
      <c r="L2327" s="4">
        <v>0</v>
      </c>
      <c r="M2327" s="12" t="s">
        <v>571</v>
      </c>
      <c r="N2327" s="13">
        <f t="shared" si="57"/>
        <v>111.04</v>
      </c>
    </row>
    <row r="2328" spans="1:14">
      <c r="A2328" s="12">
        <v>2327</v>
      </c>
      <c r="B2328" s="1" t="s">
        <v>557</v>
      </c>
      <c r="C2328" s="42" t="s">
        <v>558</v>
      </c>
      <c r="D2328" s="42" t="s">
        <v>3510</v>
      </c>
      <c r="E2328" s="42" t="s">
        <v>3511</v>
      </c>
      <c r="F2328" s="4">
        <v>720.66</v>
      </c>
      <c r="G2328" s="47" t="s">
        <v>570</v>
      </c>
      <c r="H2328" s="12">
        <v>998361</v>
      </c>
      <c r="I2328" s="4">
        <v>0</v>
      </c>
      <c r="J2328" s="4">
        <v>0</v>
      </c>
      <c r="K2328" s="4">
        <v>109.93</v>
      </c>
      <c r="L2328" s="4">
        <v>0</v>
      </c>
      <c r="M2328" s="12" t="s">
        <v>571</v>
      </c>
      <c r="N2328" s="13">
        <f t="shared" si="57"/>
        <v>109.93</v>
      </c>
    </row>
    <row r="2329" spans="1:14">
      <c r="A2329" s="12">
        <v>2328</v>
      </c>
      <c r="B2329" s="1" t="s">
        <v>557</v>
      </c>
      <c r="C2329" s="42" t="s">
        <v>558</v>
      </c>
      <c r="D2329" s="42" t="s">
        <v>3512</v>
      </c>
      <c r="E2329" s="42" t="s">
        <v>3513</v>
      </c>
      <c r="F2329" s="4">
        <v>730.96</v>
      </c>
      <c r="G2329" s="47" t="s">
        <v>570</v>
      </c>
      <c r="H2329" s="12">
        <v>998361</v>
      </c>
      <c r="I2329" s="4">
        <v>0</v>
      </c>
      <c r="J2329" s="4">
        <v>0</v>
      </c>
      <c r="K2329" s="4">
        <v>111.5</v>
      </c>
      <c r="L2329" s="4">
        <v>0</v>
      </c>
      <c r="M2329" s="12" t="s">
        <v>571</v>
      </c>
      <c r="N2329" s="13">
        <f t="shared" si="57"/>
        <v>111.5</v>
      </c>
    </row>
    <row r="2330" spans="1:14">
      <c r="A2330" s="12">
        <v>2329</v>
      </c>
      <c r="B2330" s="1" t="s">
        <v>557</v>
      </c>
      <c r="C2330" s="42" t="s">
        <v>558</v>
      </c>
      <c r="D2330" s="42" t="s">
        <v>3514</v>
      </c>
      <c r="E2330" s="42" t="s">
        <v>3515</v>
      </c>
      <c r="F2330" s="4">
        <v>717.12</v>
      </c>
      <c r="G2330" s="47" t="s">
        <v>570</v>
      </c>
      <c r="H2330" s="12">
        <v>998361</v>
      </c>
      <c r="I2330" s="4">
        <v>0</v>
      </c>
      <c r="J2330" s="4">
        <v>0</v>
      </c>
      <c r="K2330" s="4">
        <v>109.39</v>
      </c>
      <c r="L2330" s="4">
        <v>0</v>
      </c>
      <c r="M2330" s="12" t="s">
        <v>571</v>
      </c>
      <c r="N2330" s="13">
        <f t="shared" si="57"/>
        <v>109.39</v>
      </c>
    </row>
    <row r="2331" spans="1:14">
      <c r="A2331" s="12">
        <v>2330</v>
      </c>
      <c r="B2331" s="1" t="s">
        <v>557</v>
      </c>
      <c r="C2331" s="42" t="s">
        <v>558</v>
      </c>
      <c r="D2331" s="42" t="s">
        <v>3516</v>
      </c>
      <c r="E2331" s="42" t="s">
        <v>3469</v>
      </c>
      <c r="F2331" s="4">
        <v>714.14</v>
      </c>
      <c r="G2331" s="47" t="s">
        <v>570</v>
      </c>
      <c r="H2331" s="12">
        <v>998361</v>
      </c>
      <c r="I2331" s="4">
        <v>0</v>
      </c>
      <c r="J2331" s="4">
        <v>0</v>
      </c>
      <c r="K2331" s="4">
        <v>108.94</v>
      </c>
      <c r="L2331" s="4">
        <v>0</v>
      </c>
      <c r="M2331" s="12" t="s">
        <v>571</v>
      </c>
      <c r="N2331" s="13">
        <f t="shared" si="57"/>
        <v>108.94</v>
      </c>
    </row>
    <row r="2332" spans="1:14">
      <c r="A2332" s="12">
        <v>2331</v>
      </c>
      <c r="B2332" s="1" t="s">
        <v>1773</v>
      </c>
      <c r="C2332" s="42" t="s">
        <v>1774</v>
      </c>
      <c r="D2332" s="42" t="s">
        <v>3517</v>
      </c>
      <c r="E2332" s="42" t="s">
        <v>3469</v>
      </c>
      <c r="F2332" s="4">
        <v>278.87</v>
      </c>
      <c r="G2332" s="47" t="s">
        <v>570</v>
      </c>
      <c r="H2332" s="12">
        <v>997159</v>
      </c>
      <c r="I2332" s="4">
        <v>21.27</v>
      </c>
      <c r="J2332" s="4">
        <v>21.27</v>
      </c>
      <c r="K2332" s="4">
        <v>0</v>
      </c>
      <c r="L2332" s="4">
        <v>0</v>
      </c>
      <c r="M2332" s="12" t="s">
        <v>571</v>
      </c>
      <c r="N2332" s="13">
        <f t="shared" si="57"/>
        <v>42.54</v>
      </c>
    </row>
    <row r="2333" spans="1:14">
      <c r="A2333" s="12">
        <v>2332</v>
      </c>
      <c r="B2333" s="1" t="s">
        <v>3518</v>
      </c>
      <c r="C2333" s="42" t="s">
        <v>3519</v>
      </c>
      <c r="D2333" s="42" t="s">
        <v>3520</v>
      </c>
      <c r="E2333" s="42" t="s">
        <v>3521</v>
      </c>
      <c r="F2333" s="4">
        <v>7427</v>
      </c>
      <c r="G2333" s="47" t="s">
        <v>570</v>
      </c>
      <c r="H2333" s="12">
        <v>997331</v>
      </c>
      <c r="I2333" s="4">
        <v>0</v>
      </c>
      <c r="J2333" s="4">
        <v>0</v>
      </c>
      <c r="K2333" s="4">
        <v>1132.92</v>
      </c>
      <c r="L2333" s="4">
        <v>0</v>
      </c>
      <c r="M2333" s="12" t="s">
        <v>571</v>
      </c>
      <c r="N2333" s="13">
        <f t="shared" si="57"/>
        <v>1132.92</v>
      </c>
    </row>
    <row r="2334" spans="1:14">
      <c r="A2334" s="12">
        <v>2333</v>
      </c>
      <c r="B2334" s="1" t="s">
        <v>3518</v>
      </c>
      <c r="C2334" s="42" t="s">
        <v>3519</v>
      </c>
      <c r="D2334" s="42" t="s">
        <v>3522</v>
      </c>
      <c r="E2334" s="42" t="s">
        <v>3523</v>
      </c>
      <c r="F2334" s="4">
        <v>999</v>
      </c>
      <c r="G2334" s="47" t="s">
        <v>570</v>
      </c>
      <c r="H2334" s="12">
        <v>997331</v>
      </c>
      <c r="I2334" s="4">
        <v>0</v>
      </c>
      <c r="J2334" s="4">
        <v>0</v>
      </c>
      <c r="K2334" s="4">
        <v>152.46</v>
      </c>
      <c r="L2334" s="4">
        <v>0</v>
      </c>
      <c r="M2334" s="12" t="s">
        <v>571</v>
      </c>
      <c r="N2334" s="13">
        <f t="shared" si="57"/>
        <v>152.46</v>
      </c>
    </row>
    <row r="2335" spans="1:14">
      <c r="A2335" s="12">
        <v>2334</v>
      </c>
      <c r="B2335" s="1" t="s">
        <v>2954</v>
      </c>
      <c r="C2335" s="42" t="s">
        <v>2955</v>
      </c>
      <c r="D2335" s="42" t="s">
        <v>3524</v>
      </c>
      <c r="E2335" s="42" t="s">
        <v>3469</v>
      </c>
      <c r="F2335" s="4">
        <v>49504</v>
      </c>
      <c r="G2335" s="47" t="s">
        <v>60</v>
      </c>
      <c r="H2335" s="12">
        <v>74181021</v>
      </c>
      <c r="I2335" s="4">
        <v>0</v>
      </c>
      <c r="J2335" s="4">
        <v>0</v>
      </c>
      <c r="K2335" s="4">
        <v>5304</v>
      </c>
      <c r="L2335" s="4">
        <v>0</v>
      </c>
      <c r="M2335" s="12" t="s">
        <v>571</v>
      </c>
      <c r="N2335" s="13">
        <f t="shared" si="57"/>
        <v>5304</v>
      </c>
    </row>
    <row r="2336" spans="1:14">
      <c r="A2336" s="12">
        <v>2335</v>
      </c>
      <c r="B2336" s="1" t="s">
        <v>3525</v>
      </c>
      <c r="C2336" s="42" t="s">
        <v>3526</v>
      </c>
      <c r="D2336" s="42" t="s">
        <v>3527</v>
      </c>
      <c r="E2336" s="42" t="s">
        <v>3500</v>
      </c>
      <c r="F2336" s="4">
        <v>333</v>
      </c>
      <c r="G2336" s="47" t="s">
        <v>2046</v>
      </c>
      <c r="H2336" s="12">
        <v>84733099</v>
      </c>
      <c r="I2336" s="4">
        <v>0</v>
      </c>
      <c r="J2336" s="4">
        <v>0</v>
      </c>
      <c r="K2336" s="4">
        <v>50.8</v>
      </c>
      <c r="L2336" s="4">
        <v>0</v>
      </c>
      <c r="M2336" s="14" t="s">
        <v>157</v>
      </c>
      <c r="N2336" s="15" t="s">
        <v>202</v>
      </c>
    </row>
    <row r="2337" spans="1:14">
      <c r="A2337" s="12">
        <v>2336</v>
      </c>
      <c r="B2337" s="1" t="s">
        <v>2743</v>
      </c>
      <c r="C2337" s="42" t="s">
        <v>2744</v>
      </c>
      <c r="D2337" s="42" t="s">
        <v>3528</v>
      </c>
      <c r="E2337" s="42" t="s">
        <v>3469</v>
      </c>
      <c r="F2337" s="4">
        <v>0.5</v>
      </c>
      <c r="G2337" s="47" t="s">
        <v>570</v>
      </c>
      <c r="H2337" s="12">
        <v>998540</v>
      </c>
      <c r="I2337" s="4">
        <v>0</v>
      </c>
      <c r="J2337" s="4">
        <v>0</v>
      </c>
      <c r="K2337" s="4">
        <v>0.08</v>
      </c>
      <c r="L2337" s="4">
        <v>0</v>
      </c>
      <c r="M2337" s="12" t="s">
        <v>571</v>
      </c>
      <c r="N2337" s="13">
        <f t="shared" ref="N2337:N2340" si="58">SUM(I2337:K2337)</f>
        <v>0.08</v>
      </c>
    </row>
    <row r="2338" spans="1:14">
      <c r="A2338" s="12">
        <v>2337</v>
      </c>
      <c r="B2338" s="1" t="s">
        <v>2040</v>
      </c>
      <c r="C2338" s="42" t="s">
        <v>2041</v>
      </c>
      <c r="D2338" s="42" t="s">
        <v>3529</v>
      </c>
      <c r="E2338" s="42" t="s">
        <v>3496</v>
      </c>
      <c r="F2338" s="4">
        <v>736</v>
      </c>
      <c r="G2338" s="47" t="s">
        <v>570</v>
      </c>
      <c r="H2338" s="12">
        <v>998346</v>
      </c>
      <c r="I2338" s="4">
        <v>0</v>
      </c>
      <c r="J2338" s="4">
        <v>0</v>
      </c>
      <c r="K2338" s="4">
        <v>3</v>
      </c>
      <c r="L2338" s="4">
        <v>0</v>
      </c>
      <c r="M2338" s="12" t="s">
        <v>571</v>
      </c>
      <c r="N2338" s="13">
        <f t="shared" si="58"/>
        <v>3</v>
      </c>
    </row>
    <row r="2339" spans="1:14">
      <c r="A2339" s="12">
        <v>2338</v>
      </c>
      <c r="B2339" s="1" t="s">
        <v>2040</v>
      </c>
      <c r="C2339" s="42" t="s">
        <v>2041</v>
      </c>
      <c r="D2339" s="42" t="s">
        <v>3529</v>
      </c>
      <c r="E2339" s="42" t="s">
        <v>3496</v>
      </c>
      <c r="F2339" s="4">
        <v>736</v>
      </c>
      <c r="G2339" s="47" t="s">
        <v>570</v>
      </c>
      <c r="H2339" s="12">
        <v>998346</v>
      </c>
      <c r="I2339" s="4">
        <v>0</v>
      </c>
      <c r="J2339" s="4">
        <v>0</v>
      </c>
      <c r="K2339" s="4">
        <v>108</v>
      </c>
      <c r="L2339" s="4">
        <v>0</v>
      </c>
      <c r="M2339" s="12" t="s">
        <v>571</v>
      </c>
      <c r="N2339" s="13">
        <f t="shared" si="58"/>
        <v>108</v>
      </c>
    </row>
    <row r="2340" spans="1:14">
      <c r="A2340" s="12">
        <v>2339</v>
      </c>
      <c r="B2340" s="1" t="s">
        <v>3530</v>
      </c>
      <c r="C2340" s="42" t="s">
        <v>3531</v>
      </c>
      <c r="D2340" s="42" t="s">
        <v>3532</v>
      </c>
      <c r="E2340" s="42" t="s">
        <v>514</v>
      </c>
      <c r="F2340" s="4">
        <v>4849.8</v>
      </c>
      <c r="G2340" s="47" t="s">
        <v>570</v>
      </c>
      <c r="H2340" s="12">
        <v>440266</v>
      </c>
      <c r="I2340" s="4">
        <v>369.9</v>
      </c>
      <c r="J2340" s="4">
        <v>369.9</v>
      </c>
      <c r="K2340" s="4">
        <v>0</v>
      </c>
      <c r="L2340" s="4">
        <v>0</v>
      </c>
      <c r="M2340" s="12" t="s">
        <v>571</v>
      </c>
      <c r="N2340" s="13">
        <f t="shared" si="58"/>
        <v>739.8</v>
      </c>
    </row>
    <row r="2341" spans="1:14">
      <c r="A2341" s="12">
        <v>2340</v>
      </c>
      <c r="B2341" s="1" t="s">
        <v>3533</v>
      </c>
      <c r="C2341" s="42" t="s">
        <v>3534</v>
      </c>
      <c r="D2341" s="42" t="s">
        <v>3535</v>
      </c>
      <c r="E2341" s="42" t="s">
        <v>3505</v>
      </c>
      <c r="F2341" s="4">
        <v>39999</v>
      </c>
      <c r="G2341" s="47" t="s">
        <v>2046</v>
      </c>
      <c r="H2341" s="12">
        <v>85171211</v>
      </c>
      <c r="I2341" s="4">
        <v>0</v>
      </c>
      <c r="J2341" s="4">
        <v>0</v>
      </c>
      <c r="K2341" s="4">
        <v>6101.54</v>
      </c>
      <c r="L2341" s="4">
        <v>0</v>
      </c>
      <c r="M2341" s="14" t="s">
        <v>157</v>
      </c>
      <c r="N2341" s="15" t="s">
        <v>202</v>
      </c>
    </row>
    <row r="2342" spans="1:14">
      <c r="A2342" s="12">
        <v>2341</v>
      </c>
      <c r="B2342" s="1" t="s">
        <v>1793</v>
      </c>
      <c r="C2342" s="42" t="s">
        <v>1794</v>
      </c>
      <c r="D2342" s="42" t="s">
        <v>3536</v>
      </c>
      <c r="E2342" s="42" t="s">
        <v>3469</v>
      </c>
      <c r="F2342" s="4">
        <v>90925.07</v>
      </c>
      <c r="G2342" s="47" t="s">
        <v>570</v>
      </c>
      <c r="H2342" s="12">
        <v>996812</v>
      </c>
      <c r="I2342" s="4">
        <v>6934.96</v>
      </c>
      <c r="J2342" s="4">
        <v>6934.96</v>
      </c>
      <c r="K2342" s="4">
        <v>0</v>
      </c>
      <c r="L2342" s="4">
        <v>0</v>
      </c>
      <c r="M2342" s="12" t="s">
        <v>571</v>
      </c>
      <c r="N2342" s="13">
        <f t="shared" ref="N2342:N2405" si="59">SUM(I2342:K2342)</f>
        <v>13869.92</v>
      </c>
    </row>
    <row r="2343" spans="1:14">
      <c r="A2343" s="12">
        <v>2342</v>
      </c>
      <c r="B2343" s="1" t="s">
        <v>1793</v>
      </c>
      <c r="C2343" s="42" t="s">
        <v>1794</v>
      </c>
      <c r="D2343" s="42" t="s">
        <v>3537</v>
      </c>
      <c r="E2343" s="42" t="s">
        <v>3469</v>
      </c>
      <c r="F2343" s="4">
        <v>14469.26</v>
      </c>
      <c r="G2343" s="47" t="s">
        <v>570</v>
      </c>
      <c r="H2343" s="12">
        <v>996812</v>
      </c>
      <c r="I2343" s="4">
        <v>1103.5899999999999</v>
      </c>
      <c r="J2343" s="4">
        <v>1103.5899999999999</v>
      </c>
      <c r="K2343" s="4">
        <v>0</v>
      </c>
      <c r="L2343" s="4">
        <v>0</v>
      </c>
      <c r="M2343" s="12" t="s">
        <v>571</v>
      </c>
      <c r="N2343" s="13">
        <f t="shared" si="59"/>
        <v>2207.1799999999998</v>
      </c>
    </row>
    <row r="2344" spans="1:14">
      <c r="A2344" s="12">
        <v>2343</v>
      </c>
      <c r="B2344" s="1" t="s">
        <v>1793</v>
      </c>
      <c r="C2344" s="42" t="s">
        <v>1794</v>
      </c>
      <c r="D2344" s="42" t="s">
        <v>3538</v>
      </c>
      <c r="E2344" s="42" t="s">
        <v>3469</v>
      </c>
      <c r="F2344" s="4">
        <v>114095.24</v>
      </c>
      <c r="G2344" s="47" t="s">
        <v>570</v>
      </c>
      <c r="H2344" s="12">
        <v>996812</v>
      </c>
      <c r="I2344" s="4">
        <v>8702.18</v>
      </c>
      <c r="J2344" s="4">
        <v>8702.18</v>
      </c>
      <c r="K2344" s="4">
        <v>0</v>
      </c>
      <c r="L2344" s="4">
        <v>0</v>
      </c>
      <c r="M2344" s="12" t="s">
        <v>571</v>
      </c>
      <c r="N2344" s="13">
        <f t="shared" si="59"/>
        <v>17404.36</v>
      </c>
    </row>
    <row r="2345" spans="1:14">
      <c r="A2345" s="12">
        <v>2344</v>
      </c>
      <c r="B2345" s="1" t="s">
        <v>3539</v>
      </c>
      <c r="C2345" s="42" t="s">
        <v>3540</v>
      </c>
      <c r="D2345" s="42" t="s">
        <v>3541</v>
      </c>
      <c r="E2345" s="42" t="s">
        <v>3471</v>
      </c>
      <c r="F2345" s="4">
        <v>3304</v>
      </c>
      <c r="G2345" s="47" t="s">
        <v>1772</v>
      </c>
      <c r="H2345" s="12">
        <v>440480</v>
      </c>
      <c r="I2345" s="4">
        <v>0</v>
      </c>
      <c r="J2345" s="4">
        <v>0</v>
      </c>
      <c r="K2345" s="4">
        <v>504</v>
      </c>
      <c r="L2345" s="4">
        <v>0</v>
      </c>
      <c r="M2345" s="12" t="s">
        <v>571</v>
      </c>
      <c r="N2345" s="13">
        <f t="shared" si="59"/>
        <v>504</v>
      </c>
    </row>
    <row r="2346" spans="1:14">
      <c r="A2346" s="12">
        <v>2345</v>
      </c>
      <c r="B2346" s="1" t="s">
        <v>2082</v>
      </c>
      <c r="C2346" s="42" t="s">
        <v>2083</v>
      </c>
      <c r="D2346" s="42" t="s">
        <v>3542</v>
      </c>
      <c r="E2346" s="42" t="s">
        <v>3500</v>
      </c>
      <c r="F2346" s="4">
        <v>25776</v>
      </c>
      <c r="G2346" s="47" t="s">
        <v>60</v>
      </c>
      <c r="H2346" s="12" t="s">
        <v>1792</v>
      </c>
      <c r="I2346" s="4">
        <v>613.71</v>
      </c>
      <c r="J2346" s="4">
        <v>613.71</v>
      </c>
      <c r="K2346" s="4">
        <v>0</v>
      </c>
      <c r="L2346" s="4">
        <v>0</v>
      </c>
      <c r="M2346" s="12" t="s">
        <v>571</v>
      </c>
      <c r="N2346" s="13">
        <f t="shared" si="59"/>
        <v>1227.42</v>
      </c>
    </row>
    <row r="2347" spans="1:14">
      <c r="A2347" s="12">
        <v>2346</v>
      </c>
      <c r="B2347" s="1" t="s">
        <v>1799</v>
      </c>
      <c r="C2347" s="42" t="s">
        <v>1800</v>
      </c>
      <c r="D2347" s="42" t="s">
        <v>3543</v>
      </c>
      <c r="E2347" s="42" t="s">
        <v>3469</v>
      </c>
      <c r="F2347" s="4">
        <v>12.74</v>
      </c>
      <c r="G2347" s="47" t="s">
        <v>570</v>
      </c>
      <c r="H2347" s="12">
        <v>997159</v>
      </c>
      <c r="I2347" s="4">
        <v>0.97</v>
      </c>
      <c r="J2347" s="4">
        <v>0.97</v>
      </c>
      <c r="K2347" s="4">
        <v>0</v>
      </c>
      <c r="L2347" s="4">
        <v>0</v>
      </c>
      <c r="M2347" s="12" t="s">
        <v>571</v>
      </c>
      <c r="N2347" s="13">
        <f t="shared" si="59"/>
        <v>1.94</v>
      </c>
    </row>
    <row r="2348" spans="1:14">
      <c r="A2348" s="12">
        <v>2347</v>
      </c>
      <c r="B2348" s="1" t="s">
        <v>3227</v>
      </c>
      <c r="C2348" s="42" t="s">
        <v>3228</v>
      </c>
      <c r="D2348" s="42" t="s">
        <v>3544</v>
      </c>
      <c r="E2348" s="42" t="s">
        <v>3471</v>
      </c>
      <c r="F2348" s="4">
        <v>15340</v>
      </c>
      <c r="G2348" s="47" t="s">
        <v>570</v>
      </c>
      <c r="H2348" s="12">
        <v>998383</v>
      </c>
      <c r="I2348" s="4">
        <v>1170</v>
      </c>
      <c r="J2348" s="4">
        <v>1170</v>
      </c>
      <c r="K2348" s="4">
        <v>0</v>
      </c>
      <c r="L2348" s="4">
        <v>0</v>
      </c>
      <c r="M2348" s="12" t="s">
        <v>571</v>
      </c>
      <c r="N2348" s="13">
        <f t="shared" si="59"/>
        <v>2340</v>
      </c>
    </row>
    <row r="2349" spans="1:14">
      <c r="A2349" s="12">
        <v>2348</v>
      </c>
      <c r="B2349" s="1" t="s">
        <v>3545</v>
      </c>
      <c r="C2349" s="42" t="s">
        <v>3546</v>
      </c>
      <c r="D2349" s="42" t="s">
        <v>3547</v>
      </c>
      <c r="E2349" s="42" t="s">
        <v>3299</v>
      </c>
      <c r="F2349" s="4">
        <v>175</v>
      </c>
      <c r="G2349" s="47" t="s">
        <v>1772</v>
      </c>
      <c r="H2349" s="12">
        <v>39269099</v>
      </c>
      <c r="I2349" s="4">
        <v>0</v>
      </c>
      <c r="J2349" s="4">
        <v>0</v>
      </c>
      <c r="K2349" s="4">
        <v>26.69</v>
      </c>
      <c r="L2349" s="4">
        <v>0</v>
      </c>
      <c r="M2349" s="12" t="s">
        <v>571</v>
      </c>
      <c r="N2349" s="13">
        <f t="shared" si="59"/>
        <v>26.69</v>
      </c>
    </row>
    <row r="2350" spans="1:14">
      <c r="A2350" s="12">
        <v>2349</v>
      </c>
      <c r="B2350" s="1" t="s">
        <v>3548</v>
      </c>
      <c r="C2350" s="42" t="s">
        <v>3549</v>
      </c>
      <c r="D2350" s="42" t="s">
        <v>1283</v>
      </c>
      <c r="E2350" s="42" t="s">
        <v>3485</v>
      </c>
      <c r="F2350" s="4">
        <v>13570</v>
      </c>
      <c r="G2350" s="47" t="s">
        <v>570</v>
      </c>
      <c r="H2350" s="12">
        <v>998397</v>
      </c>
      <c r="I2350" s="4">
        <v>0</v>
      </c>
      <c r="J2350" s="4">
        <v>0</v>
      </c>
      <c r="K2350" s="4">
        <v>2070</v>
      </c>
      <c r="L2350" s="4">
        <v>0</v>
      </c>
      <c r="M2350" s="12" t="s">
        <v>571</v>
      </c>
      <c r="N2350" s="13">
        <f t="shared" si="59"/>
        <v>2070</v>
      </c>
    </row>
    <row r="2351" spans="1:14">
      <c r="A2351" s="12">
        <v>2350</v>
      </c>
      <c r="B2351" s="1" t="s">
        <v>2964</v>
      </c>
      <c r="C2351" s="42" t="s">
        <v>2965</v>
      </c>
      <c r="D2351" s="42" t="s">
        <v>3550</v>
      </c>
      <c r="E2351" s="42" t="s">
        <v>3494</v>
      </c>
      <c r="F2351" s="4">
        <v>14865</v>
      </c>
      <c r="G2351" s="47" t="s">
        <v>570</v>
      </c>
      <c r="H2351" s="12">
        <v>998361</v>
      </c>
      <c r="I2351" s="4">
        <v>0</v>
      </c>
      <c r="J2351" s="4">
        <v>0</v>
      </c>
      <c r="K2351" s="4">
        <v>2268</v>
      </c>
      <c r="L2351" s="4">
        <v>0</v>
      </c>
      <c r="M2351" s="12" t="s">
        <v>571</v>
      </c>
      <c r="N2351" s="13">
        <f t="shared" si="59"/>
        <v>2268</v>
      </c>
    </row>
    <row r="2352" spans="1:14">
      <c r="A2352" s="12">
        <v>2351</v>
      </c>
      <c r="B2352" s="1" t="s">
        <v>2747</v>
      </c>
      <c r="C2352" s="42" t="s">
        <v>2748</v>
      </c>
      <c r="D2352" s="42" t="s">
        <v>3551</v>
      </c>
      <c r="E2352" s="42" t="s">
        <v>3485</v>
      </c>
      <c r="F2352" s="4">
        <v>3033</v>
      </c>
      <c r="G2352" s="47" t="s">
        <v>60</v>
      </c>
      <c r="H2352" s="12" t="s">
        <v>1806</v>
      </c>
      <c r="I2352" s="4">
        <v>0</v>
      </c>
      <c r="J2352" s="4">
        <v>0</v>
      </c>
      <c r="K2352" s="4">
        <v>462.6</v>
      </c>
      <c r="L2352" s="4">
        <v>0</v>
      </c>
      <c r="M2352" s="12" t="s">
        <v>571</v>
      </c>
      <c r="N2352" s="13">
        <f t="shared" si="59"/>
        <v>462.6</v>
      </c>
    </row>
    <row r="2353" spans="1:14">
      <c r="A2353" s="12">
        <v>2352</v>
      </c>
      <c r="B2353" s="1" t="s">
        <v>2747</v>
      </c>
      <c r="C2353" s="42" t="s">
        <v>2748</v>
      </c>
      <c r="D2353" s="42" t="s">
        <v>3552</v>
      </c>
      <c r="E2353" s="42" t="s">
        <v>3476</v>
      </c>
      <c r="F2353" s="4">
        <v>9121</v>
      </c>
      <c r="G2353" s="47" t="s">
        <v>60</v>
      </c>
      <c r="H2353" s="12" t="s">
        <v>1806</v>
      </c>
      <c r="I2353" s="4">
        <v>0</v>
      </c>
      <c r="J2353" s="4">
        <v>0</v>
      </c>
      <c r="K2353" s="4">
        <v>1391.4</v>
      </c>
      <c r="L2353" s="4">
        <v>0</v>
      </c>
      <c r="M2353" s="12" t="s">
        <v>571</v>
      </c>
      <c r="N2353" s="13">
        <f t="shared" si="59"/>
        <v>1391.4</v>
      </c>
    </row>
    <row r="2354" spans="1:14">
      <c r="A2354" s="12">
        <v>2353</v>
      </c>
      <c r="B2354" s="1" t="s">
        <v>2319</v>
      </c>
      <c r="C2354" s="42" t="s">
        <v>2320</v>
      </c>
      <c r="D2354" s="42" t="s">
        <v>3553</v>
      </c>
      <c r="E2354" s="42" t="s">
        <v>3491</v>
      </c>
      <c r="F2354" s="4">
        <v>56700</v>
      </c>
      <c r="G2354" s="47" t="s">
        <v>60</v>
      </c>
      <c r="H2354" s="12" t="s">
        <v>1700</v>
      </c>
      <c r="I2354" s="4">
        <v>0</v>
      </c>
      <c r="J2354" s="4">
        <v>0</v>
      </c>
      <c r="K2354" s="4">
        <v>2700</v>
      </c>
      <c r="L2354" s="4">
        <v>0</v>
      </c>
      <c r="M2354" s="12" t="s">
        <v>571</v>
      </c>
      <c r="N2354" s="13">
        <f t="shared" si="59"/>
        <v>2700</v>
      </c>
    </row>
    <row r="2355" spans="1:14">
      <c r="A2355" s="12">
        <v>2354</v>
      </c>
      <c r="B2355" s="1" t="s">
        <v>1737</v>
      </c>
      <c r="C2355" s="42" t="s">
        <v>1738</v>
      </c>
      <c r="D2355" s="42" t="s">
        <v>3554</v>
      </c>
      <c r="E2355" s="42" t="s">
        <v>3469</v>
      </c>
      <c r="F2355" s="4">
        <v>16609</v>
      </c>
      <c r="G2355" s="47" t="s">
        <v>60</v>
      </c>
      <c r="H2355" s="12">
        <v>4911</v>
      </c>
      <c r="I2355" s="4">
        <v>1266.75</v>
      </c>
      <c r="J2355" s="4">
        <v>1266.75</v>
      </c>
      <c r="K2355" s="4">
        <v>0</v>
      </c>
      <c r="L2355" s="4">
        <v>0</v>
      </c>
      <c r="M2355" s="12" t="s">
        <v>571</v>
      </c>
      <c r="N2355" s="13">
        <f t="shared" si="59"/>
        <v>2533.5</v>
      </c>
    </row>
    <row r="2356" spans="1:14">
      <c r="A2356" s="12">
        <v>2355</v>
      </c>
      <c r="B2356" s="1" t="s">
        <v>3555</v>
      </c>
      <c r="C2356" s="42" t="s">
        <v>3556</v>
      </c>
      <c r="D2356" s="42" t="s">
        <v>3557</v>
      </c>
      <c r="E2356" s="42" t="s">
        <v>3476</v>
      </c>
      <c r="F2356" s="4">
        <v>17700</v>
      </c>
      <c r="G2356" s="47" t="s">
        <v>570</v>
      </c>
      <c r="H2356" s="12">
        <v>998366</v>
      </c>
      <c r="I2356" s="4">
        <v>0</v>
      </c>
      <c r="J2356" s="4">
        <v>0</v>
      </c>
      <c r="K2356" s="4">
        <v>2700</v>
      </c>
      <c r="L2356" s="4">
        <v>0</v>
      </c>
      <c r="M2356" s="12" t="s">
        <v>571</v>
      </c>
      <c r="N2356" s="13">
        <f t="shared" si="59"/>
        <v>2700</v>
      </c>
    </row>
    <row r="2357" spans="1:14">
      <c r="A2357" s="12">
        <v>2356</v>
      </c>
      <c r="B2357" s="1" t="s">
        <v>3558</v>
      </c>
      <c r="C2357" s="42" t="s">
        <v>3559</v>
      </c>
      <c r="D2357" s="42" t="s">
        <v>3560</v>
      </c>
      <c r="E2357" s="42" t="s">
        <v>3465</v>
      </c>
      <c r="F2357" s="4">
        <v>98175</v>
      </c>
      <c r="G2357" s="47" t="s">
        <v>60</v>
      </c>
      <c r="H2357" s="12" t="s">
        <v>1641</v>
      </c>
      <c r="I2357" s="4">
        <v>0</v>
      </c>
      <c r="J2357" s="4">
        <v>0</v>
      </c>
      <c r="K2357" s="4">
        <v>4675</v>
      </c>
      <c r="L2357" s="4">
        <v>0</v>
      </c>
      <c r="M2357" s="12" t="s">
        <v>571</v>
      </c>
      <c r="N2357" s="13">
        <f t="shared" si="59"/>
        <v>4675</v>
      </c>
    </row>
    <row r="2358" spans="1:14">
      <c r="A2358" s="12">
        <v>2357</v>
      </c>
      <c r="B2358" s="1" t="s">
        <v>3561</v>
      </c>
      <c r="C2358" s="42" t="s">
        <v>3562</v>
      </c>
      <c r="D2358" s="42" t="s">
        <v>3563</v>
      </c>
      <c r="E2358" s="42" t="s">
        <v>3503</v>
      </c>
      <c r="F2358" s="4">
        <v>16800</v>
      </c>
      <c r="G2358" s="47" t="s">
        <v>2046</v>
      </c>
      <c r="H2358" s="29" t="s">
        <v>3564</v>
      </c>
      <c r="I2358" s="4">
        <v>0</v>
      </c>
      <c r="J2358" s="4">
        <v>0</v>
      </c>
      <c r="K2358" s="4">
        <v>3675</v>
      </c>
      <c r="L2358" s="4">
        <v>0</v>
      </c>
      <c r="M2358" s="14" t="s">
        <v>157</v>
      </c>
      <c r="N2358" s="15" t="s">
        <v>202</v>
      </c>
    </row>
    <row r="2359" spans="1:14">
      <c r="A2359" s="12">
        <v>2358</v>
      </c>
      <c r="B2359" s="1" t="s">
        <v>1740</v>
      </c>
      <c r="C2359" s="42" t="s">
        <v>1741</v>
      </c>
      <c r="D2359" s="42" t="s">
        <v>3565</v>
      </c>
      <c r="E2359" s="42" t="s">
        <v>3480</v>
      </c>
      <c r="F2359" s="4">
        <v>15750</v>
      </c>
      <c r="G2359" s="47" t="s">
        <v>60</v>
      </c>
      <c r="H2359" s="12" t="s">
        <v>1700</v>
      </c>
      <c r="I2359" s="4">
        <v>0</v>
      </c>
      <c r="J2359" s="4">
        <v>0</v>
      </c>
      <c r="K2359" s="4">
        <v>750</v>
      </c>
      <c r="L2359" s="4">
        <v>0</v>
      </c>
      <c r="M2359" s="12" t="s">
        <v>571</v>
      </c>
      <c r="N2359" s="13">
        <f t="shared" si="59"/>
        <v>750</v>
      </c>
    </row>
    <row r="2360" spans="1:14">
      <c r="A2360" s="12">
        <v>2359</v>
      </c>
      <c r="B2360" s="1" t="s">
        <v>3566</v>
      </c>
      <c r="C2360" s="42" t="s">
        <v>3567</v>
      </c>
      <c r="D2360" s="42" t="s">
        <v>3568</v>
      </c>
      <c r="E2360" s="42" t="s">
        <v>3299</v>
      </c>
      <c r="F2360" s="4">
        <v>267</v>
      </c>
      <c r="G2360" s="47" t="s">
        <v>1772</v>
      </c>
      <c r="H2360" s="12">
        <v>63029900</v>
      </c>
      <c r="I2360" s="4">
        <v>6.36</v>
      </c>
      <c r="J2360" s="4">
        <v>6.36</v>
      </c>
      <c r="K2360" s="4">
        <v>0</v>
      </c>
      <c r="L2360" s="4">
        <v>0</v>
      </c>
      <c r="M2360" s="12" t="s">
        <v>571</v>
      </c>
      <c r="N2360" s="13">
        <f t="shared" si="59"/>
        <v>12.72</v>
      </c>
    </row>
    <row r="2361" spans="1:14">
      <c r="A2361" s="12">
        <v>2360</v>
      </c>
      <c r="B2361" s="1" t="s">
        <v>1759</v>
      </c>
      <c r="C2361" s="42" t="s">
        <v>1760</v>
      </c>
      <c r="D2361" s="42" t="s">
        <v>3569</v>
      </c>
      <c r="E2361" s="42" t="s">
        <v>3469</v>
      </c>
      <c r="F2361" s="4">
        <v>1734.6</v>
      </c>
      <c r="G2361" s="47" t="s">
        <v>570</v>
      </c>
      <c r="H2361" s="12">
        <v>997159</v>
      </c>
      <c r="I2361" s="4">
        <v>0</v>
      </c>
      <c r="J2361" s="4">
        <v>0</v>
      </c>
      <c r="K2361" s="4">
        <v>264.60000000000002</v>
      </c>
      <c r="L2361" s="4">
        <v>0</v>
      </c>
      <c r="M2361" s="12" t="s">
        <v>571</v>
      </c>
      <c r="N2361" s="13">
        <f t="shared" si="59"/>
        <v>264.60000000000002</v>
      </c>
    </row>
    <row r="2362" spans="1:14">
      <c r="A2362" s="12">
        <v>2361</v>
      </c>
      <c r="B2362" s="1" t="s">
        <v>1759</v>
      </c>
      <c r="C2362" s="42" t="s">
        <v>1760</v>
      </c>
      <c r="D2362" s="42" t="s">
        <v>3570</v>
      </c>
      <c r="E2362" s="42" t="s">
        <v>3469</v>
      </c>
      <c r="F2362" s="4">
        <v>5904.33</v>
      </c>
      <c r="G2362" s="47" t="s">
        <v>570</v>
      </c>
      <c r="H2362" s="12">
        <v>997159</v>
      </c>
      <c r="I2362" s="4">
        <v>0</v>
      </c>
      <c r="J2362" s="4">
        <v>0</v>
      </c>
      <c r="K2362" s="4">
        <v>900.66</v>
      </c>
      <c r="L2362" s="4">
        <v>0</v>
      </c>
      <c r="M2362" s="12" t="s">
        <v>571</v>
      </c>
      <c r="N2362" s="13">
        <f t="shared" si="59"/>
        <v>900.66</v>
      </c>
    </row>
    <row r="2363" spans="1:14">
      <c r="A2363" s="12">
        <v>2362</v>
      </c>
      <c r="B2363" s="1" t="s">
        <v>2541</v>
      </c>
      <c r="C2363" s="42" t="s">
        <v>2542</v>
      </c>
      <c r="D2363" s="42" t="s">
        <v>3571</v>
      </c>
      <c r="E2363" s="42" t="s">
        <v>3485</v>
      </c>
      <c r="F2363" s="4">
        <v>26460</v>
      </c>
      <c r="G2363" s="47" t="s">
        <v>60</v>
      </c>
      <c r="H2363" s="12" t="s">
        <v>1641</v>
      </c>
      <c r="I2363" s="4">
        <v>0</v>
      </c>
      <c r="J2363" s="4">
        <v>0</v>
      </c>
      <c r="K2363" s="4">
        <v>1260</v>
      </c>
      <c r="L2363" s="4">
        <v>0</v>
      </c>
      <c r="M2363" s="12" t="s">
        <v>571</v>
      </c>
      <c r="N2363" s="13">
        <f t="shared" si="59"/>
        <v>1260</v>
      </c>
    </row>
    <row r="2364" spans="1:14">
      <c r="A2364" s="12">
        <v>2363</v>
      </c>
      <c r="B2364" s="1" t="s">
        <v>2541</v>
      </c>
      <c r="C2364" s="42" t="s">
        <v>2542</v>
      </c>
      <c r="D2364" s="42" t="s">
        <v>3572</v>
      </c>
      <c r="E2364" s="42" t="s">
        <v>3458</v>
      </c>
      <c r="F2364" s="4">
        <v>56700</v>
      </c>
      <c r="G2364" s="47" t="s">
        <v>60</v>
      </c>
      <c r="H2364" s="12" t="s">
        <v>1700</v>
      </c>
      <c r="I2364" s="4">
        <v>0</v>
      </c>
      <c r="J2364" s="4">
        <v>0</v>
      </c>
      <c r="K2364" s="4">
        <v>2700</v>
      </c>
      <c r="L2364" s="4">
        <v>0</v>
      </c>
      <c r="M2364" s="12" t="s">
        <v>571</v>
      </c>
      <c r="N2364" s="13">
        <f t="shared" si="59"/>
        <v>2700</v>
      </c>
    </row>
    <row r="2365" spans="1:14">
      <c r="A2365" s="12">
        <v>2364</v>
      </c>
      <c r="B2365" s="1" t="s">
        <v>1776</v>
      </c>
      <c r="C2365" s="42" t="s">
        <v>1777</v>
      </c>
      <c r="D2365" s="42" t="s">
        <v>3573</v>
      </c>
      <c r="E2365" s="42" t="s">
        <v>3458</v>
      </c>
      <c r="F2365" s="4">
        <v>4312.8999999999996</v>
      </c>
      <c r="G2365" s="47" t="s">
        <v>570</v>
      </c>
      <c r="H2365" s="12">
        <v>3923</v>
      </c>
      <c r="I2365" s="4">
        <v>328.95</v>
      </c>
      <c r="J2365" s="4">
        <v>328.95</v>
      </c>
      <c r="K2365" s="4">
        <v>0</v>
      </c>
      <c r="L2365" s="4">
        <v>0</v>
      </c>
      <c r="M2365" s="12" t="s">
        <v>571</v>
      </c>
      <c r="N2365" s="13">
        <f t="shared" si="59"/>
        <v>657.9</v>
      </c>
    </row>
    <row r="2366" spans="1:14">
      <c r="A2366" s="12">
        <v>2365</v>
      </c>
      <c r="B2366" s="1" t="s">
        <v>1776</v>
      </c>
      <c r="C2366" s="42" t="s">
        <v>1777</v>
      </c>
      <c r="D2366" s="42" t="s">
        <v>3574</v>
      </c>
      <c r="E2366" s="42" t="s">
        <v>3458</v>
      </c>
      <c r="F2366" s="4">
        <v>6018</v>
      </c>
      <c r="G2366" s="47" t="s">
        <v>570</v>
      </c>
      <c r="H2366" s="12">
        <v>3923</v>
      </c>
      <c r="I2366" s="4">
        <v>459</v>
      </c>
      <c r="J2366" s="4">
        <v>459</v>
      </c>
      <c r="K2366" s="4">
        <v>0</v>
      </c>
      <c r="L2366" s="4">
        <v>0</v>
      </c>
      <c r="M2366" s="12" t="s">
        <v>571</v>
      </c>
      <c r="N2366" s="13">
        <f t="shared" si="59"/>
        <v>918</v>
      </c>
    </row>
    <row r="2367" spans="1:14">
      <c r="A2367" s="12">
        <v>2366</v>
      </c>
      <c r="B2367" s="1" t="s">
        <v>1776</v>
      </c>
      <c r="C2367" s="42" t="s">
        <v>1777</v>
      </c>
      <c r="D2367" s="42" t="s">
        <v>3575</v>
      </c>
      <c r="E2367" s="42" t="s">
        <v>3458</v>
      </c>
      <c r="F2367" s="4">
        <v>3380.7</v>
      </c>
      <c r="G2367" s="47" t="s">
        <v>570</v>
      </c>
      <c r="H2367" s="12">
        <v>3923</v>
      </c>
      <c r="I2367" s="4">
        <v>257.85000000000002</v>
      </c>
      <c r="J2367" s="4">
        <v>257.85000000000002</v>
      </c>
      <c r="K2367" s="4">
        <v>0</v>
      </c>
      <c r="L2367" s="4">
        <v>0</v>
      </c>
      <c r="M2367" s="12" t="s">
        <v>571</v>
      </c>
      <c r="N2367" s="13">
        <f t="shared" si="59"/>
        <v>515.70000000000005</v>
      </c>
    </row>
    <row r="2368" spans="1:14">
      <c r="A2368" s="12">
        <v>2367</v>
      </c>
      <c r="B2368" s="1" t="s">
        <v>1776</v>
      </c>
      <c r="C2368" s="42" t="s">
        <v>1777</v>
      </c>
      <c r="D2368" s="42" t="s">
        <v>3576</v>
      </c>
      <c r="E2368" s="42" t="s">
        <v>3458</v>
      </c>
      <c r="F2368" s="4">
        <v>5363.1</v>
      </c>
      <c r="G2368" s="47" t="s">
        <v>570</v>
      </c>
      <c r="H2368" s="12">
        <v>3923</v>
      </c>
      <c r="I2368" s="4">
        <v>409.05</v>
      </c>
      <c r="J2368" s="4">
        <v>409.05</v>
      </c>
      <c r="K2368" s="4">
        <v>0</v>
      </c>
      <c r="L2368" s="4">
        <v>0</v>
      </c>
      <c r="M2368" s="12" t="s">
        <v>571</v>
      </c>
      <c r="N2368" s="13">
        <f t="shared" si="59"/>
        <v>818.1</v>
      </c>
    </row>
    <row r="2369" spans="1:14">
      <c r="A2369" s="12">
        <v>2368</v>
      </c>
      <c r="B2369" s="1" t="s">
        <v>3100</v>
      </c>
      <c r="C2369" s="42" t="s">
        <v>3101</v>
      </c>
      <c r="D2369" s="42" t="s">
        <v>3577</v>
      </c>
      <c r="E2369" s="42" t="s">
        <v>3469</v>
      </c>
      <c r="F2369" s="4">
        <v>73674</v>
      </c>
      <c r="G2369" s="47" t="s">
        <v>60</v>
      </c>
      <c r="H2369" s="12">
        <v>4514</v>
      </c>
      <c r="I2369" s="4">
        <v>3946.8</v>
      </c>
      <c r="J2369" s="4">
        <v>3946.8</v>
      </c>
      <c r="K2369" s="4">
        <v>0</v>
      </c>
      <c r="L2369" s="4">
        <v>0</v>
      </c>
      <c r="M2369" s="12" t="s">
        <v>571</v>
      </c>
      <c r="N2369" s="13">
        <f t="shared" si="59"/>
        <v>7893.6</v>
      </c>
    </row>
    <row r="2370" spans="1:14">
      <c r="A2370" s="12">
        <v>2369</v>
      </c>
      <c r="B2370" s="1" t="s">
        <v>3578</v>
      </c>
      <c r="C2370" s="42" t="s">
        <v>1770</v>
      </c>
      <c r="D2370" s="42" t="s">
        <v>3579</v>
      </c>
      <c r="E2370" s="42" t="s">
        <v>3307</v>
      </c>
      <c r="F2370" s="4">
        <v>271</v>
      </c>
      <c r="G2370" s="42" t="s">
        <v>1772</v>
      </c>
      <c r="H2370" s="12" t="s">
        <v>1641</v>
      </c>
      <c r="I2370" s="4">
        <v>20.67</v>
      </c>
      <c r="J2370" s="4">
        <v>20.67</v>
      </c>
      <c r="K2370" s="4">
        <v>0</v>
      </c>
      <c r="L2370" s="4">
        <v>0</v>
      </c>
      <c r="M2370" s="14" t="s">
        <v>157</v>
      </c>
      <c r="N2370" s="15" t="s">
        <v>202</v>
      </c>
    </row>
    <row r="2371" spans="1:14">
      <c r="A2371" s="12">
        <v>2370</v>
      </c>
      <c r="B2371" s="1" t="s">
        <v>2020</v>
      </c>
      <c r="C2371" s="42" t="s">
        <v>2021</v>
      </c>
      <c r="D2371" s="42" t="s">
        <v>3580</v>
      </c>
      <c r="E2371" s="42" t="s">
        <v>3469</v>
      </c>
      <c r="F2371" s="4">
        <v>2151.65</v>
      </c>
      <c r="G2371" s="47" t="s">
        <v>570</v>
      </c>
      <c r="H2371" s="12">
        <v>998311</v>
      </c>
      <c r="I2371" s="4">
        <v>164.11</v>
      </c>
      <c r="J2371" s="4">
        <v>164.11</v>
      </c>
      <c r="K2371" s="4">
        <v>0</v>
      </c>
      <c r="L2371" s="4">
        <v>0</v>
      </c>
      <c r="M2371" s="12" t="s">
        <v>571</v>
      </c>
      <c r="N2371" s="13">
        <f t="shared" si="59"/>
        <v>328.22</v>
      </c>
    </row>
    <row r="2372" spans="1:14">
      <c r="A2372" s="12">
        <v>2371</v>
      </c>
      <c r="B2372" s="1" t="s">
        <v>1876</v>
      </c>
      <c r="C2372" s="42" t="s">
        <v>1877</v>
      </c>
      <c r="D2372" s="42" t="s">
        <v>3581</v>
      </c>
      <c r="E2372" s="42" t="s">
        <v>3507</v>
      </c>
      <c r="F2372" s="4">
        <v>24710</v>
      </c>
      <c r="G2372" s="47" t="s">
        <v>570</v>
      </c>
      <c r="H2372" s="12">
        <v>3923</v>
      </c>
      <c r="I2372" s="4">
        <v>1884.69</v>
      </c>
      <c r="J2372" s="4">
        <v>1884.69</v>
      </c>
      <c r="K2372" s="4">
        <v>0</v>
      </c>
      <c r="L2372" s="4">
        <v>0</v>
      </c>
      <c r="M2372" s="12" t="s">
        <v>571</v>
      </c>
      <c r="N2372" s="13">
        <f t="shared" si="59"/>
        <v>3769.38</v>
      </c>
    </row>
    <row r="2373" spans="1:14">
      <c r="A2373" s="12">
        <v>2372</v>
      </c>
      <c r="B2373" s="1" t="s">
        <v>1637</v>
      </c>
      <c r="C2373" s="42" t="s">
        <v>1638</v>
      </c>
      <c r="D2373" s="42" t="s">
        <v>3582</v>
      </c>
      <c r="E2373" s="42" t="s">
        <v>3471</v>
      </c>
      <c r="F2373" s="4">
        <v>1274.4000000000001</v>
      </c>
      <c r="G2373" s="47" t="s">
        <v>60</v>
      </c>
      <c r="H2373" s="12">
        <v>4819</v>
      </c>
      <c r="I2373" s="4">
        <v>0</v>
      </c>
      <c r="J2373" s="4">
        <v>0</v>
      </c>
      <c r="K2373" s="4">
        <v>194.4</v>
      </c>
      <c r="L2373" s="4">
        <v>0</v>
      </c>
      <c r="M2373" s="12" t="s">
        <v>571</v>
      </c>
      <c r="N2373" s="13">
        <f t="shared" si="59"/>
        <v>194.4</v>
      </c>
    </row>
    <row r="2374" spans="1:14">
      <c r="A2374" s="12">
        <v>2373</v>
      </c>
      <c r="B2374" s="1" t="s">
        <v>1637</v>
      </c>
      <c r="C2374" s="42" t="s">
        <v>1638</v>
      </c>
      <c r="D2374" s="42" t="s">
        <v>3583</v>
      </c>
      <c r="E2374" s="42" t="s">
        <v>3471</v>
      </c>
      <c r="F2374" s="4">
        <v>2942.94</v>
      </c>
      <c r="G2374" s="47" t="s">
        <v>60</v>
      </c>
      <c r="H2374" s="12" t="s">
        <v>1641</v>
      </c>
      <c r="I2374" s="4">
        <v>0</v>
      </c>
      <c r="J2374" s="4">
        <v>0</v>
      </c>
      <c r="K2374" s="4">
        <v>140.13999999999999</v>
      </c>
      <c r="L2374" s="4">
        <v>0</v>
      </c>
      <c r="M2374" s="12" t="s">
        <v>571</v>
      </c>
      <c r="N2374" s="13">
        <f t="shared" si="59"/>
        <v>140.13999999999999</v>
      </c>
    </row>
    <row r="2375" spans="1:14">
      <c r="A2375" s="12">
        <v>2374</v>
      </c>
      <c r="B2375" s="1" t="s">
        <v>1637</v>
      </c>
      <c r="C2375" s="42" t="s">
        <v>1638</v>
      </c>
      <c r="D2375" s="42" t="s">
        <v>3584</v>
      </c>
      <c r="E2375" s="42" t="s">
        <v>3471</v>
      </c>
      <c r="F2375" s="4">
        <v>45021.39</v>
      </c>
      <c r="G2375" s="47" t="s">
        <v>60</v>
      </c>
      <c r="H2375" s="12" t="s">
        <v>1641</v>
      </c>
      <c r="I2375" s="4">
        <v>0</v>
      </c>
      <c r="J2375" s="4">
        <v>0</v>
      </c>
      <c r="K2375" s="4">
        <v>2143.88</v>
      </c>
      <c r="L2375" s="4">
        <v>0</v>
      </c>
      <c r="M2375" s="12" t="s">
        <v>571</v>
      </c>
      <c r="N2375" s="13">
        <f t="shared" si="59"/>
        <v>2143.88</v>
      </c>
    </row>
    <row r="2376" spans="1:14">
      <c r="A2376" s="12">
        <v>2375</v>
      </c>
      <c r="B2376" s="1" t="s">
        <v>1637</v>
      </c>
      <c r="C2376" s="42" t="s">
        <v>1638</v>
      </c>
      <c r="D2376" s="42" t="s">
        <v>3585</v>
      </c>
      <c r="E2376" s="42" t="s">
        <v>3461</v>
      </c>
      <c r="F2376" s="4">
        <v>49047.6</v>
      </c>
      <c r="G2376" s="47" t="s">
        <v>60</v>
      </c>
      <c r="H2376" s="12" t="s">
        <v>1641</v>
      </c>
      <c r="I2376" s="4">
        <v>0</v>
      </c>
      <c r="J2376" s="4">
        <v>0</v>
      </c>
      <c r="K2376" s="4">
        <v>2335.6</v>
      </c>
      <c r="L2376" s="4">
        <v>0</v>
      </c>
      <c r="M2376" s="12" t="s">
        <v>571</v>
      </c>
      <c r="N2376" s="13">
        <f t="shared" si="59"/>
        <v>2335.6</v>
      </c>
    </row>
    <row r="2377" spans="1:14">
      <c r="A2377" s="12">
        <v>2376</v>
      </c>
      <c r="B2377" s="1" t="s">
        <v>1637</v>
      </c>
      <c r="C2377" s="42" t="s">
        <v>1638</v>
      </c>
      <c r="D2377" s="42" t="s">
        <v>3586</v>
      </c>
      <c r="E2377" s="42" t="s">
        <v>3480</v>
      </c>
      <c r="F2377" s="4">
        <v>47812.800000000003</v>
      </c>
      <c r="G2377" s="47" t="s">
        <v>60</v>
      </c>
      <c r="H2377" s="12" t="s">
        <v>1641</v>
      </c>
      <c r="I2377" s="4">
        <v>0</v>
      </c>
      <c r="J2377" s="4">
        <v>0</v>
      </c>
      <c r="K2377" s="4">
        <v>2276.8000000000002</v>
      </c>
      <c r="L2377" s="4">
        <v>0</v>
      </c>
      <c r="M2377" s="12" t="s">
        <v>571</v>
      </c>
      <c r="N2377" s="13">
        <f t="shared" si="59"/>
        <v>2276.8000000000002</v>
      </c>
    </row>
    <row r="2378" spans="1:14">
      <c r="A2378" s="12">
        <v>2377</v>
      </c>
      <c r="B2378" s="1" t="s">
        <v>1637</v>
      </c>
      <c r="C2378" s="42" t="s">
        <v>1638</v>
      </c>
      <c r="D2378" s="42" t="s">
        <v>3587</v>
      </c>
      <c r="E2378" s="42" t="s">
        <v>3480</v>
      </c>
      <c r="F2378" s="4">
        <v>566.4</v>
      </c>
      <c r="G2378" s="47" t="s">
        <v>60</v>
      </c>
      <c r="H2378" s="12">
        <v>4819</v>
      </c>
      <c r="I2378" s="4">
        <v>0</v>
      </c>
      <c r="J2378" s="4">
        <v>0</v>
      </c>
      <c r="K2378" s="4">
        <v>86.4</v>
      </c>
      <c r="L2378" s="4">
        <v>0</v>
      </c>
      <c r="M2378" s="12" t="s">
        <v>571</v>
      </c>
      <c r="N2378" s="13">
        <f t="shared" si="59"/>
        <v>86.4</v>
      </c>
    </row>
    <row r="2379" spans="1:14">
      <c r="A2379" s="12">
        <v>2378</v>
      </c>
      <c r="B2379" s="1" t="s">
        <v>1637</v>
      </c>
      <c r="C2379" s="42" t="s">
        <v>1638</v>
      </c>
      <c r="D2379" s="42" t="s">
        <v>3588</v>
      </c>
      <c r="E2379" s="42" t="s">
        <v>3482</v>
      </c>
      <c r="F2379" s="4">
        <v>26198.55</v>
      </c>
      <c r="G2379" s="47" t="s">
        <v>60</v>
      </c>
      <c r="H2379" s="12" t="s">
        <v>1641</v>
      </c>
      <c r="I2379" s="4">
        <v>0</v>
      </c>
      <c r="J2379" s="4">
        <v>0</v>
      </c>
      <c r="K2379" s="4">
        <v>1247.55</v>
      </c>
      <c r="L2379" s="4">
        <v>0</v>
      </c>
      <c r="M2379" s="12" t="s">
        <v>571</v>
      </c>
      <c r="N2379" s="13">
        <f t="shared" si="59"/>
        <v>1247.55</v>
      </c>
    </row>
    <row r="2380" spans="1:14">
      <c r="A2380" s="12">
        <v>2379</v>
      </c>
      <c r="B2380" s="1" t="s">
        <v>1637</v>
      </c>
      <c r="C2380" s="42" t="s">
        <v>1638</v>
      </c>
      <c r="D2380" s="42" t="s">
        <v>3589</v>
      </c>
      <c r="E2380" s="42" t="s">
        <v>3482</v>
      </c>
      <c r="F2380" s="4">
        <v>5597.92</v>
      </c>
      <c r="G2380" s="47" t="s">
        <v>60</v>
      </c>
      <c r="H2380" s="12">
        <v>4819</v>
      </c>
      <c r="I2380" s="4">
        <v>0</v>
      </c>
      <c r="J2380" s="4">
        <v>0</v>
      </c>
      <c r="K2380" s="4">
        <v>853.92</v>
      </c>
      <c r="L2380" s="4">
        <v>0</v>
      </c>
      <c r="M2380" s="12" t="s">
        <v>571</v>
      </c>
      <c r="N2380" s="13">
        <f t="shared" si="59"/>
        <v>853.92</v>
      </c>
    </row>
    <row r="2381" spans="1:14">
      <c r="A2381" s="12">
        <v>2380</v>
      </c>
      <c r="B2381" s="1" t="s">
        <v>1637</v>
      </c>
      <c r="C2381" s="42" t="s">
        <v>1638</v>
      </c>
      <c r="D2381" s="42" t="s">
        <v>3590</v>
      </c>
      <c r="E2381" s="42" t="s">
        <v>3482</v>
      </c>
      <c r="F2381" s="4">
        <v>7549.64</v>
      </c>
      <c r="G2381" s="47" t="s">
        <v>60</v>
      </c>
      <c r="H2381" s="12">
        <v>7010</v>
      </c>
      <c r="I2381" s="4">
        <v>0</v>
      </c>
      <c r="J2381" s="4">
        <v>0</v>
      </c>
      <c r="K2381" s="4">
        <v>1151.6400000000001</v>
      </c>
      <c r="L2381" s="4">
        <v>0</v>
      </c>
      <c r="M2381" s="12" t="s">
        <v>571</v>
      </c>
      <c r="N2381" s="13">
        <f t="shared" si="59"/>
        <v>1151.6400000000001</v>
      </c>
    </row>
    <row r="2382" spans="1:14">
      <c r="A2382" s="12">
        <v>2381</v>
      </c>
      <c r="B2382" s="1" t="s">
        <v>1637</v>
      </c>
      <c r="C2382" s="42" t="s">
        <v>1638</v>
      </c>
      <c r="D2382" s="42" t="s">
        <v>3591</v>
      </c>
      <c r="E2382" s="42" t="s">
        <v>3482</v>
      </c>
      <c r="F2382" s="4">
        <v>10573.5</v>
      </c>
      <c r="G2382" s="47" t="s">
        <v>60</v>
      </c>
      <c r="H2382" s="12" t="s">
        <v>1641</v>
      </c>
      <c r="I2382" s="4">
        <v>0</v>
      </c>
      <c r="J2382" s="4">
        <v>0</v>
      </c>
      <c r="K2382" s="4">
        <v>503.5</v>
      </c>
      <c r="L2382" s="4">
        <v>0</v>
      </c>
      <c r="M2382" s="12" t="s">
        <v>571</v>
      </c>
      <c r="N2382" s="13">
        <f t="shared" si="59"/>
        <v>503.5</v>
      </c>
    </row>
    <row r="2383" spans="1:14">
      <c r="A2383" s="12">
        <v>2382</v>
      </c>
      <c r="B2383" s="1" t="s">
        <v>1637</v>
      </c>
      <c r="C2383" s="42" t="s">
        <v>1638</v>
      </c>
      <c r="D2383" s="42" t="s">
        <v>3592</v>
      </c>
      <c r="E2383" s="42" t="s">
        <v>3463</v>
      </c>
      <c r="F2383" s="4">
        <v>48184.5</v>
      </c>
      <c r="G2383" s="47" t="s">
        <v>60</v>
      </c>
      <c r="H2383" s="12" t="s">
        <v>1641</v>
      </c>
      <c r="I2383" s="4">
        <v>0</v>
      </c>
      <c r="J2383" s="4">
        <v>0</v>
      </c>
      <c r="K2383" s="4">
        <v>2294.5</v>
      </c>
      <c r="L2383" s="4">
        <v>0</v>
      </c>
      <c r="M2383" s="12" t="s">
        <v>571</v>
      </c>
      <c r="N2383" s="13">
        <f t="shared" si="59"/>
        <v>2294.5</v>
      </c>
    </row>
    <row r="2384" spans="1:14">
      <c r="A2384" s="12">
        <v>2383</v>
      </c>
      <c r="B2384" s="1" t="s">
        <v>1637</v>
      </c>
      <c r="C2384" s="42" t="s">
        <v>1638</v>
      </c>
      <c r="D2384" s="42" t="s">
        <v>3593</v>
      </c>
      <c r="E2384" s="42" t="s">
        <v>3485</v>
      </c>
      <c r="F2384" s="4">
        <v>12311.25</v>
      </c>
      <c r="G2384" s="47" t="s">
        <v>60</v>
      </c>
      <c r="H2384" s="12" t="s">
        <v>1641</v>
      </c>
      <c r="I2384" s="4">
        <v>0</v>
      </c>
      <c r="J2384" s="4">
        <v>0</v>
      </c>
      <c r="K2384" s="4">
        <v>586.25</v>
      </c>
      <c r="L2384" s="4">
        <v>0</v>
      </c>
      <c r="M2384" s="12" t="s">
        <v>571</v>
      </c>
      <c r="N2384" s="13">
        <f t="shared" si="59"/>
        <v>586.25</v>
      </c>
    </row>
    <row r="2385" spans="1:14">
      <c r="A2385" s="12">
        <v>2384</v>
      </c>
      <c r="B2385" s="1" t="s">
        <v>1637</v>
      </c>
      <c r="C2385" s="42" t="s">
        <v>1638</v>
      </c>
      <c r="D2385" s="42" t="s">
        <v>3594</v>
      </c>
      <c r="E2385" s="42" t="s">
        <v>3485</v>
      </c>
      <c r="F2385" s="4">
        <v>20229.830000000002</v>
      </c>
      <c r="G2385" s="47" t="s">
        <v>60</v>
      </c>
      <c r="H2385" s="12" t="s">
        <v>1641</v>
      </c>
      <c r="I2385" s="4">
        <v>0</v>
      </c>
      <c r="J2385" s="4">
        <v>0</v>
      </c>
      <c r="K2385" s="4">
        <v>963.33</v>
      </c>
      <c r="L2385" s="4">
        <v>0</v>
      </c>
      <c r="M2385" s="12" t="s">
        <v>571</v>
      </c>
      <c r="N2385" s="13">
        <f t="shared" si="59"/>
        <v>963.33</v>
      </c>
    </row>
    <row r="2386" spans="1:14">
      <c r="A2386" s="12">
        <v>2385</v>
      </c>
      <c r="B2386" s="1" t="s">
        <v>1637</v>
      </c>
      <c r="C2386" s="42" t="s">
        <v>1638</v>
      </c>
      <c r="D2386" s="42" t="s">
        <v>3595</v>
      </c>
      <c r="E2386" s="42" t="s">
        <v>3485</v>
      </c>
      <c r="F2386" s="4">
        <v>6836.92</v>
      </c>
      <c r="G2386" s="47" t="s">
        <v>60</v>
      </c>
      <c r="H2386" s="12">
        <v>4819</v>
      </c>
      <c r="I2386" s="4">
        <v>0</v>
      </c>
      <c r="J2386" s="4">
        <v>0</v>
      </c>
      <c r="K2386" s="4">
        <v>1042.92</v>
      </c>
      <c r="L2386" s="4">
        <v>0</v>
      </c>
      <c r="M2386" s="12" t="s">
        <v>571</v>
      </c>
      <c r="N2386" s="13">
        <f t="shared" si="59"/>
        <v>1042.92</v>
      </c>
    </row>
    <row r="2387" spans="1:14">
      <c r="A2387" s="12">
        <v>2386</v>
      </c>
      <c r="B2387" s="1" t="s">
        <v>1637</v>
      </c>
      <c r="C2387" s="42" t="s">
        <v>1638</v>
      </c>
      <c r="D2387" s="42" t="s">
        <v>3596</v>
      </c>
      <c r="E2387" s="42" t="s">
        <v>3488</v>
      </c>
      <c r="F2387" s="4">
        <v>1515.94</v>
      </c>
      <c r="G2387" s="47" t="s">
        <v>60</v>
      </c>
      <c r="H2387" s="12" t="s">
        <v>1641</v>
      </c>
      <c r="I2387" s="4">
        <v>0</v>
      </c>
      <c r="J2387" s="4">
        <v>0</v>
      </c>
      <c r="K2387" s="4">
        <v>72.19</v>
      </c>
      <c r="L2387" s="4">
        <v>0</v>
      </c>
      <c r="M2387" s="12" t="s">
        <v>571</v>
      </c>
      <c r="N2387" s="13">
        <f t="shared" si="59"/>
        <v>72.19</v>
      </c>
    </row>
    <row r="2388" spans="1:14">
      <c r="A2388" s="12">
        <v>2387</v>
      </c>
      <c r="B2388" s="1" t="s">
        <v>1637</v>
      </c>
      <c r="C2388" s="42" t="s">
        <v>1638</v>
      </c>
      <c r="D2388" s="42" t="s">
        <v>3597</v>
      </c>
      <c r="E2388" s="42" t="s">
        <v>3488</v>
      </c>
      <c r="F2388" s="4">
        <v>41700.120000000003</v>
      </c>
      <c r="G2388" s="47" t="s">
        <v>60</v>
      </c>
      <c r="H2388" s="12" t="s">
        <v>1641</v>
      </c>
      <c r="I2388" s="4">
        <v>0</v>
      </c>
      <c r="J2388" s="4">
        <v>0</v>
      </c>
      <c r="K2388" s="4">
        <v>1985.72</v>
      </c>
      <c r="L2388" s="4">
        <v>0</v>
      </c>
      <c r="M2388" s="12" t="s">
        <v>571</v>
      </c>
      <c r="N2388" s="13">
        <f t="shared" si="59"/>
        <v>1985.72</v>
      </c>
    </row>
    <row r="2389" spans="1:14">
      <c r="A2389" s="12">
        <v>2388</v>
      </c>
      <c r="B2389" s="1" t="s">
        <v>1637</v>
      </c>
      <c r="C2389" s="42" t="s">
        <v>1638</v>
      </c>
      <c r="D2389" s="42" t="s">
        <v>3598</v>
      </c>
      <c r="E2389" s="42" t="s">
        <v>3465</v>
      </c>
      <c r="F2389" s="4">
        <v>7670</v>
      </c>
      <c r="G2389" s="47" t="s">
        <v>60</v>
      </c>
      <c r="H2389" s="12">
        <v>4819</v>
      </c>
      <c r="I2389" s="4">
        <v>0</v>
      </c>
      <c r="J2389" s="4">
        <v>0</v>
      </c>
      <c r="K2389" s="4">
        <v>1170</v>
      </c>
      <c r="L2389" s="4">
        <v>0</v>
      </c>
      <c r="M2389" s="12" t="s">
        <v>571</v>
      </c>
      <c r="N2389" s="13">
        <f t="shared" si="59"/>
        <v>1170</v>
      </c>
    </row>
    <row r="2390" spans="1:14">
      <c r="A2390" s="12">
        <v>2389</v>
      </c>
      <c r="B2390" s="1" t="s">
        <v>1637</v>
      </c>
      <c r="C2390" s="42" t="s">
        <v>1638</v>
      </c>
      <c r="D2390" s="42" t="s">
        <v>3599</v>
      </c>
      <c r="E2390" s="42" t="s">
        <v>3465</v>
      </c>
      <c r="F2390" s="4">
        <v>4725</v>
      </c>
      <c r="G2390" s="47" t="s">
        <v>60</v>
      </c>
      <c r="H2390" s="12" t="s">
        <v>1641</v>
      </c>
      <c r="I2390" s="4">
        <v>0</v>
      </c>
      <c r="J2390" s="4">
        <v>0</v>
      </c>
      <c r="K2390" s="4">
        <v>225</v>
      </c>
      <c r="L2390" s="4">
        <v>0</v>
      </c>
      <c r="M2390" s="12" t="s">
        <v>571</v>
      </c>
      <c r="N2390" s="13">
        <f t="shared" si="59"/>
        <v>225</v>
      </c>
    </row>
    <row r="2391" spans="1:14">
      <c r="A2391" s="12">
        <v>2390</v>
      </c>
      <c r="B2391" s="1" t="s">
        <v>1637</v>
      </c>
      <c r="C2391" s="42" t="s">
        <v>1638</v>
      </c>
      <c r="D2391" s="42" t="s">
        <v>3600</v>
      </c>
      <c r="E2391" s="42" t="s">
        <v>3465</v>
      </c>
      <c r="F2391" s="4">
        <v>3062.1</v>
      </c>
      <c r="G2391" s="47" t="s">
        <v>60</v>
      </c>
      <c r="H2391" s="12">
        <v>3923</v>
      </c>
      <c r="I2391" s="4">
        <v>0</v>
      </c>
      <c r="J2391" s="4">
        <v>0</v>
      </c>
      <c r="K2391" s="4">
        <v>467.1</v>
      </c>
      <c r="L2391" s="4">
        <v>0</v>
      </c>
      <c r="M2391" s="12" t="s">
        <v>571</v>
      </c>
      <c r="N2391" s="13">
        <f t="shared" si="59"/>
        <v>467.1</v>
      </c>
    </row>
    <row r="2392" spans="1:14">
      <c r="A2392" s="12">
        <v>2391</v>
      </c>
      <c r="B2392" s="1" t="s">
        <v>1637</v>
      </c>
      <c r="C2392" s="42" t="s">
        <v>1638</v>
      </c>
      <c r="D2392" s="42" t="s">
        <v>3601</v>
      </c>
      <c r="E2392" s="42" t="s">
        <v>3465</v>
      </c>
      <c r="F2392" s="4">
        <v>27195</v>
      </c>
      <c r="G2392" s="47" t="s">
        <v>60</v>
      </c>
      <c r="H2392" s="12" t="s">
        <v>1641</v>
      </c>
      <c r="I2392" s="4">
        <v>0</v>
      </c>
      <c r="J2392" s="4">
        <v>0</v>
      </c>
      <c r="K2392" s="4">
        <v>1295</v>
      </c>
      <c r="L2392" s="4">
        <v>0</v>
      </c>
      <c r="M2392" s="12" t="s">
        <v>571</v>
      </c>
      <c r="N2392" s="13">
        <f t="shared" si="59"/>
        <v>1295</v>
      </c>
    </row>
    <row r="2393" spans="1:14">
      <c r="A2393" s="12">
        <v>2392</v>
      </c>
      <c r="B2393" s="1" t="s">
        <v>1637</v>
      </c>
      <c r="C2393" s="42" t="s">
        <v>1638</v>
      </c>
      <c r="D2393" s="42" t="s">
        <v>3602</v>
      </c>
      <c r="E2393" s="42" t="s">
        <v>3465</v>
      </c>
      <c r="F2393" s="4">
        <v>3304</v>
      </c>
      <c r="G2393" s="47" t="s">
        <v>60</v>
      </c>
      <c r="H2393" s="12">
        <v>7310</v>
      </c>
      <c r="I2393" s="4">
        <v>0</v>
      </c>
      <c r="J2393" s="4">
        <v>0</v>
      </c>
      <c r="K2393" s="4">
        <v>504</v>
      </c>
      <c r="L2393" s="4">
        <v>0</v>
      </c>
      <c r="M2393" s="12" t="s">
        <v>571</v>
      </c>
      <c r="N2393" s="13">
        <f t="shared" si="59"/>
        <v>504</v>
      </c>
    </row>
    <row r="2394" spans="1:14">
      <c r="A2394" s="12">
        <v>2393</v>
      </c>
      <c r="B2394" s="1" t="s">
        <v>1637</v>
      </c>
      <c r="C2394" s="42" t="s">
        <v>1638</v>
      </c>
      <c r="D2394" s="42" t="s">
        <v>3603</v>
      </c>
      <c r="E2394" s="42" t="s">
        <v>3491</v>
      </c>
      <c r="F2394" s="4">
        <v>26177.55</v>
      </c>
      <c r="G2394" s="47" t="s">
        <v>60</v>
      </c>
      <c r="H2394" s="12" t="s">
        <v>1641</v>
      </c>
      <c r="I2394" s="4">
        <v>0</v>
      </c>
      <c r="J2394" s="4">
        <v>0</v>
      </c>
      <c r="K2394" s="4">
        <v>1246.55</v>
      </c>
      <c r="L2394" s="4">
        <v>0</v>
      </c>
      <c r="M2394" s="12" t="s">
        <v>571</v>
      </c>
      <c r="N2394" s="13">
        <f t="shared" si="59"/>
        <v>1246.55</v>
      </c>
    </row>
    <row r="2395" spans="1:14">
      <c r="A2395" s="12">
        <v>2394</v>
      </c>
      <c r="B2395" s="1" t="s">
        <v>1637</v>
      </c>
      <c r="C2395" s="42" t="s">
        <v>1638</v>
      </c>
      <c r="D2395" s="42" t="s">
        <v>3604</v>
      </c>
      <c r="E2395" s="42" t="s">
        <v>3467</v>
      </c>
      <c r="F2395" s="4">
        <v>10266</v>
      </c>
      <c r="G2395" s="47" t="s">
        <v>60</v>
      </c>
      <c r="H2395" s="12">
        <v>7310</v>
      </c>
      <c r="I2395" s="4">
        <v>0</v>
      </c>
      <c r="J2395" s="4">
        <v>0</v>
      </c>
      <c r="K2395" s="4">
        <v>1566</v>
      </c>
      <c r="L2395" s="4">
        <v>0</v>
      </c>
      <c r="M2395" s="12" t="s">
        <v>571</v>
      </c>
      <c r="N2395" s="13">
        <f t="shared" si="59"/>
        <v>1566</v>
      </c>
    </row>
    <row r="2396" spans="1:14">
      <c r="A2396" s="12">
        <v>2395</v>
      </c>
      <c r="B2396" s="1" t="s">
        <v>1637</v>
      </c>
      <c r="C2396" s="42" t="s">
        <v>1638</v>
      </c>
      <c r="D2396" s="42" t="s">
        <v>3605</v>
      </c>
      <c r="E2396" s="42" t="s">
        <v>3467</v>
      </c>
      <c r="F2396" s="4">
        <v>38444.699999999997</v>
      </c>
      <c r="G2396" s="47" t="s">
        <v>60</v>
      </c>
      <c r="H2396" s="12" t="s">
        <v>1641</v>
      </c>
      <c r="I2396" s="4">
        <v>0</v>
      </c>
      <c r="J2396" s="4">
        <v>0</v>
      </c>
      <c r="K2396" s="4">
        <v>1830.7</v>
      </c>
      <c r="L2396" s="4">
        <v>0</v>
      </c>
      <c r="M2396" s="12" t="s">
        <v>571</v>
      </c>
      <c r="N2396" s="13">
        <f t="shared" si="59"/>
        <v>1830.7</v>
      </c>
    </row>
    <row r="2397" spans="1:14">
      <c r="A2397" s="12">
        <v>2396</v>
      </c>
      <c r="B2397" s="1" t="s">
        <v>1637</v>
      </c>
      <c r="C2397" s="42" t="s">
        <v>1638</v>
      </c>
      <c r="D2397" s="42" t="s">
        <v>3606</v>
      </c>
      <c r="E2397" s="42" t="s">
        <v>3494</v>
      </c>
      <c r="F2397" s="4">
        <v>24612</v>
      </c>
      <c r="G2397" s="47" t="s">
        <v>60</v>
      </c>
      <c r="H2397" s="12" t="s">
        <v>1641</v>
      </c>
      <c r="I2397" s="4">
        <v>0</v>
      </c>
      <c r="J2397" s="4">
        <v>0</v>
      </c>
      <c r="K2397" s="4">
        <v>1172</v>
      </c>
      <c r="L2397" s="4">
        <v>0</v>
      </c>
      <c r="M2397" s="12" t="s">
        <v>571</v>
      </c>
      <c r="N2397" s="13">
        <f t="shared" si="59"/>
        <v>1172</v>
      </c>
    </row>
    <row r="2398" spans="1:14">
      <c r="A2398" s="12">
        <v>2397</v>
      </c>
      <c r="B2398" s="1" t="s">
        <v>1637</v>
      </c>
      <c r="C2398" s="42" t="s">
        <v>1638</v>
      </c>
      <c r="D2398" s="42" t="s">
        <v>3607</v>
      </c>
      <c r="E2398" s="42" t="s">
        <v>3494</v>
      </c>
      <c r="F2398" s="4">
        <v>18678.45</v>
      </c>
      <c r="G2398" s="47" t="s">
        <v>60</v>
      </c>
      <c r="H2398" s="12" t="s">
        <v>1641</v>
      </c>
      <c r="I2398" s="4">
        <v>0</v>
      </c>
      <c r="J2398" s="4">
        <v>0</v>
      </c>
      <c r="K2398" s="4">
        <v>889.45</v>
      </c>
      <c r="L2398" s="4">
        <v>0</v>
      </c>
      <c r="M2398" s="12" t="s">
        <v>571</v>
      </c>
      <c r="N2398" s="13">
        <f t="shared" si="59"/>
        <v>889.45</v>
      </c>
    </row>
    <row r="2399" spans="1:14">
      <c r="A2399" s="12">
        <v>2398</v>
      </c>
      <c r="B2399" s="1" t="s">
        <v>1637</v>
      </c>
      <c r="C2399" s="42" t="s">
        <v>1638</v>
      </c>
      <c r="D2399" s="42" t="s">
        <v>3608</v>
      </c>
      <c r="E2399" s="42" t="s">
        <v>3494</v>
      </c>
      <c r="F2399" s="4">
        <v>5817.4</v>
      </c>
      <c r="G2399" s="47" t="s">
        <v>60</v>
      </c>
      <c r="H2399" s="12">
        <v>4819</v>
      </c>
      <c r="I2399" s="4">
        <v>0</v>
      </c>
      <c r="J2399" s="4">
        <v>0</v>
      </c>
      <c r="K2399" s="4">
        <v>887.4</v>
      </c>
      <c r="L2399" s="4">
        <v>0</v>
      </c>
      <c r="M2399" s="12" t="s">
        <v>571</v>
      </c>
      <c r="N2399" s="13">
        <f t="shared" si="59"/>
        <v>887.4</v>
      </c>
    </row>
    <row r="2400" spans="1:14">
      <c r="A2400" s="12">
        <v>2399</v>
      </c>
      <c r="B2400" s="1" t="s">
        <v>1637</v>
      </c>
      <c r="C2400" s="42" t="s">
        <v>1638</v>
      </c>
      <c r="D2400" s="42" t="s">
        <v>3609</v>
      </c>
      <c r="E2400" s="42" t="s">
        <v>3496</v>
      </c>
      <c r="F2400" s="4">
        <v>10500</v>
      </c>
      <c r="G2400" s="47" t="s">
        <v>60</v>
      </c>
      <c r="H2400" s="12" t="s">
        <v>1641</v>
      </c>
      <c r="I2400" s="4">
        <v>0</v>
      </c>
      <c r="J2400" s="4">
        <v>0</v>
      </c>
      <c r="K2400" s="4">
        <v>500</v>
      </c>
      <c r="L2400" s="4">
        <v>0</v>
      </c>
      <c r="M2400" s="12" t="s">
        <v>571</v>
      </c>
      <c r="N2400" s="13">
        <f t="shared" si="59"/>
        <v>500</v>
      </c>
    </row>
    <row r="2401" spans="1:14">
      <c r="A2401" s="12">
        <v>2400</v>
      </c>
      <c r="B2401" s="1" t="s">
        <v>1637</v>
      </c>
      <c r="C2401" s="42" t="s">
        <v>1638</v>
      </c>
      <c r="D2401" s="42" t="s">
        <v>3610</v>
      </c>
      <c r="E2401" s="42" t="s">
        <v>3496</v>
      </c>
      <c r="F2401" s="4">
        <v>16511.25</v>
      </c>
      <c r="G2401" s="47" t="s">
        <v>60</v>
      </c>
      <c r="H2401" s="12" t="s">
        <v>1641</v>
      </c>
      <c r="I2401" s="4">
        <v>0</v>
      </c>
      <c r="J2401" s="4">
        <v>0</v>
      </c>
      <c r="K2401" s="4">
        <v>786.25</v>
      </c>
      <c r="L2401" s="4">
        <v>0</v>
      </c>
      <c r="M2401" s="12" t="s">
        <v>571</v>
      </c>
      <c r="N2401" s="13">
        <f t="shared" si="59"/>
        <v>786.25</v>
      </c>
    </row>
    <row r="2402" spans="1:14">
      <c r="A2402" s="12">
        <v>2401</v>
      </c>
      <c r="B2402" s="1" t="s">
        <v>1637</v>
      </c>
      <c r="C2402" s="42" t="s">
        <v>1638</v>
      </c>
      <c r="D2402" s="42" t="s">
        <v>3611</v>
      </c>
      <c r="E2402" s="42" t="s">
        <v>3496</v>
      </c>
      <c r="F2402" s="4">
        <v>13688.01</v>
      </c>
      <c r="G2402" s="47" t="s">
        <v>60</v>
      </c>
      <c r="H2402" s="12" t="s">
        <v>1641</v>
      </c>
      <c r="I2402" s="4">
        <v>0</v>
      </c>
      <c r="J2402" s="4">
        <v>0</v>
      </c>
      <c r="K2402" s="4">
        <v>651.80999999999995</v>
      </c>
      <c r="L2402" s="4">
        <v>0</v>
      </c>
      <c r="M2402" s="12" t="s">
        <v>571</v>
      </c>
      <c r="N2402" s="13">
        <f t="shared" si="59"/>
        <v>651.80999999999995</v>
      </c>
    </row>
    <row r="2403" spans="1:14">
      <c r="A2403" s="12">
        <v>2402</v>
      </c>
      <c r="B2403" s="1" t="s">
        <v>1637</v>
      </c>
      <c r="C2403" s="42" t="s">
        <v>1638</v>
      </c>
      <c r="D2403" s="42" t="s">
        <v>3612</v>
      </c>
      <c r="E2403" s="42" t="s">
        <v>3476</v>
      </c>
      <c r="F2403" s="4">
        <v>18492.080000000002</v>
      </c>
      <c r="G2403" s="47" t="s">
        <v>60</v>
      </c>
      <c r="H2403" s="12" t="s">
        <v>1641</v>
      </c>
      <c r="I2403" s="4">
        <v>0</v>
      </c>
      <c r="J2403" s="4">
        <v>0</v>
      </c>
      <c r="K2403" s="4">
        <v>880.58</v>
      </c>
      <c r="L2403" s="4">
        <v>0</v>
      </c>
      <c r="M2403" s="12" t="s">
        <v>571</v>
      </c>
      <c r="N2403" s="13">
        <f t="shared" si="59"/>
        <v>880.58</v>
      </c>
    </row>
    <row r="2404" spans="1:14">
      <c r="A2404" s="12">
        <v>2403</v>
      </c>
      <c r="B2404" s="1" t="s">
        <v>1637</v>
      </c>
      <c r="C2404" s="42" t="s">
        <v>1638</v>
      </c>
      <c r="D2404" s="42" t="s">
        <v>3613</v>
      </c>
      <c r="E2404" s="42" t="s">
        <v>3476</v>
      </c>
      <c r="F2404" s="4">
        <v>17110</v>
      </c>
      <c r="G2404" s="47" t="s">
        <v>60</v>
      </c>
      <c r="H2404" s="12">
        <v>7310</v>
      </c>
      <c r="I2404" s="4">
        <v>0</v>
      </c>
      <c r="J2404" s="4">
        <v>0</v>
      </c>
      <c r="K2404" s="4">
        <v>2610</v>
      </c>
      <c r="L2404" s="4">
        <v>0</v>
      </c>
      <c r="M2404" s="12" t="s">
        <v>571</v>
      </c>
      <c r="N2404" s="13">
        <f t="shared" si="59"/>
        <v>2610</v>
      </c>
    </row>
    <row r="2405" spans="1:14">
      <c r="A2405" s="12">
        <v>2404</v>
      </c>
      <c r="B2405" s="1" t="s">
        <v>1637</v>
      </c>
      <c r="C2405" s="42" t="s">
        <v>1638</v>
      </c>
      <c r="D2405" s="42" t="s">
        <v>3614</v>
      </c>
      <c r="E2405" s="42" t="s">
        <v>3458</v>
      </c>
      <c r="F2405" s="4">
        <v>10038</v>
      </c>
      <c r="G2405" s="47" t="s">
        <v>60</v>
      </c>
      <c r="H2405" s="12" t="s">
        <v>1641</v>
      </c>
      <c r="I2405" s="4">
        <v>0</v>
      </c>
      <c r="J2405" s="4">
        <v>0</v>
      </c>
      <c r="K2405" s="4">
        <v>478</v>
      </c>
      <c r="L2405" s="4">
        <v>0</v>
      </c>
      <c r="M2405" s="12" t="s">
        <v>571</v>
      </c>
      <c r="N2405" s="13">
        <f t="shared" si="59"/>
        <v>478</v>
      </c>
    </row>
    <row r="2406" spans="1:14">
      <c r="A2406" s="12">
        <v>2405</v>
      </c>
      <c r="B2406" s="1" t="s">
        <v>1637</v>
      </c>
      <c r="C2406" s="42" t="s">
        <v>1638</v>
      </c>
      <c r="D2406" s="42" t="s">
        <v>3615</v>
      </c>
      <c r="E2406" s="42" t="s">
        <v>3500</v>
      </c>
      <c r="F2406" s="4">
        <v>25962.3</v>
      </c>
      <c r="G2406" s="47" t="s">
        <v>60</v>
      </c>
      <c r="H2406" s="12" t="s">
        <v>1641</v>
      </c>
      <c r="I2406" s="4">
        <v>0</v>
      </c>
      <c r="J2406" s="4">
        <v>0</v>
      </c>
      <c r="K2406" s="4">
        <v>1236.3</v>
      </c>
      <c r="L2406" s="4">
        <v>0</v>
      </c>
      <c r="M2406" s="12" t="s">
        <v>571</v>
      </c>
      <c r="N2406" s="13">
        <f t="shared" ref="N2406:N2468" si="60">SUM(I2406:K2406)</f>
        <v>1236.3</v>
      </c>
    </row>
    <row r="2407" spans="1:14">
      <c r="A2407" s="12">
        <v>2406</v>
      </c>
      <c r="B2407" s="1" t="s">
        <v>1637</v>
      </c>
      <c r="C2407" s="42" t="s">
        <v>1638</v>
      </c>
      <c r="D2407" s="42" t="s">
        <v>3616</v>
      </c>
      <c r="E2407" s="42" t="s">
        <v>517</v>
      </c>
      <c r="F2407" s="4">
        <v>2419</v>
      </c>
      <c r="G2407" s="47" t="s">
        <v>60</v>
      </c>
      <c r="H2407" s="12">
        <v>3923</v>
      </c>
      <c r="I2407" s="4">
        <v>0</v>
      </c>
      <c r="J2407" s="4">
        <v>0</v>
      </c>
      <c r="K2407" s="4">
        <v>369</v>
      </c>
      <c r="L2407" s="4">
        <v>0</v>
      </c>
      <c r="M2407" s="12" t="s">
        <v>571</v>
      </c>
      <c r="N2407" s="13">
        <f t="shared" si="60"/>
        <v>369</v>
      </c>
    </row>
    <row r="2408" spans="1:14">
      <c r="A2408" s="12">
        <v>2407</v>
      </c>
      <c r="B2408" s="1" t="s">
        <v>1637</v>
      </c>
      <c r="C2408" s="42" t="s">
        <v>1638</v>
      </c>
      <c r="D2408" s="42" t="s">
        <v>3617</v>
      </c>
      <c r="E2408" s="42" t="s">
        <v>517</v>
      </c>
      <c r="F2408" s="4">
        <v>5103</v>
      </c>
      <c r="G2408" s="47" t="s">
        <v>60</v>
      </c>
      <c r="H2408" s="12" t="s">
        <v>1641</v>
      </c>
      <c r="I2408" s="4">
        <v>0</v>
      </c>
      <c r="J2408" s="4">
        <v>0</v>
      </c>
      <c r="K2408" s="4">
        <v>243</v>
      </c>
      <c r="L2408" s="4">
        <v>0</v>
      </c>
      <c r="M2408" s="12" t="s">
        <v>571</v>
      </c>
      <c r="N2408" s="13">
        <f t="shared" si="60"/>
        <v>243</v>
      </c>
    </row>
    <row r="2409" spans="1:14">
      <c r="A2409" s="12">
        <v>2408</v>
      </c>
      <c r="B2409" s="1" t="s">
        <v>1637</v>
      </c>
      <c r="C2409" s="42" t="s">
        <v>1638</v>
      </c>
      <c r="D2409" s="42" t="s">
        <v>3618</v>
      </c>
      <c r="E2409" s="42" t="s">
        <v>517</v>
      </c>
      <c r="F2409" s="4">
        <v>10266</v>
      </c>
      <c r="G2409" s="47" t="s">
        <v>60</v>
      </c>
      <c r="H2409" s="12">
        <v>3923</v>
      </c>
      <c r="I2409" s="4">
        <v>0</v>
      </c>
      <c r="J2409" s="4">
        <v>0</v>
      </c>
      <c r="K2409" s="4">
        <v>1566</v>
      </c>
      <c r="L2409" s="4">
        <v>0</v>
      </c>
      <c r="M2409" s="12" t="s">
        <v>571</v>
      </c>
      <c r="N2409" s="13">
        <f t="shared" si="60"/>
        <v>1566</v>
      </c>
    </row>
    <row r="2410" spans="1:14">
      <c r="A2410" s="12">
        <v>2409</v>
      </c>
      <c r="B2410" s="1" t="s">
        <v>1637</v>
      </c>
      <c r="C2410" s="42" t="s">
        <v>1638</v>
      </c>
      <c r="D2410" s="42" t="s">
        <v>3619</v>
      </c>
      <c r="E2410" s="42" t="s">
        <v>517</v>
      </c>
      <c r="F2410" s="4">
        <v>7054.95</v>
      </c>
      <c r="G2410" s="47" t="s">
        <v>60</v>
      </c>
      <c r="H2410" s="12" t="s">
        <v>1641</v>
      </c>
      <c r="I2410" s="4">
        <v>0</v>
      </c>
      <c r="J2410" s="4">
        <v>0</v>
      </c>
      <c r="K2410" s="4">
        <v>335.95</v>
      </c>
      <c r="L2410" s="4">
        <v>0</v>
      </c>
      <c r="M2410" s="12" t="s">
        <v>571</v>
      </c>
      <c r="N2410" s="13">
        <f t="shared" si="60"/>
        <v>335.95</v>
      </c>
    </row>
    <row r="2411" spans="1:14">
      <c r="A2411" s="12">
        <v>2410</v>
      </c>
      <c r="B2411" s="1" t="s">
        <v>1637</v>
      </c>
      <c r="C2411" s="42" t="s">
        <v>1638</v>
      </c>
      <c r="D2411" s="42" t="s">
        <v>3620</v>
      </c>
      <c r="E2411" s="42" t="s">
        <v>3503</v>
      </c>
      <c r="F2411" s="4">
        <v>40022.85</v>
      </c>
      <c r="G2411" s="47" t="s">
        <v>60</v>
      </c>
      <c r="H2411" s="12" t="s">
        <v>1641</v>
      </c>
      <c r="I2411" s="4">
        <v>0</v>
      </c>
      <c r="J2411" s="4">
        <v>0</v>
      </c>
      <c r="K2411" s="4">
        <v>1905.85</v>
      </c>
      <c r="L2411" s="4">
        <v>0</v>
      </c>
      <c r="M2411" s="12" t="s">
        <v>571</v>
      </c>
      <c r="N2411" s="13">
        <f t="shared" si="60"/>
        <v>1905.85</v>
      </c>
    </row>
    <row r="2412" spans="1:14">
      <c r="A2412" s="12">
        <v>2411</v>
      </c>
      <c r="B2412" s="1" t="s">
        <v>1637</v>
      </c>
      <c r="C2412" s="42" t="s">
        <v>1638</v>
      </c>
      <c r="D2412" s="42" t="s">
        <v>3621</v>
      </c>
      <c r="E2412" s="42" t="s">
        <v>3505</v>
      </c>
      <c r="F2412" s="4">
        <v>4308.18</v>
      </c>
      <c r="G2412" s="47" t="s">
        <v>60</v>
      </c>
      <c r="H2412" s="12">
        <v>4819</v>
      </c>
      <c r="I2412" s="4">
        <v>0</v>
      </c>
      <c r="J2412" s="4">
        <v>0</v>
      </c>
      <c r="K2412" s="4">
        <v>657.18</v>
      </c>
      <c r="L2412" s="4">
        <v>0</v>
      </c>
      <c r="M2412" s="12" t="s">
        <v>571</v>
      </c>
      <c r="N2412" s="13">
        <f t="shared" si="60"/>
        <v>657.18</v>
      </c>
    </row>
    <row r="2413" spans="1:14">
      <c r="A2413" s="12">
        <v>2412</v>
      </c>
      <c r="B2413" s="1" t="s">
        <v>1637</v>
      </c>
      <c r="C2413" s="42" t="s">
        <v>1638</v>
      </c>
      <c r="D2413" s="42" t="s">
        <v>3622</v>
      </c>
      <c r="E2413" s="42" t="s">
        <v>3523</v>
      </c>
      <c r="F2413" s="4">
        <v>11814.6</v>
      </c>
      <c r="G2413" s="47" t="s">
        <v>60</v>
      </c>
      <c r="H2413" s="12" t="s">
        <v>1641</v>
      </c>
      <c r="I2413" s="4">
        <v>0</v>
      </c>
      <c r="J2413" s="4">
        <v>0</v>
      </c>
      <c r="K2413" s="4">
        <v>562.6</v>
      </c>
      <c r="L2413" s="4">
        <v>0</v>
      </c>
      <c r="M2413" s="12" t="s">
        <v>571</v>
      </c>
      <c r="N2413" s="13">
        <f t="shared" si="60"/>
        <v>562.6</v>
      </c>
    </row>
    <row r="2414" spans="1:14">
      <c r="A2414" s="12">
        <v>2413</v>
      </c>
      <c r="B2414" s="1" t="s">
        <v>1637</v>
      </c>
      <c r="C2414" s="42" t="s">
        <v>1638</v>
      </c>
      <c r="D2414" s="42" t="s">
        <v>3623</v>
      </c>
      <c r="E2414" s="42" t="s">
        <v>3523</v>
      </c>
      <c r="F2414" s="4">
        <v>21900.799999999999</v>
      </c>
      <c r="G2414" s="47" t="s">
        <v>60</v>
      </c>
      <c r="H2414" s="12">
        <v>7310</v>
      </c>
      <c r="I2414" s="4">
        <v>0</v>
      </c>
      <c r="J2414" s="4">
        <v>0</v>
      </c>
      <c r="K2414" s="4">
        <v>3340.8</v>
      </c>
      <c r="L2414" s="4">
        <v>0</v>
      </c>
      <c r="M2414" s="12" t="s">
        <v>571</v>
      </c>
      <c r="N2414" s="13">
        <f t="shared" si="60"/>
        <v>3340.8</v>
      </c>
    </row>
    <row r="2415" spans="1:14">
      <c r="A2415" s="12">
        <v>2414</v>
      </c>
      <c r="B2415" s="1" t="s">
        <v>1637</v>
      </c>
      <c r="C2415" s="42" t="s">
        <v>1638</v>
      </c>
      <c r="D2415" s="42" t="s">
        <v>3624</v>
      </c>
      <c r="E2415" s="42" t="s">
        <v>3625</v>
      </c>
      <c r="F2415" s="4">
        <v>46853.1</v>
      </c>
      <c r="G2415" s="47" t="s">
        <v>60</v>
      </c>
      <c r="H2415" s="12" t="s">
        <v>1641</v>
      </c>
      <c r="I2415" s="4">
        <v>0</v>
      </c>
      <c r="J2415" s="4">
        <v>0</v>
      </c>
      <c r="K2415" s="4">
        <v>2231.1</v>
      </c>
      <c r="L2415" s="4">
        <v>0</v>
      </c>
      <c r="M2415" s="12" t="s">
        <v>571</v>
      </c>
      <c r="N2415" s="13">
        <f t="shared" si="60"/>
        <v>2231.1</v>
      </c>
    </row>
    <row r="2416" spans="1:14">
      <c r="A2416" s="12">
        <v>2415</v>
      </c>
      <c r="B2416" s="1" t="s">
        <v>1637</v>
      </c>
      <c r="C2416" s="42" t="s">
        <v>1638</v>
      </c>
      <c r="D2416" s="42" t="s">
        <v>3626</v>
      </c>
      <c r="E2416" s="42" t="s">
        <v>3507</v>
      </c>
      <c r="F2416" s="4">
        <v>13310.4</v>
      </c>
      <c r="G2416" s="47" t="s">
        <v>60</v>
      </c>
      <c r="H2416" s="12">
        <v>4819</v>
      </c>
      <c r="I2416" s="4">
        <v>0</v>
      </c>
      <c r="J2416" s="4">
        <v>0</v>
      </c>
      <c r="K2416" s="4">
        <v>2030.4</v>
      </c>
      <c r="L2416" s="4">
        <v>0</v>
      </c>
      <c r="M2416" s="12" t="s">
        <v>571</v>
      </c>
      <c r="N2416" s="13">
        <f t="shared" si="60"/>
        <v>2030.4</v>
      </c>
    </row>
    <row r="2417" spans="1:14">
      <c r="A2417" s="12">
        <v>2416</v>
      </c>
      <c r="B2417" s="1" t="s">
        <v>1637</v>
      </c>
      <c r="C2417" s="42" t="s">
        <v>1638</v>
      </c>
      <c r="D2417" s="42" t="s">
        <v>3627</v>
      </c>
      <c r="E2417" s="42" t="s">
        <v>3507</v>
      </c>
      <c r="F2417" s="4">
        <v>34818.550000000003</v>
      </c>
      <c r="G2417" s="47" t="s">
        <v>60</v>
      </c>
      <c r="H2417" s="12" t="s">
        <v>1641</v>
      </c>
      <c r="I2417" s="4">
        <v>0</v>
      </c>
      <c r="J2417" s="4">
        <v>0</v>
      </c>
      <c r="K2417" s="4">
        <v>1658.03</v>
      </c>
      <c r="L2417" s="4">
        <v>0</v>
      </c>
      <c r="M2417" s="12" t="s">
        <v>571</v>
      </c>
      <c r="N2417" s="13">
        <f t="shared" si="60"/>
        <v>1658.03</v>
      </c>
    </row>
    <row r="2418" spans="1:14">
      <c r="A2418" s="12">
        <v>2417</v>
      </c>
      <c r="B2418" s="1" t="s">
        <v>1637</v>
      </c>
      <c r="C2418" s="42" t="s">
        <v>1638</v>
      </c>
      <c r="D2418" s="42" t="s">
        <v>3628</v>
      </c>
      <c r="E2418" s="42" t="s">
        <v>3509</v>
      </c>
      <c r="F2418" s="4">
        <v>4368</v>
      </c>
      <c r="G2418" s="47" t="s">
        <v>60</v>
      </c>
      <c r="H2418" s="12" t="s">
        <v>1641</v>
      </c>
      <c r="I2418" s="4">
        <v>0</v>
      </c>
      <c r="J2418" s="4">
        <v>0</v>
      </c>
      <c r="K2418" s="4">
        <v>208</v>
      </c>
      <c r="L2418" s="4">
        <v>0</v>
      </c>
      <c r="M2418" s="12" t="s">
        <v>571</v>
      </c>
      <c r="N2418" s="13">
        <f t="shared" si="60"/>
        <v>208</v>
      </c>
    </row>
    <row r="2419" spans="1:14">
      <c r="A2419" s="12">
        <v>2418</v>
      </c>
      <c r="B2419" s="1" t="s">
        <v>1637</v>
      </c>
      <c r="C2419" s="42" t="s">
        <v>1638</v>
      </c>
      <c r="D2419" s="42" t="s">
        <v>3629</v>
      </c>
      <c r="E2419" s="42" t="s">
        <v>3509</v>
      </c>
      <c r="F2419" s="4">
        <v>8212.7999999999993</v>
      </c>
      <c r="G2419" s="47" t="s">
        <v>60</v>
      </c>
      <c r="H2419" s="12">
        <v>7310</v>
      </c>
      <c r="I2419" s="4">
        <v>0</v>
      </c>
      <c r="J2419" s="4">
        <v>0</v>
      </c>
      <c r="K2419" s="4">
        <v>1252.8</v>
      </c>
      <c r="L2419" s="4">
        <v>0</v>
      </c>
      <c r="M2419" s="12" t="s">
        <v>571</v>
      </c>
      <c r="N2419" s="13">
        <f t="shared" si="60"/>
        <v>1252.8</v>
      </c>
    </row>
    <row r="2420" spans="1:14">
      <c r="A2420" s="12">
        <v>2419</v>
      </c>
      <c r="B2420" s="1" t="s">
        <v>1637</v>
      </c>
      <c r="C2420" s="42" t="s">
        <v>1638</v>
      </c>
      <c r="D2420" s="42" t="s">
        <v>3630</v>
      </c>
      <c r="E2420" s="42" t="s">
        <v>3509</v>
      </c>
      <c r="F2420" s="4">
        <v>36927.449999999997</v>
      </c>
      <c r="G2420" s="47" t="s">
        <v>60</v>
      </c>
      <c r="H2420" s="12" t="s">
        <v>1641</v>
      </c>
      <c r="I2420" s="4">
        <v>0</v>
      </c>
      <c r="J2420" s="4">
        <v>0</v>
      </c>
      <c r="K2420" s="4">
        <v>1758.45</v>
      </c>
      <c r="L2420" s="4">
        <v>0</v>
      </c>
      <c r="M2420" s="12" t="s">
        <v>571</v>
      </c>
      <c r="N2420" s="13">
        <f t="shared" si="60"/>
        <v>1758.45</v>
      </c>
    </row>
    <row r="2421" spans="1:14">
      <c r="A2421" s="12">
        <v>2420</v>
      </c>
      <c r="B2421" s="1" t="s">
        <v>1637</v>
      </c>
      <c r="C2421" s="42" t="s">
        <v>1638</v>
      </c>
      <c r="D2421" s="42" t="s">
        <v>3631</v>
      </c>
      <c r="E2421" s="42" t="s">
        <v>3511</v>
      </c>
      <c r="F2421" s="4">
        <v>27541.5</v>
      </c>
      <c r="G2421" s="47" t="s">
        <v>60</v>
      </c>
      <c r="H2421" s="12" t="s">
        <v>1641</v>
      </c>
      <c r="I2421" s="4">
        <v>0</v>
      </c>
      <c r="J2421" s="4">
        <v>0</v>
      </c>
      <c r="K2421" s="4">
        <v>1311.5</v>
      </c>
      <c r="L2421" s="4">
        <v>0</v>
      </c>
      <c r="M2421" s="12" t="s">
        <v>571</v>
      </c>
      <c r="N2421" s="13">
        <f t="shared" si="60"/>
        <v>1311.5</v>
      </c>
    </row>
    <row r="2422" spans="1:14">
      <c r="A2422" s="12">
        <v>2421</v>
      </c>
      <c r="B2422" s="1" t="s">
        <v>1637</v>
      </c>
      <c r="C2422" s="42" t="s">
        <v>1638</v>
      </c>
      <c r="D2422" s="42" t="s">
        <v>3632</v>
      </c>
      <c r="E2422" s="42" t="s">
        <v>3511</v>
      </c>
      <c r="F2422" s="4">
        <v>5761.94</v>
      </c>
      <c r="G2422" s="47" t="s">
        <v>60</v>
      </c>
      <c r="H2422" s="12">
        <v>4819</v>
      </c>
      <c r="I2422" s="4">
        <v>0</v>
      </c>
      <c r="J2422" s="4">
        <v>0</v>
      </c>
      <c r="K2422" s="4">
        <v>878.94</v>
      </c>
      <c r="L2422" s="4">
        <v>0</v>
      </c>
      <c r="M2422" s="12" t="s">
        <v>571</v>
      </c>
      <c r="N2422" s="13">
        <f t="shared" si="60"/>
        <v>878.94</v>
      </c>
    </row>
    <row r="2423" spans="1:14">
      <c r="A2423" s="12">
        <v>2422</v>
      </c>
      <c r="B2423" s="1" t="s">
        <v>1637</v>
      </c>
      <c r="C2423" s="42" t="s">
        <v>1638</v>
      </c>
      <c r="D2423" s="42" t="s">
        <v>3633</v>
      </c>
      <c r="E2423" s="42" t="s">
        <v>3511</v>
      </c>
      <c r="F2423" s="4">
        <v>3276</v>
      </c>
      <c r="G2423" s="47" t="s">
        <v>60</v>
      </c>
      <c r="H2423" s="12" t="s">
        <v>1641</v>
      </c>
      <c r="I2423" s="4">
        <v>0</v>
      </c>
      <c r="J2423" s="4">
        <v>0</v>
      </c>
      <c r="K2423" s="4">
        <v>156</v>
      </c>
      <c r="L2423" s="4">
        <v>0</v>
      </c>
      <c r="M2423" s="12" t="s">
        <v>571</v>
      </c>
      <c r="N2423" s="13">
        <f t="shared" si="60"/>
        <v>156</v>
      </c>
    </row>
    <row r="2424" spans="1:14">
      <c r="A2424" s="12">
        <v>2423</v>
      </c>
      <c r="B2424" s="1" t="s">
        <v>1637</v>
      </c>
      <c r="C2424" s="42" t="s">
        <v>1638</v>
      </c>
      <c r="D2424" s="42" t="s">
        <v>3634</v>
      </c>
      <c r="E2424" s="42" t="s">
        <v>3511</v>
      </c>
      <c r="F2424" s="4">
        <v>12993.75</v>
      </c>
      <c r="G2424" s="47" t="s">
        <v>60</v>
      </c>
      <c r="H2424" s="12" t="s">
        <v>1641</v>
      </c>
      <c r="I2424" s="4">
        <v>0</v>
      </c>
      <c r="J2424" s="4">
        <v>0</v>
      </c>
      <c r="K2424" s="4">
        <v>618.75</v>
      </c>
      <c r="L2424" s="4">
        <v>0</v>
      </c>
      <c r="M2424" s="12" t="s">
        <v>571</v>
      </c>
      <c r="N2424" s="13">
        <f t="shared" si="60"/>
        <v>618.75</v>
      </c>
    </row>
    <row r="2425" spans="1:14">
      <c r="A2425" s="12">
        <v>2424</v>
      </c>
      <c r="B2425" s="1" t="s">
        <v>1637</v>
      </c>
      <c r="C2425" s="42" t="s">
        <v>1638</v>
      </c>
      <c r="D2425" s="42" t="s">
        <v>3635</v>
      </c>
      <c r="E2425" s="42" t="s">
        <v>3513</v>
      </c>
      <c r="F2425" s="4">
        <v>3759</v>
      </c>
      <c r="G2425" s="47" t="s">
        <v>60</v>
      </c>
      <c r="H2425" s="12" t="s">
        <v>1641</v>
      </c>
      <c r="I2425" s="4">
        <v>0</v>
      </c>
      <c r="J2425" s="4">
        <v>0</v>
      </c>
      <c r="K2425" s="4">
        <v>179</v>
      </c>
      <c r="L2425" s="4">
        <v>0</v>
      </c>
      <c r="M2425" s="12" t="s">
        <v>571</v>
      </c>
      <c r="N2425" s="13">
        <f t="shared" si="60"/>
        <v>179</v>
      </c>
    </row>
    <row r="2426" spans="1:14">
      <c r="A2426" s="12">
        <v>2425</v>
      </c>
      <c r="B2426" s="1" t="s">
        <v>1637</v>
      </c>
      <c r="C2426" s="42" t="s">
        <v>1638</v>
      </c>
      <c r="D2426" s="42" t="s">
        <v>3636</v>
      </c>
      <c r="E2426" s="42" t="s">
        <v>3513</v>
      </c>
      <c r="F2426" s="4">
        <v>46144.36</v>
      </c>
      <c r="G2426" s="47" t="s">
        <v>60</v>
      </c>
      <c r="H2426" s="12" t="s">
        <v>1641</v>
      </c>
      <c r="I2426" s="4">
        <v>0</v>
      </c>
      <c r="J2426" s="4">
        <v>0</v>
      </c>
      <c r="K2426" s="4">
        <v>2197.35</v>
      </c>
      <c r="L2426" s="4">
        <v>0</v>
      </c>
      <c r="M2426" s="12" t="s">
        <v>571</v>
      </c>
      <c r="N2426" s="13">
        <f t="shared" si="60"/>
        <v>2197.35</v>
      </c>
    </row>
    <row r="2427" spans="1:14">
      <c r="A2427" s="12">
        <v>2426</v>
      </c>
      <c r="B2427" s="1" t="s">
        <v>1637</v>
      </c>
      <c r="C2427" s="42" t="s">
        <v>1638</v>
      </c>
      <c r="D2427" s="42" t="s">
        <v>3637</v>
      </c>
      <c r="E2427" s="42" t="s">
        <v>3515</v>
      </c>
      <c r="F2427" s="4">
        <v>13688</v>
      </c>
      <c r="G2427" s="47" t="s">
        <v>60</v>
      </c>
      <c r="H2427" s="12">
        <v>7310</v>
      </c>
      <c r="I2427" s="4">
        <v>0</v>
      </c>
      <c r="J2427" s="4">
        <v>0</v>
      </c>
      <c r="K2427" s="4">
        <v>2088</v>
      </c>
      <c r="L2427" s="4">
        <v>0</v>
      </c>
      <c r="M2427" s="12" t="s">
        <v>571</v>
      </c>
      <c r="N2427" s="13">
        <f t="shared" si="60"/>
        <v>2088</v>
      </c>
    </row>
    <row r="2428" spans="1:14">
      <c r="A2428" s="12">
        <v>2427</v>
      </c>
      <c r="B2428" s="1" t="s">
        <v>1637</v>
      </c>
      <c r="C2428" s="42" t="s">
        <v>1638</v>
      </c>
      <c r="D2428" s="42" t="s">
        <v>3638</v>
      </c>
      <c r="E2428" s="42" t="s">
        <v>3515</v>
      </c>
      <c r="F2428" s="4">
        <v>35067.9</v>
      </c>
      <c r="G2428" s="47" t="s">
        <v>60</v>
      </c>
      <c r="H2428" s="12" t="s">
        <v>1641</v>
      </c>
      <c r="I2428" s="4">
        <v>0</v>
      </c>
      <c r="J2428" s="4">
        <v>0</v>
      </c>
      <c r="K2428" s="4">
        <v>1669.9</v>
      </c>
      <c r="L2428" s="4">
        <v>0</v>
      </c>
      <c r="M2428" s="12" t="s">
        <v>571</v>
      </c>
      <c r="N2428" s="13">
        <f t="shared" si="60"/>
        <v>1669.9</v>
      </c>
    </row>
    <row r="2429" spans="1:14">
      <c r="A2429" s="12">
        <v>2428</v>
      </c>
      <c r="B2429" s="1" t="s">
        <v>1637</v>
      </c>
      <c r="C2429" s="42" t="s">
        <v>1638</v>
      </c>
      <c r="D2429" s="42" t="s">
        <v>3639</v>
      </c>
      <c r="E2429" s="42" t="s">
        <v>3469</v>
      </c>
      <c r="F2429" s="4">
        <v>6336.6</v>
      </c>
      <c r="G2429" s="47" t="s">
        <v>60</v>
      </c>
      <c r="H2429" s="12">
        <v>4819</v>
      </c>
      <c r="I2429" s="4">
        <v>0</v>
      </c>
      <c r="J2429" s="4">
        <v>0</v>
      </c>
      <c r="K2429" s="4">
        <v>966.6</v>
      </c>
      <c r="L2429" s="4">
        <v>0</v>
      </c>
      <c r="M2429" s="12" t="s">
        <v>571</v>
      </c>
      <c r="N2429" s="13">
        <f t="shared" si="60"/>
        <v>966.6</v>
      </c>
    </row>
    <row r="2430" spans="1:14">
      <c r="A2430" s="12">
        <v>2429</v>
      </c>
      <c r="B2430" s="1" t="s">
        <v>1637</v>
      </c>
      <c r="C2430" s="42" t="s">
        <v>1638</v>
      </c>
      <c r="D2430" s="42" t="s">
        <v>3640</v>
      </c>
      <c r="E2430" s="42" t="s">
        <v>3469</v>
      </c>
      <c r="F2430" s="4">
        <v>5796</v>
      </c>
      <c r="G2430" s="47" t="s">
        <v>60</v>
      </c>
      <c r="H2430" s="12" t="s">
        <v>1641</v>
      </c>
      <c r="I2430" s="4">
        <v>0</v>
      </c>
      <c r="J2430" s="4">
        <v>0</v>
      </c>
      <c r="K2430" s="4">
        <v>276</v>
      </c>
      <c r="L2430" s="4">
        <v>0</v>
      </c>
      <c r="M2430" s="12" t="s">
        <v>571</v>
      </c>
      <c r="N2430" s="13">
        <f t="shared" si="60"/>
        <v>276</v>
      </c>
    </row>
    <row r="2431" spans="1:14">
      <c r="A2431" s="12">
        <v>2430</v>
      </c>
      <c r="B2431" s="1" t="s">
        <v>1766</v>
      </c>
      <c r="C2431" s="42" t="s">
        <v>1767</v>
      </c>
      <c r="D2431" s="42" t="s">
        <v>3641</v>
      </c>
      <c r="E2431" s="42" t="s">
        <v>3482</v>
      </c>
      <c r="F2431" s="4">
        <v>253.85</v>
      </c>
      <c r="G2431" s="47" t="s">
        <v>570</v>
      </c>
      <c r="H2431" s="12">
        <v>996511</v>
      </c>
      <c r="I2431" s="4">
        <v>0</v>
      </c>
      <c r="J2431" s="4">
        <v>0</v>
      </c>
      <c r="K2431" s="4">
        <v>38.729999999999997</v>
      </c>
      <c r="L2431" s="4">
        <v>0</v>
      </c>
      <c r="M2431" s="12" t="s">
        <v>571</v>
      </c>
      <c r="N2431" s="13">
        <f t="shared" si="60"/>
        <v>38.729999999999997</v>
      </c>
    </row>
    <row r="2432" spans="1:14">
      <c r="A2432" s="12">
        <v>2431</v>
      </c>
      <c r="B2432" s="1" t="s">
        <v>1766</v>
      </c>
      <c r="C2432" s="42" t="s">
        <v>1767</v>
      </c>
      <c r="D2432" s="42" t="s">
        <v>3642</v>
      </c>
      <c r="E2432" s="42" t="s">
        <v>3488</v>
      </c>
      <c r="F2432" s="4">
        <v>22701</v>
      </c>
      <c r="G2432" s="47" t="s">
        <v>570</v>
      </c>
      <c r="H2432" s="12">
        <v>996511</v>
      </c>
      <c r="I2432" s="4">
        <v>0</v>
      </c>
      <c r="J2432" s="4">
        <v>0</v>
      </c>
      <c r="K2432" s="4">
        <v>3462.84</v>
      </c>
      <c r="L2432" s="4">
        <v>0</v>
      </c>
      <c r="M2432" s="12" t="s">
        <v>571</v>
      </c>
      <c r="N2432" s="13">
        <f t="shared" si="60"/>
        <v>3462.84</v>
      </c>
    </row>
    <row r="2433" spans="1:14">
      <c r="A2433" s="12">
        <v>2432</v>
      </c>
      <c r="B2433" s="1" t="s">
        <v>3643</v>
      </c>
      <c r="C2433" s="42" t="s">
        <v>3644</v>
      </c>
      <c r="D2433" s="42" t="s">
        <v>3645</v>
      </c>
      <c r="E2433" s="42" t="s">
        <v>3507</v>
      </c>
      <c r="F2433" s="4">
        <v>8314.8799999999992</v>
      </c>
      <c r="G2433" s="47" t="s">
        <v>570</v>
      </c>
      <c r="H2433" s="12">
        <v>996311</v>
      </c>
      <c r="I2433" s="4">
        <v>445.44</v>
      </c>
      <c r="J2433" s="4">
        <v>445.44</v>
      </c>
      <c r="K2433" s="4">
        <v>0</v>
      </c>
      <c r="L2433" s="4">
        <v>0</v>
      </c>
      <c r="M2433" s="14" t="s">
        <v>157</v>
      </c>
      <c r="N2433" s="15" t="s">
        <v>202</v>
      </c>
    </row>
    <row r="2434" spans="1:14">
      <c r="A2434" s="12">
        <v>2433</v>
      </c>
      <c r="B2434" s="1" t="s">
        <v>1844</v>
      </c>
      <c r="C2434" s="42" t="s">
        <v>1845</v>
      </c>
      <c r="D2434" s="42" t="s">
        <v>3646</v>
      </c>
      <c r="E2434" s="42" t="s">
        <v>3469</v>
      </c>
      <c r="F2434" s="4">
        <v>1363.4</v>
      </c>
      <c r="G2434" s="47" t="s">
        <v>570</v>
      </c>
      <c r="H2434" s="12">
        <v>997158</v>
      </c>
      <c r="I2434" s="4">
        <v>0</v>
      </c>
      <c r="J2434" s="4">
        <v>0</v>
      </c>
      <c r="K2434" s="4">
        <v>0</v>
      </c>
      <c r="L2434" s="4">
        <v>0</v>
      </c>
      <c r="M2434" s="12" t="s">
        <v>571</v>
      </c>
      <c r="N2434" s="13">
        <f t="shared" si="60"/>
        <v>0</v>
      </c>
    </row>
    <row r="2435" spans="1:14">
      <c r="A2435" s="12">
        <v>2434</v>
      </c>
      <c r="B2435" s="1" t="s">
        <v>1844</v>
      </c>
      <c r="C2435" s="42" t="s">
        <v>1845</v>
      </c>
      <c r="D2435" s="42" t="s">
        <v>3646</v>
      </c>
      <c r="E2435" s="42" t="s">
        <v>3469</v>
      </c>
      <c r="F2435" s="4">
        <v>1363.4</v>
      </c>
      <c r="G2435" s="47" t="s">
        <v>570</v>
      </c>
      <c r="H2435" s="12">
        <v>997158</v>
      </c>
      <c r="I2435" s="4">
        <v>0</v>
      </c>
      <c r="J2435" s="4">
        <v>0</v>
      </c>
      <c r="K2435" s="4">
        <v>170.37</v>
      </c>
      <c r="L2435" s="4">
        <v>0</v>
      </c>
      <c r="M2435" s="12" t="s">
        <v>571</v>
      </c>
      <c r="N2435" s="13">
        <f t="shared" si="60"/>
        <v>170.37</v>
      </c>
    </row>
    <row r="2436" spans="1:14">
      <c r="A2436" s="12">
        <v>2435</v>
      </c>
      <c r="B2436" s="1" t="s">
        <v>3647</v>
      </c>
      <c r="C2436" s="42" t="s">
        <v>3648</v>
      </c>
      <c r="D2436" s="42" t="s">
        <v>3649</v>
      </c>
      <c r="E2436" s="42" t="s">
        <v>3505</v>
      </c>
      <c r="F2436" s="4">
        <v>299</v>
      </c>
      <c r="G2436" s="47" t="s">
        <v>1772</v>
      </c>
      <c r="H2436" s="12">
        <v>7323</v>
      </c>
      <c r="I2436" s="4">
        <v>0</v>
      </c>
      <c r="J2436" s="4">
        <v>0</v>
      </c>
      <c r="K2436" s="4">
        <v>45.61</v>
      </c>
      <c r="L2436" s="4">
        <v>0</v>
      </c>
      <c r="M2436" s="12" t="s">
        <v>571</v>
      </c>
      <c r="N2436" s="13">
        <f t="shared" si="60"/>
        <v>45.61</v>
      </c>
    </row>
    <row r="2437" spans="1:14">
      <c r="A2437" s="12">
        <v>2436</v>
      </c>
      <c r="B2437" s="1" t="s">
        <v>1807</v>
      </c>
      <c r="C2437" s="42" t="s">
        <v>1808</v>
      </c>
      <c r="D2437" s="42" t="s">
        <v>3650</v>
      </c>
      <c r="E2437" s="42" t="s">
        <v>3494</v>
      </c>
      <c r="F2437" s="4">
        <v>5145</v>
      </c>
      <c r="G2437" s="47" t="s">
        <v>60</v>
      </c>
      <c r="H2437" s="12" t="s">
        <v>1810</v>
      </c>
      <c r="I2437" s="4">
        <v>122.5</v>
      </c>
      <c r="J2437" s="4">
        <v>122.5</v>
      </c>
      <c r="K2437" s="4">
        <v>0</v>
      </c>
      <c r="L2437" s="4">
        <v>0</v>
      </c>
      <c r="M2437" s="12" t="s">
        <v>571</v>
      </c>
      <c r="N2437" s="13">
        <f t="shared" si="60"/>
        <v>245</v>
      </c>
    </row>
    <row r="2438" spans="1:14">
      <c r="A2438" s="12">
        <v>2437</v>
      </c>
      <c r="B2438" s="1" t="s">
        <v>805</v>
      </c>
      <c r="C2438" s="42" t="s">
        <v>806</v>
      </c>
      <c r="D2438" s="42" t="s">
        <v>3651</v>
      </c>
      <c r="E2438" s="42" t="s">
        <v>3469</v>
      </c>
      <c r="F2438" s="4">
        <v>6134.56</v>
      </c>
      <c r="G2438" s="47" t="s">
        <v>570</v>
      </c>
      <c r="H2438" s="12" t="s">
        <v>847</v>
      </c>
      <c r="I2438" s="4">
        <v>0</v>
      </c>
      <c r="J2438" s="4">
        <v>0</v>
      </c>
      <c r="K2438" s="4">
        <v>935.79</v>
      </c>
      <c r="L2438" s="4">
        <v>0</v>
      </c>
      <c r="M2438" s="12" t="s">
        <v>571</v>
      </c>
      <c r="N2438" s="13">
        <f t="shared" si="60"/>
        <v>935.79</v>
      </c>
    </row>
    <row r="2439" spans="1:14">
      <c r="A2439" s="12">
        <v>2438</v>
      </c>
      <c r="B2439" s="1" t="s">
        <v>1687</v>
      </c>
      <c r="C2439" s="42" t="s">
        <v>1688</v>
      </c>
      <c r="D2439" s="42" t="s">
        <v>3652</v>
      </c>
      <c r="E2439" s="42" t="s">
        <v>3480</v>
      </c>
      <c r="F2439" s="4">
        <v>22101</v>
      </c>
      <c r="G2439" s="47" t="s">
        <v>60</v>
      </c>
      <c r="H2439" s="12" t="s">
        <v>1641</v>
      </c>
      <c r="I2439" s="4">
        <v>526.21</v>
      </c>
      <c r="J2439" s="4">
        <v>526.21</v>
      </c>
      <c r="K2439" s="4">
        <v>0</v>
      </c>
      <c r="L2439" s="4">
        <v>0</v>
      </c>
      <c r="M2439" s="12" t="s">
        <v>571</v>
      </c>
      <c r="N2439" s="13">
        <f t="shared" si="60"/>
        <v>1052.42</v>
      </c>
    </row>
    <row r="2440" spans="1:14">
      <c r="A2440" s="12">
        <v>2439</v>
      </c>
      <c r="B2440" s="1" t="s">
        <v>1687</v>
      </c>
      <c r="C2440" s="42" t="s">
        <v>1688</v>
      </c>
      <c r="D2440" s="42" t="s">
        <v>3653</v>
      </c>
      <c r="E2440" s="42" t="s">
        <v>3480</v>
      </c>
      <c r="F2440" s="4">
        <v>10125</v>
      </c>
      <c r="G2440" s="47" t="s">
        <v>60</v>
      </c>
      <c r="H2440" s="12" t="s">
        <v>1641</v>
      </c>
      <c r="I2440" s="4">
        <v>241.08</v>
      </c>
      <c r="J2440" s="4">
        <v>241.08</v>
      </c>
      <c r="K2440" s="4">
        <v>0</v>
      </c>
      <c r="L2440" s="4">
        <v>0</v>
      </c>
      <c r="M2440" s="12" t="s">
        <v>571</v>
      </c>
      <c r="N2440" s="13">
        <f t="shared" si="60"/>
        <v>482.16</v>
      </c>
    </row>
    <row r="2441" spans="1:14">
      <c r="A2441" s="12">
        <v>2440</v>
      </c>
      <c r="B2441" s="1" t="s">
        <v>1687</v>
      </c>
      <c r="C2441" s="42" t="s">
        <v>1688</v>
      </c>
      <c r="D2441" s="42" t="s">
        <v>3654</v>
      </c>
      <c r="E2441" s="42" t="s">
        <v>3496</v>
      </c>
      <c r="F2441" s="4">
        <v>15639</v>
      </c>
      <c r="G2441" s="47" t="s">
        <v>60</v>
      </c>
      <c r="H2441" s="12" t="s">
        <v>1641</v>
      </c>
      <c r="I2441" s="4">
        <v>372.35</v>
      </c>
      <c r="J2441" s="4">
        <v>372.35</v>
      </c>
      <c r="K2441" s="4">
        <v>0</v>
      </c>
      <c r="L2441" s="4">
        <v>0</v>
      </c>
      <c r="M2441" s="12" t="s">
        <v>571</v>
      </c>
      <c r="N2441" s="13">
        <f t="shared" si="60"/>
        <v>744.7</v>
      </c>
    </row>
    <row r="2442" spans="1:14">
      <c r="A2442" s="12">
        <v>2441</v>
      </c>
      <c r="B2442" s="1" t="s">
        <v>1687</v>
      </c>
      <c r="C2442" s="42" t="s">
        <v>1688</v>
      </c>
      <c r="D2442" s="42" t="s">
        <v>3655</v>
      </c>
      <c r="E2442" s="42" t="s">
        <v>3455</v>
      </c>
      <c r="F2442" s="4">
        <v>12076</v>
      </c>
      <c r="G2442" s="47" t="s">
        <v>60</v>
      </c>
      <c r="H2442" s="12" t="s">
        <v>1641</v>
      </c>
      <c r="I2442" s="4">
        <v>287.52999999999997</v>
      </c>
      <c r="J2442" s="4">
        <v>287.52999999999997</v>
      </c>
      <c r="K2442" s="4">
        <v>0</v>
      </c>
      <c r="L2442" s="4">
        <v>0</v>
      </c>
      <c r="M2442" s="12" t="s">
        <v>571</v>
      </c>
      <c r="N2442" s="13">
        <f t="shared" si="60"/>
        <v>575.05999999999995</v>
      </c>
    </row>
    <row r="2443" spans="1:14">
      <c r="A2443" s="12">
        <v>2442</v>
      </c>
      <c r="B2443" s="1" t="s">
        <v>2273</v>
      </c>
      <c r="C2443" s="42" t="s">
        <v>2274</v>
      </c>
      <c r="D2443" s="42" t="s">
        <v>3656</v>
      </c>
      <c r="E2443" s="42" t="s">
        <v>3455</v>
      </c>
      <c r="F2443" s="4">
        <v>29852</v>
      </c>
      <c r="G2443" s="47" t="s">
        <v>570</v>
      </c>
      <c r="H2443" s="12">
        <v>996713</v>
      </c>
      <c r="I2443" s="4">
        <v>0</v>
      </c>
      <c r="J2443" s="4">
        <v>0</v>
      </c>
      <c r="K2443" s="4">
        <v>4553.68</v>
      </c>
      <c r="L2443" s="4">
        <v>0</v>
      </c>
      <c r="M2443" s="12" t="s">
        <v>571</v>
      </c>
      <c r="N2443" s="13">
        <f t="shared" si="60"/>
        <v>4553.68</v>
      </c>
    </row>
    <row r="2444" spans="1:14">
      <c r="A2444" s="12">
        <v>2443</v>
      </c>
      <c r="B2444" s="1" t="s">
        <v>1824</v>
      </c>
      <c r="C2444" s="42" t="s">
        <v>1825</v>
      </c>
      <c r="D2444" s="42" t="s">
        <v>3657</v>
      </c>
      <c r="E2444" s="42" t="s">
        <v>3469</v>
      </c>
      <c r="F2444" s="4">
        <v>679.36</v>
      </c>
      <c r="G2444" s="47" t="s">
        <v>570</v>
      </c>
      <c r="H2444" s="12">
        <v>997159</v>
      </c>
      <c r="I2444" s="4">
        <v>0</v>
      </c>
      <c r="J2444" s="4">
        <v>0</v>
      </c>
      <c r="K2444" s="4">
        <v>103.62</v>
      </c>
      <c r="L2444" s="4">
        <v>0</v>
      </c>
      <c r="M2444" s="12" t="s">
        <v>571</v>
      </c>
      <c r="N2444" s="13">
        <f t="shared" si="60"/>
        <v>103.62</v>
      </c>
    </row>
    <row r="2445" spans="1:14">
      <c r="A2445" s="12">
        <v>2444</v>
      </c>
      <c r="B2445" s="1" t="s">
        <v>528</v>
      </c>
      <c r="C2445" s="42" t="s">
        <v>529</v>
      </c>
      <c r="D2445" s="42" t="s">
        <v>3658</v>
      </c>
      <c r="E2445" s="42" t="s">
        <v>3521</v>
      </c>
      <c r="F2445" s="4">
        <v>2841.74</v>
      </c>
      <c r="G2445" s="47" t="s">
        <v>570</v>
      </c>
      <c r="H2445" s="12">
        <v>998212</v>
      </c>
      <c r="I2445" s="4">
        <v>216.74</v>
      </c>
      <c r="J2445" s="4">
        <v>216.74</v>
      </c>
      <c r="K2445" s="4">
        <v>0</v>
      </c>
      <c r="L2445" s="4">
        <v>0</v>
      </c>
      <c r="M2445" s="12" t="s">
        <v>571</v>
      </c>
      <c r="N2445" s="13">
        <f t="shared" si="60"/>
        <v>433.48</v>
      </c>
    </row>
    <row r="2446" spans="1:14">
      <c r="A2446" s="12">
        <v>2445</v>
      </c>
      <c r="B2446" s="1" t="s">
        <v>528</v>
      </c>
      <c r="C2446" s="42" t="s">
        <v>529</v>
      </c>
      <c r="D2446" s="42" t="s">
        <v>3659</v>
      </c>
      <c r="E2446" s="42" t="s">
        <v>3521</v>
      </c>
      <c r="F2446" s="4">
        <v>1732.65</v>
      </c>
      <c r="G2446" s="47" t="s">
        <v>570</v>
      </c>
      <c r="H2446" s="12">
        <v>998212</v>
      </c>
      <c r="I2446" s="4">
        <v>132.15</v>
      </c>
      <c r="J2446" s="4">
        <v>132.15</v>
      </c>
      <c r="K2446" s="4">
        <v>0</v>
      </c>
      <c r="L2446" s="4">
        <v>0</v>
      </c>
      <c r="M2446" s="12" t="s">
        <v>571</v>
      </c>
      <c r="N2446" s="13">
        <f t="shared" si="60"/>
        <v>264.3</v>
      </c>
    </row>
    <row r="2447" spans="1:14">
      <c r="A2447" s="12">
        <v>2446</v>
      </c>
      <c r="B2447" s="1" t="s">
        <v>528</v>
      </c>
      <c r="C2447" s="42" t="s">
        <v>529</v>
      </c>
      <c r="D2447" s="42" t="s">
        <v>3660</v>
      </c>
      <c r="E2447" s="42" t="s">
        <v>3625</v>
      </c>
      <c r="F2447" s="4">
        <v>590</v>
      </c>
      <c r="G2447" s="47" t="s">
        <v>570</v>
      </c>
      <c r="H2447" s="12">
        <v>998212</v>
      </c>
      <c r="I2447" s="4">
        <v>45</v>
      </c>
      <c r="J2447" s="4">
        <v>45</v>
      </c>
      <c r="K2447" s="4">
        <v>0</v>
      </c>
      <c r="L2447" s="4">
        <v>0</v>
      </c>
      <c r="M2447" s="12" t="s">
        <v>571</v>
      </c>
      <c r="N2447" s="13">
        <f t="shared" si="60"/>
        <v>90</v>
      </c>
    </row>
    <row r="2448" spans="1:14">
      <c r="A2448" s="12">
        <v>2447</v>
      </c>
      <c r="B2448" s="1" t="s">
        <v>528</v>
      </c>
      <c r="C2448" s="42" t="s">
        <v>529</v>
      </c>
      <c r="D2448" s="42" t="s">
        <v>3661</v>
      </c>
      <c r="E2448" s="42" t="s">
        <v>3494</v>
      </c>
      <c r="F2448" s="4">
        <v>413</v>
      </c>
      <c r="G2448" s="47" t="s">
        <v>570</v>
      </c>
      <c r="H2448" s="12">
        <v>998212</v>
      </c>
      <c r="I2448" s="4">
        <v>31.5</v>
      </c>
      <c r="J2448" s="4">
        <v>31.5</v>
      </c>
      <c r="K2448" s="4">
        <v>0</v>
      </c>
      <c r="L2448" s="4">
        <v>0</v>
      </c>
      <c r="M2448" s="12" t="s">
        <v>571</v>
      </c>
      <c r="N2448" s="13">
        <f t="shared" si="60"/>
        <v>63</v>
      </c>
    </row>
    <row r="2449" spans="1:14">
      <c r="A2449" s="12">
        <v>2448</v>
      </c>
      <c r="B2449" s="1" t="s">
        <v>1832</v>
      </c>
      <c r="C2449" s="42" t="s">
        <v>1833</v>
      </c>
      <c r="D2449" s="42" t="s">
        <v>3662</v>
      </c>
      <c r="E2449" s="42" t="s">
        <v>3521</v>
      </c>
      <c r="F2449" s="4">
        <v>18732</v>
      </c>
      <c r="G2449" s="47" t="s">
        <v>60</v>
      </c>
      <c r="H2449" s="12" t="s">
        <v>1835</v>
      </c>
      <c r="I2449" s="4">
        <v>446</v>
      </c>
      <c r="J2449" s="4">
        <v>446</v>
      </c>
      <c r="K2449" s="4">
        <v>0</v>
      </c>
      <c r="L2449" s="4">
        <v>0</v>
      </c>
      <c r="M2449" s="12" t="s">
        <v>571</v>
      </c>
      <c r="N2449" s="13">
        <f t="shared" si="60"/>
        <v>892</v>
      </c>
    </row>
    <row r="2450" spans="1:14">
      <c r="A2450" s="12">
        <v>2449</v>
      </c>
      <c r="B2450" s="1" t="s">
        <v>1832</v>
      </c>
      <c r="C2450" s="42" t="s">
        <v>1833</v>
      </c>
      <c r="D2450" s="42" t="s">
        <v>3663</v>
      </c>
      <c r="E2450" s="42" t="s">
        <v>3625</v>
      </c>
      <c r="F2450" s="4">
        <v>5775</v>
      </c>
      <c r="G2450" s="47" t="s">
        <v>60</v>
      </c>
      <c r="H2450" s="12" t="s">
        <v>1835</v>
      </c>
      <c r="I2450" s="4">
        <v>137.5</v>
      </c>
      <c r="J2450" s="4">
        <v>137.5</v>
      </c>
      <c r="K2450" s="4">
        <v>0</v>
      </c>
      <c r="L2450" s="4">
        <v>0</v>
      </c>
      <c r="M2450" s="12" t="s">
        <v>571</v>
      </c>
      <c r="N2450" s="13">
        <f t="shared" si="60"/>
        <v>275</v>
      </c>
    </row>
    <row r="2451" spans="1:14">
      <c r="A2451" s="12">
        <v>2450</v>
      </c>
      <c r="B2451" s="1" t="s">
        <v>557</v>
      </c>
      <c r="C2451" s="42" t="s">
        <v>558</v>
      </c>
      <c r="D2451" s="42" t="s">
        <v>3664</v>
      </c>
      <c r="E2451" s="42" t="s">
        <v>3476</v>
      </c>
      <c r="F2451" s="12">
        <v>-69.89</v>
      </c>
      <c r="G2451" s="47" t="s">
        <v>570</v>
      </c>
      <c r="H2451" s="12">
        <v>998361</v>
      </c>
      <c r="I2451" s="12">
        <v>0</v>
      </c>
      <c r="J2451" s="12">
        <v>0</v>
      </c>
      <c r="K2451" s="12">
        <v>-10.66</v>
      </c>
      <c r="L2451" s="4">
        <v>0</v>
      </c>
      <c r="M2451" s="12" t="s">
        <v>571</v>
      </c>
      <c r="N2451" s="13">
        <f t="shared" si="60"/>
        <v>-10.66</v>
      </c>
    </row>
    <row r="2452" spans="1:14">
      <c r="A2452" s="12">
        <v>2451</v>
      </c>
      <c r="B2452" s="1" t="s">
        <v>557</v>
      </c>
      <c r="C2452" s="42" t="s">
        <v>558</v>
      </c>
      <c r="D2452" s="42" t="s">
        <v>3665</v>
      </c>
      <c r="E2452" s="42" t="s">
        <v>3476</v>
      </c>
      <c r="F2452" s="12">
        <v>-58.52</v>
      </c>
      <c r="G2452" s="47" t="s">
        <v>570</v>
      </c>
      <c r="H2452" s="12">
        <v>998361</v>
      </c>
      <c r="I2452" s="12">
        <v>0</v>
      </c>
      <c r="J2452" s="12">
        <v>0</v>
      </c>
      <c r="K2452" s="12">
        <v>-8.93</v>
      </c>
      <c r="L2452" s="4">
        <v>0</v>
      </c>
      <c r="M2452" s="12" t="s">
        <v>571</v>
      </c>
      <c r="N2452" s="13">
        <f t="shared" si="60"/>
        <v>-8.93</v>
      </c>
    </row>
    <row r="2453" spans="1:14">
      <c r="A2453" s="12">
        <v>2452</v>
      </c>
      <c r="B2453" s="1" t="s">
        <v>557</v>
      </c>
      <c r="C2453" s="42" t="s">
        <v>558</v>
      </c>
      <c r="D2453" s="42" t="s">
        <v>3666</v>
      </c>
      <c r="E2453" s="42" t="s">
        <v>3476</v>
      </c>
      <c r="F2453" s="12">
        <v>-6.8</v>
      </c>
      <c r="G2453" s="47" t="s">
        <v>570</v>
      </c>
      <c r="H2453" s="12">
        <v>998361</v>
      </c>
      <c r="I2453" s="12">
        <v>0</v>
      </c>
      <c r="J2453" s="12">
        <v>0</v>
      </c>
      <c r="K2453" s="12">
        <v>-1.04</v>
      </c>
      <c r="L2453" s="4">
        <v>0</v>
      </c>
      <c r="M2453" s="12" t="s">
        <v>571</v>
      </c>
      <c r="N2453" s="13">
        <f t="shared" si="60"/>
        <v>-1.04</v>
      </c>
    </row>
    <row r="2454" spans="1:14">
      <c r="A2454" s="12">
        <v>2453</v>
      </c>
      <c r="B2454" s="1" t="s">
        <v>557</v>
      </c>
      <c r="C2454" s="42" t="s">
        <v>558</v>
      </c>
      <c r="D2454" s="42" t="s">
        <v>3667</v>
      </c>
      <c r="E2454" s="42" t="s">
        <v>3476</v>
      </c>
      <c r="F2454" s="12">
        <v>-8</v>
      </c>
      <c r="G2454" s="47" t="s">
        <v>570</v>
      </c>
      <c r="H2454" s="12">
        <v>998361</v>
      </c>
      <c r="I2454" s="12">
        <v>0</v>
      </c>
      <c r="J2454" s="12">
        <v>0</v>
      </c>
      <c r="K2454" s="12">
        <v>-1.22</v>
      </c>
      <c r="L2454" s="4">
        <v>0</v>
      </c>
      <c r="M2454" s="12" t="s">
        <v>571</v>
      </c>
      <c r="N2454" s="13">
        <f t="shared" si="60"/>
        <v>-1.22</v>
      </c>
    </row>
    <row r="2455" spans="1:14">
      <c r="A2455" s="12">
        <v>2454</v>
      </c>
      <c r="B2455" s="1" t="s">
        <v>557</v>
      </c>
      <c r="C2455" s="42" t="s">
        <v>558</v>
      </c>
      <c r="D2455" s="42" t="s">
        <v>3668</v>
      </c>
      <c r="E2455" s="42" t="s">
        <v>3476</v>
      </c>
      <c r="F2455" s="12">
        <v>-2.2799999999999998</v>
      </c>
      <c r="G2455" s="47" t="s">
        <v>570</v>
      </c>
      <c r="H2455" s="12">
        <v>998361</v>
      </c>
      <c r="I2455" s="12">
        <v>0</v>
      </c>
      <c r="J2455" s="12">
        <v>0</v>
      </c>
      <c r="K2455" s="12">
        <v>-0.35</v>
      </c>
      <c r="L2455" s="4">
        <v>0</v>
      </c>
      <c r="M2455" s="12" t="s">
        <v>571</v>
      </c>
      <c r="N2455" s="13">
        <f t="shared" si="60"/>
        <v>-0.35</v>
      </c>
    </row>
    <row r="2456" spans="1:14">
      <c r="A2456" s="12">
        <v>2455</v>
      </c>
      <c r="B2456" s="1" t="s">
        <v>557</v>
      </c>
      <c r="C2456" s="42" t="s">
        <v>558</v>
      </c>
      <c r="D2456" s="42" t="s">
        <v>3669</v>
      </c>
      <c r="E2456" s="42" t="s">
        <v>3476</v>
      </c>
      <c r="F2456" s="12">
        <v>-76.62</v>
      </c>
      <c r="G2456" s="47" t="s">
        <v>570</v>
      </c>
      <c r="H2456" s="12">
        <v>998361</v>
      </c>
      <c r="I2456" s="12">
        <v>0</v>
      </c>
      <c r="J2456" s="12">
        <v>0</v>
      </c>
      <c r="K2456" s="12">
        <v>-11.69</v>
      </c>
      <c r="L2456" s="4">
        <v>0</v>
      </c>
      <c r="M2456" s="12" t="s">
        <v>571</v>
      </c>
      <c r="N2456" s="13">
        <f t="shared" si="60"/>
        <v>-11.69</v>
      </c>
    </row>
    <row r="2457" spans="1:14">
      <c r="A2457" s="12">
        <v>2456</v>
      </c>
      <c r="B2457" s="1" t="s">
        <v>557</v>
      </c>
      <c r="C2457" s="42" t="s">
        <v>558</v>
      </c>
      <c r="D2457" s="42" t="s">
        <v>3670</v>
      </c>
      <c r="E2457" s="42" t="s">
        <v>3476</v>
      </c>
      <c r="F2457" s="12">
        <v>-6.2</v>
      </c>
      <c r="G2457" s="47" t="s">
        <v>570</v>
      </c>
      <c r="H2457" s="12">
        <v>998361</v>
      </c>
      <c r="I2457" s="12">
        <v>0</v>
      </c>
      <c r="J2457" s="12">
        <v>0</v>
      </c>
      <c r="K2457" s="12">
        <v>-0.95</v>
      </c>
      <c r="L2457" s="4">
        <v>0</v>
      </c>
      <c r="M2457" s="12" t="s">
        <v>571</v>
      </c>
      <c r="N2457" s="13">
        <f t="shared" si="60"/>
        <v>-0.95</v>
      </c>
    </row>
    <row r="2458" spans="1:14">
      <c r="A2458" s="12">
        <v>2457</v>
      </c>
      <c r="B2458" s="1" t="s">
        <v>557</v>
      </c>
      <c r="C2458" s="42" t="s">
        <v>558</v>
      </c>
      <c r="D2458" s="42" t="s">
        <v>3671</v>
      </c>
      <c r="E2458" s="42" t="s">
        <v>3476</v>
      </c>
      <c r="F2458" s="12">
        <v>-15.67</v>
      </c>
      <c r="G2458" s="47" t="s">
        <v>570</v>
      </c>
      <c r="H2458" s="12">
        <v>998361</v>
      </c>
      <c r="I2458" s="12">
        <v>0</v>
      </c>
      <c r="J2458" s="12">
        <v>0</v>
      </c>
      <c r="K2458" s="12">
        <v>-2.39</v>
      </c>
      <c r="L2458" s="4">
        <v>0</v>
      </c>
      <c r="M2458" s="12" t="s">
        <v>571</v>
      </c>
      <c r="N2458" s="13">
        <f t="shared" si="60"/>
        <v>-2.39</v>
      </c>
    </row>
    <row r="2459" spans="1:14">
      <c r="A2459" s="12">
        <v>2458</v>
      </c>
      <c r="B2459" s="1" t="s">
        <v>557</v>
      </c>
      <c r="C2459" s="42" t="s">
        <v>558</v>
      </c>
      <c r="D2459" s="42" t="s">
        <v>3672</v>
      </c>
      <c r="E2459" s="42" t="s">
        <v>3476</v>
      </c>
      <c r="F2459" s="12">
        <v>-10.53</v>
      </c>
      <c r="G2459" s="47" t="s">
        <v>570</v>
      </c>
      <c r="H2459" s="12">
        <v>998361</v>
      </c>
      <c r="I2459" s="12">
        <v>0</v>
      </c>
      <c r="J2459" s="12">
        <v>0</v>
      </c>
      <c r="K2459" s="12">
        <v>-1.61</v>
      </c>
      <c r="L2459" s="4">
        <v>0</v>
      </c>
      <c r="M2459" s="12" t="s">
        <v>571</v>
      </c>
      <c r="N2459" s="13">
        <f t="shared" si="60"/>
        <v>-1.61</v>
      </c>
    </row>
    <row r="2460" spans="1:14">
      <c r="A2460" s="12">
        <v>2459</v>
      </c>
      <c r="B2460" s="1" t="s">
        <v>557</v>
      </c>
      <c r="C2460" s="42" t="s">
        <v>558</v>
      </c>
      <c r="D2460" s="42" t="s">
        <v>3673</v>
      </c>
      <c r="E2460" s="42" t="s">
        <v>3476</v>
      </c>
      <c r="F2460" s="12">
        <v>-28.85</v>
      </c>
      <c r="G2460" s="47" t="s">
        <v>570</v>
      </c>
      <c r="H2460" s="12">
        <v>998361</v>
      </c>
      <c r="I2460" s="12">
        <v>0</v>
      </c>
      <c r="J2460" s="12">
        <v>0</v>
      </c>
      <c r="K2460" s="12">
        <v>-4.4000000000000004</v>
      </c>
      <c r="L2460" s="4">
        <v>0</v>
      </c>
      <c r="M2460" s="12" t="s">
        <v>571</v>
      </c>
      <c r="N2460" s="13">
        <f t="shared" si="60"/>
        <v>-4.4000000000000004</v>
      </c>
    </row>
    <row r="2461" spans="1:14">
      <c r="A2461" s="12">
        <v>2460</v>
      </c>
      <c r="B2461" s="1" t="s">
        <v>557</v>
      </c>
      <c r="C2461" s="42" t="s">
        <v>558</v>
      </c>
      <c r="D2461" s="42" t="s">
        <v>3674</v>
      </c>
      <c r="E2461" s="42" t="s">
        <v>3476</v>
      </c>
      <c r="F2461" s="12">
        <v>-10.15</v>
      </c>
      <c r="G2461" s="47" t="s">
        <v>570</v>
      </c>
      <c r="H2461" s="12">
        <v>998361</v>
      </c>
      <c r="I2461" s="12">
        <v>0</v>
      </c>
      <c r="J2461" s="12">
        <v>0</v>
      </c>
      <c r="K2461" s="12">
        <v>-1.55</v>
      </c>
      <c r="L2461" s="4">
        <v>0</v>
      </c>
      <c r="M2461" s="12" t="s">
        <v>571</v>
      </c>
      <c r="N2461" s="13">
        <f t="shared" si="60"/>
        <v>-1.55</v>
      </c>
    </row>
    <row r="2462" spans="1:14">
      <c r="A2462" s="12">
        <v>2461</v>
      </c>
      <c r="B2462" s="1" t="s">
        <v>557</v>
      </c>
      <c r="C2462" s="42" t="s">
        <v>558</v>
      </c>
      <c r="D2462" s="42" t="s">
        <v>3675</v>
      </c>
      <c r="E2462" s="42" t="s">
        <v>3476</v>
      </c>
      <c r="F2462" s="12">
        <v>-27.75</v>
      </c>
      <c r="G2462" s="47" t="s">
        <v>570</v>
      </c>
      <c r="H2462" s="12">
        <v>998361</v>
      </c>
      <c r="I2462" s="12">
        <v>0</v>
      </c>
      <c r="J2462" s="12">
        <v>0</v>
      </c>
      <c r="K2462" s="12">
        <v>-4.2300000000000004</v>
      </c>
      <c r="L2462" s="4">
        <v>0</v>
      </c>
      <c r="M2462" s="12" t="s">
        <v>571</v>
      </c>
      <c r="N2462" s="13">
        <f t="shared" si="60"/>
        <v>-4.2300000000000004</v>
      </c>
    </row>
    <row r="2463" spans="1:14">
      <c r="A2463" s="12">
        <v>2462</v>
      </c>
      <c r="B2463" s="1" t="s">
        <v>557</v>
      </c>
      <c r="C2463" s="42" t="s">
        <v>558</v>
      </c>
      <c r="D2463" s="42" t="s">
        <v>3676</v>
      </c>
      <c r="E2463" s="42" t="s">
        <v>3476</v>
      </c>
      <c r="F2463" s="12">
        <v>-213.36</v>
      </c>
      <c r="G2463" s="47" t="s">
        <v>570</v>
      </c>
      <c r="H2463" s="12">
        <v>998361</v>
      </c>
      <c r="I2463" s="12">
        <v>0</v>
      </c>
      <c r="J2463" s="12">
        <v>0</v>
      </c>
      <c r="K2463" s="12">
        <v>-32.549999999999997</v>
      </c>
      <c r="L2463" s="4">
        <v>0</v>
      </c>
      <c r="M2463" s="12" t="s">
        <v>571</v>
      </c>
      <c r="N2463" s="13">
        <f t="shared" si="60"/>
        <v>-32.549999999999997</v>
      </c>
    </row>
    <row r="2464" spans="1:14">
      <c r="A2464" s="12">
        <v>2463</v>
      </c>
      <c r="B2464" s="1" t="s">
        <v>557</v>
      </c>
      <c r="C2464" s="42" t="s">
        <v>558</v>
      </c>
      <c r="D2464" s="42" t="s">
        <v>3677</v>
      </c>
      <c r="E2464" s="42" t="s">
        <v>3476</v>
      </c>
      <c r="F2464" s="12">
        <v>-150.38999999999999</v>
      </c>
      <c r="G2464" s="47" t="s">
        <v>570</v>
      </c>
      <c r="H2464" s="12">
        <v>998361</v>
      </c>
      <c r="I2464" s="12">
        <v>0</v>
      </c>
      <c r="J2464" s="12">
        <v>0</v>
      </c>
      <c r="K2464" s="12">
        <v>-22.94</v>
      </c>
      <c r="L2464" s="4">
        <v>0</v>
      </c>
      <c r="M2464" s="12" t="s">
        <v>571</v>
      </c>
      <c r="N2464" s="13">
        <f t="shared" si="60"/>
        <v>-22.94</v>
      </c>
    </row>
    <row r="2465" spans="1:14">
      <c r="A2465" s="12">
        <v>2464</v>
      </c>
      <c r="B2465" s="1" t="s">
        <v>557</v>
      </c>
      <c r="C2465" s="42" t="s">
        <v>558</v>
      </c>
      <c r="D2465" s="42" t="s">
        <v>3678</v>
      </c>
      <c r="E2465" s="42" t="s">
        <v>3476</v>
      </c>
      <c r="F2465" s="12">
        <v>-163.85</v>
      </c>
      <c r="G2465" s="47" t="s">
        <v>570</v>
      </c>
      <c r="H2465" s="12">
        <v>998361</v>
      </c>
      <c r="I2465" s="12">
        <v>0</v>
      </c>
      <c r="J2465" s="12">
        <v>0</v>
      </c>
      <c r="K2465" s="12">
        <v>-24.99</v>
      </c>
      <c r="L2465" s="4">
        <v>0</v>
      </c>
      <c r="M2465" s="12" t="s">
        <v>571</v>
      </c>
      <c r="N2465" s="13">
        <f t="shared" si="60"/>
        <v>-24.99</v>
      </c>
    </row>
    <row r="2466" spans="1:14">
      <c r="A2466" s="12">
        <v>2465</v>
      </c>
      <c r="B2466" s="1" t="s">
        <v>557</v>
      </c>
      <c r="C2466" s="42" t="s">
        <v>558</v>
      </c>
      <c r="D2466" s="42" t="s">
        <v>3679</v>
      </c>
      <c r="E2466" s="42" t="s">
        <v>3476</v>
      </c>
      <c r="F2466" s="12">
        <v>-7.74</v>
      </c>
      <c r="G2466" s="47" t="s">
        <v>570</v>
      </c>
      <c r="H2466" s="12">
        <v>998361</v>
      </c>
      <c r="I2466" s="12">
        <v>0</v>
      </c>
      <c r="J2466" s="12">
        <v>0</v>
      </c>
      <c r="K2466" s="12">
        <v>-1.18</v>
      </c>
      <c r="L2466" s="4">
        <v>0</v>
      </c>
      <c r="M2466" s="12" t="s">
        <v>571</v>
      </c>
      <c r="N2466" s="13">
        <f t="shared" si="60"/>
        <v>-1.18</v>
      </c>
    </row>
    <row r="2467" spans="1:14">
      <c r="A2467" s="12">
        <v>2466</v>
      </c>
      <c r="B2467" s="1" t="s">
        <v>557</v>
      </c>
      <c r="C2467" s="42" t="s">
        <v>558</v>
      </c>
      <c r="D2467" s="42" t="s">
        <v>3680</v>
      </c>
      <c r="E2467" s="42" t="s">
        <v>3476</v>
      </c>
      <c r="F2467" s="12">
        <v>-68.53</v>
      </c>
      <c r="G2467" s="47" t="s">
        <v>570</v>
      </c>
      <c r="H2467" s="12">
        <v>998361</v>
      </c>
      <c r="I2467" s="12">
        <v>0</v>
      </c>
      <c r="J2467" s="12">
        <v>0</v>
      </c>
      <c r="K2467" s="12">
        <v>-10.45</v>
      </c>
      <c r="L2467" s="4">
        <v>0</v>
      </c>
      <c r="M2467" s="12" t="s">
        <v>571</v>
      </c>
      <c r="N2467" s="13">
        <f t="shared" si="60"/>
        <v>-10.45</v>
      </c>
    </row>
    <row r="2468" spans="1:14">
      <c r="A2468" s="12">
        <v>2467</v>
      </c>
      <c r="B2468" s="1" t="s">
        <v>557</v>
      </c>
      <c r="C2468" s="42" t="s">
        <v>558</v>
      </c>
      <c r="D2468" s="42" t="s">
        <v>3681</v>
      </c>
      <c r="E2468" s="42" t="s">
        <v>3476</v>
      </c>
      <c r="F2468" s="12">
        <v>-24.01</v>
      </c>
      <c r="G2468" s="47" t="s">
        <v>570</v>
      </c>
      <c r="H2468" s="12">
        <v>998361</v>
      </c>
      <c r="I2468" s="12">
        <v>0</v>
      </c>
      <c r="J2468" s="12">
        <v>0</v>
      </c>
      <c r="K2468" s="12">
        <v>-3.66</v>
      </c>
      <c r="L2468" s="4">
        <v>0</v>
      </c>
      <c r="M2468" s="12" t="s">
        <v>571</v>
      </c>
      <c r="N2468" s="13">
        <f t="shared" si="60"/>
        <v>-3.66</v>
      </c>
    </row>
    <row r="2469" spans="1:14">
      <c r="A2469" s="12">
        <v>2468</v>
      </c>
      <c r="B2469" s="1" t="s">
        <v>3525</v>
      </c>
      <c r="C2469" s="42" t="s">
        <v>3526</v>
      </c>
      <c r="D2469" s="42" t="s">
        <v>3682</v>
      </c>
      <c r="E2469" s="42" t="s">
        <v>3505</v>
      </c>
      <c r="F2469" s="12">
        <v>-333</v>
      </c>
      <c r="G2469" s="47" t="s">
        <v>2046</v>
      </c>
      <c r="H2469" s="12">
        <v>84733099</v>
      </c>
      <c r="I2469" s="12">
        <v>0</v>
      </c>
      <c r="J2469" s="12">
        <v>0</v>
      </c>
      <c r="K2469" s="12">
        <v>-50.8</v>
      </c>
      <c r="L2469" s="4">
        <v>0</v>
      </c>
      <c r="M2469" s="14" t="s">
        <v>157</v>
      </c>
      <c r="N2469" s="15" t="s">
        <v>202</v>
      </c>
    </row>
    <row r="2470" spans="1:14">
      <c r="A2470" s="12">
        <v>2469</v>
      </c>
      <c r="B2470" s="1" t="s">
        <v>1832</v>
      </c>
      <c r="C2470" s="42" t="s">
        <v>1833</v>
      </c>
      <c r="D2470" s="42" t="s">
        <v>3683</v>
      </c>
      <c r="E2470" s="42" t="s">
        <v>3684</v>
      </c>
      <c r="F2470" s="4">
        <v>57750</v>
      </c>
      <c r="G2470" s="47" t="s">
        <v>60</v>
      </c>
      <c r="H2470" s="12" t="s">
        <v>1835</v>
      </c>
      <c r="I2470" s="4">
        <v>1375</v>
      </c>
      <c r="J2470" s="4">
        <v>1375</v>
      </c>
      <c r="K2470" s="4">
        <v>0</v>
      </c>
      <c r="L2470" s="4">
        <v>0</v>
      </c>
      <c r="M2470" s="12" t="s">
        <v>571</v>
      </c>
      <c r="N2470" s="13">
        <f t="shared" ref="N2470:N2533" si="61">SUM(I2470:K2470)</f>
        <v>2750</v>
      </c>
    </row>
    <row r="2471" spans="1:14">
      <c r="A2471" s="12">
        <v>2470</v>
      </c>
      <c r="B2471" s="1" t="s">
        <v>1832</v>
      </c>
      <c r="C2471" s="42" t="s">
        <v>1833</v>
      </c>
      <c r="D2471" s="42" t="s">
        <v>3685</v>
      </c>
      <c r="E2471" s="42" t="s">
        <v>3686</v>
      </c>
      <c r="F2471" s="4">
        <v>2888</v>
      </c>
      <c r="G2471" s="47" t="s">
        <v>60</v>
      </c>
      <c r="H2471" s="12" t="s">
        <v>1835</v>
      </c>
      <c r="I2471" s="4">
        <v>68.75</v>
      </c>
      <c r="J2471" s="4">
        <v>68.75</v>
      </c>
      <c r="K2471" s="4">
        <v>0</v>
      </c>
      <c r="L2471" s="4">
        <v>0</v>
      </c>
      <c r="M2471" s="12" t="s">
        <v>571</v>
      </c>
      <c r="N2471" s="13">
        <f t="shared" si="61"/>
        <v>137.5</v>
      </c>
    </row>
    <row r="2472" spans="1:14">
      <c r="A2472" s="12">
        <v>2471</v>
      </c>
      <c r="B2472" s="1" t="s">
        <v>1832</v>
      </c>
      <c r="C2472" s="42" t="s">
        <v>1833</v>
      </c>
      <c r="D2472" s="42" t="s">
        <v>3687</v>
      </c>
      <c r="E2472" s="42" t="s">
        <v>3688</v>
      </c>
      <c r="F2472" s="4">
        <v>3360</v>
      </c>
      <c r="G2472" s="47" t="s">
        <v>60</v>
      </c>
      <c r="H2472" s="12" t="s">
        <v>1835</v>
      </c>
      <c r="I2472" s="4">
        <v>80</v>
      </c>
      <c r="J2472" s="4">
        <v>80</v>
      </c>
      <c r="K2472" s="4">
        <v>0</v>
      </c>
      <c r="L2472" s="4">
        <v>0</v>
      </c>
      <c r="M2472" s="12" t="s">
        <v>571</v>
      </c>
      <c r="N2472" s="13">
        <f t="shared" si="61"/>
        <v>160</v>
      </c>
    </row>
    <row r="2473" spans="1:14">
      <c r="A2473" s="12">
        <v>2472</v>
      </c>
      <c r="B2473" s="1" t="s">
        <v>1832</v>
      </c>
      <c r="C2473" s="42" t="s">
        <v>1833</v>
      </c>
      <c r="D2473" s="42" t="s">
        <v>3689</v>
      </c>
      <c r="E2473" s="42" t="s">
        <v>3690</v>
      </c>
      <c r="F2473" s="4">
        <v>15981</v>
      </c>
      <c r="G2473" s="47" t="s">
        <v>60</v>
      </c>
      <c r="H2473" s="12" t="s">
        <v>1835</v>
      </c>
      <c r="I2473" s="4">
        <v>380.5</v>
      </c>
      <c r="J2473" s="4">
        <v>380.5</v>
      </c>
      <c r="K2473" s="4">
        <v>0</v>
      </c>
      <c r="L2473" s="4">
        <v>0</v>
      </c>
      <c r="M2473" s="12" t="s">
        <v>571</v>
      </c>
      <c r="N2473" s="13">
        <f t="shared" si="61"/>
        <v>761</v>
      </c>
    </row>
    <row r="2474" spans="1:14">
      <c r="A2474" s="12">
        <v>2473</v>
      </c>
      <c r="B2474" s="1" t="s">
        <v>3691</v>
      </c>
      <c r="C2474" s="42" t="s">
        <v>3692</v>
      </c>
      <c r="D2474" s="42" t="s">
        <v>3693</v>
      </c>
      <c r="E2474" s="42" t="s">
        <v>3694</v>
      </c>
      <c r="F2474" s="4">
        <v>595</v>
      </c>
      <c r="G2474" s="47" t="s">
        <v>1772</v>
      </c>
      <c r="H2474" s="12">
        <v>3920</v>
      </c>
      <c r="I2474" s="4">
        <v>0</v>
      </c>
      <c r="J2474" s="4">
        <v>0</v>
      </c>
      <c r="K2474" s="4">
        <v>90.76</v>
      </c>
      <c r="L2474" s="4">
        <v>0</v>
      </c>
      <c r="M2474" s="12" t="s">
        <v>571</v>
      </c>
      <c r="N2474" s="13">
        <f t="shared" si="61"/>
        <v>90.76</v>
      </c>
    </row>
    <row r="2475" spans="1:14">
      <c r="A2475" s="12">
        <v>2474</v>
      </c>
      <c r="B2475" s="1" t="s">
        <v>3695</v>
      </c>
      <c r="C2475" s="42" t="s">
        <v>3696</v>
      </c>
      <c r="D2475" s="42" t="s">
        <v>3697</v>
      </c>
      <c r="E2475" s="42" t="s">
        <v>3698</v>
      </c>
      <c r="F2475" s="4">
        <v>4543</v>
      </c>
      <c r="G2475" s="47" t="s">
        <v>1772</v>
      </c>
      <c r="H2475" s="12">
        <v>69111019</v>
      </c>
      <c r="I2475" s="4">
        <v>346.5</v>
      </c>
      <c r="J2475" s="4">
        <v>346.5</v>
      </c>
      <c r="K2475" s="4">
        <v>0</v>
      </c>
      <c r="L2475" s="4">
        <v>0</v>
      </c>
      <c r="M2475" s="12" t="s">
        <v>571</v>
      </c>
      <c r="N2475" s="13">
        <f t="shared" si="61"/>
        <v>693</v>
      </c>
    </row>
    <row r="2476" spans="1:14">
      <c r="A2476" s="12">
        <v>2475</v>
      </c>
      <c r="B2476" s="1" t="s">
        <v>1824</v>
      </c>
      <c r="C2476" s="42" t="s">
        <v>1825</v>
      </c>
      <c r="D2476" s="42" t="s">
        <v>3699</v>
      </c>
      <c r="E2476" s="42" t="s">
        <v>492</v>
      </c>
      <c r="F2476" s="4">
        <v>293.66000000000003</v>
      </c>
      <c r="G2476" s="47" t="s">
        <v>570</v>
      </c>
      <c r="H2476" s="12">
        <v>997159</v>
      </c>
      <c r="I2476" s="4">
        <v>0</v>
      </c>
      <c r="J2476" s="4">
        <v>0</v>
      </c>
      <c r="K2476" s="4">
        <v>44.79</v>
      </c>
      <c r="L2476" s="4">
        <v>0</v>
      </c>
      <c r="M2476" s="12" t="s">
        <v>571</v>
      </c>
      <c r="N2476" s="13">
        <f t="shared" si="61"/>
        <v>44.79</v>
      </c>
    </row>
    <row r="2477" spans="1:14">
      <c r="A2477" s="12">
        <v>2476</v>
      </c>
      <c r="B2477" s="1" t="s">
        <v>2040</v>
      </c>
      <c r="C2477" s="42" t="s">
        <v>2041</v>
      </c>
      <c r="D2477" s="42" t="s">
        <v>3700</v>
      </c>
      <c r="E2477" s="42" t="s">
        <v>3698</v>
      </c>
      <c r="F2477" s="4">
        <v>736</v>
      </c>
      <c r="G2477" s="47" t="s">
        <v>570</v>
      </c>
      <c r="H2477" s="12">
        <v>998346</v>
      </c>
      <c r="I2477" s="4">
        <v>0</v>
      </c>
      <c r="J2477" s="4">
        <v>0</v>
      </c>
      <c r="K2477" s="4">
        <v>3</v>
      </c>
      <c r="L2477" s="4">
        <v>0</v>
      </c>
      <c r="M2477" s="12" t="s">
        <v>571</v>
      </c>
      <c r="N2477" s="13">
        <f t="shared" si="61"/>
        <v>3</v>
      </c>
    </row>
    <row r="2478" spans="1:14">
      <c r="A2478" s="12">
        <v>2477</v>
      </c>
      <c r="B2478" s="1" t="s">
        <v>2040</v>
      </c>
      <c r="C2478" s="42" t="s">
        <v>2041</v>
      </c>
      <c r="D2478" s="42" t="s">
        <v>3700</v>
      </c>
      <c r="E2478" s="42" t="s">
        <v>3698</v>
      </c>
      <c r="F2478" s="4">
        <v>736</v>
      </c>
      <c r="G2478" s="47" t="s">
        <v>570</v>
      </c>
      <c r="H2478" s="12">
        <v>998346</v>
      </c>
      <c r="I2478" s="4">
        <v>0</v>
      </c>
      <c r="J2478" s="4">
        <v>0</v>
      </c>
      <c r="K2478" s="4">
        <v>108</v>
      </c>
      <c r="L2478" s="4">
        <v>0</v>
      </c>
      <c r="M2478" s="12" t="s">
        <v>571</v>
      </c>
      <c r="N2478" s="13">
        <f t="shared" si="61"/>
        <v>108</v>
      </c>
    </row>
    <row r="2479" spans="1:14">
      <c r="A2479" s="12">
        <v>2478</v>
      </c>
      <c r="B2479" s="1" t="s">
        <v>2040</v>
      </c>
      <c r="C2479" s="42" t="s">
        <v>2041</v>
      </c>
      <c r="D2479" s="42" t="s">
        <v>3701</v>
      </c>
      <c r="E2479" s="42" t="s">
        <v>3702</v>
      </c>
      <c r="F2479" s="4">
        <v>736</v>
      </c>
      <c r="G2479" s="47" t="s">
        <v>570</v>
      </c>
      <c r="H2479" s="12">
        <v>998346</v>
      </c>
      <c r="I2479" s="4">
        <v>0</v>
      </c>
      <c r="J2479" s="4">
        <v>0</v>
      </c>
      <c r="K2479" s="4">
        <v>3</v>
      </c>
      <c r="L2479" s="4">
        <v>0</v>
      </c>
      <c r="M2479" s="12" t="s">
        <v>571</v>
      </c>
      <c r="N2479" s="13">
        <f t="shared" si="61"/>
        <v>3</v>
      </c>
    </row>
    <row r="2480" spans="1:14">
      <c r="A2480" s="12">
        <v>2479</v>
      </c>
      <c r="B2480" s="1" t="s">
        <v>2040</v>
      </c>
      <c r="C2480" s="42" t="s">
        <v>2041</v>
      </c>
      <c r="D2480" s="42" t="s">
        <v>3701</v>
      </c>
      <c r="E2480" s="42" t="s">
        <v>3702</v>
      </c>
      <c r="F2480" s="4">
        <v>736</v>
      </c>
      <c r="G2480" s="47" t="s">
        <v>570</v>
      </c>
      <c r="H2480" s="12">
        <v>998346</v>
      </c>
      <c r="I2480" s="4">
        <v>0</v>
      </c>
      <c r="J2480" s="4">
        <v>0</v>
      </c>
      <c r="K2480" s="4">
        <v>108</v>
      </c>
      <c r="L2480" s="4">
        <v>0</v>
      </c>
      <c r="M2480" s="12" t="s">
        <v>571</v>
      </c>
      <c r="N2480" s="13">
        <f t="shared" si="61"/>
        <v>108</v>
      </c>
    </row>
    <row r="2481" spans="1:14">
      <c r="A2481" s="12">
        <v>2480</v>
      </c>
      <c r="B2481" s="1" t="s">
        <v>2040</v>
      </c>
      <c r="C2481" s="42" t="s">
        <v>2041</v>
      </c>
      <c r="D2481" s="42" t="s">
        <v>3703</v>
      </c>
      <c r="E2481" s="42" t="s">
        <v>3694</v>
      </c>
      <c r="F2481" s="4">
        <v>736</v>
      </c>
      <c r="G2481" s="47" t="s">
        <v>570</v>
      </c>
      <c r="H2481" s="12">
        <v>998346</v>
      </c>
      <c r="I2481" s="4">
        <v>0</v>
      </c>
      <c r="J2481" s="4">
        <v>0</v>
      </c>
      <c r="K2481" s="4">
        <v>3</v>
      </c>
      <c r="L2481" s="4">
        <v>0</v>
      </c>
      <c r="M2481" s="12" t="s">
        <v>571</v>
      </c>
      <c r="N2481" s="13">
        <f t="shared" si="61"/>
        <v>3</v>
      </c>
    </row>
    <row r="2482" spans="1:14">
      <c r="A2482" s="12">
        <v>2481</v>
      </c>
      <c r="B2482" s="1" t="s">
        <v>2040</v>
      </c>
      <c r="C2482" s="42" t="s">
        <v>2041</v>
      </c>
      <c r="D2482" s="42" t="s">
        <v>3703</v>
      </c>
      <c r="E2482" s="42" t="s">
        <v>3694</v>
      </c>
      <c r="F2482" s="4">
        <v>736</v>
      </c>
      <c r="G2482" s="47" t="s">
        <v>570</v>
      </c>
      <c r="H2482" s="12">
        <v>998346</v>
      </c>
      <c r="I2482" s="4">
        <v>0</v>
      </c>
      <c r="J2482" s="4">
        <v>0</v>
      </c>
      <c r="K2482" s="4">
        <v>108</v>
      </c>
      <c r="L2482" s="4">
        <v>0</v>
      </c>
      <c r="M2482" s="12" t="s">
        <v>571</v>
      </c>
      <c r="N2482" s="13">
        <f t="shared" si="61"/>
        <v>108</v>
      </c>
    </row>
    <row r="2483" spans="1:14">
      <c r="A2483" s="12">
        <v>2482</v>
      </c>
      <c r="B2483" s="1" t="s">
        <v>3704</v>
      </c>
      <c r="C2483" s="42" t="s">
        <v>3705</v>
      </c>
      <c r="D2483" s="42" t="s">
        <v>3706</v>
      </c>
      <c r="E2483" s="42" t="s">
        <v>3698</v>
      </c>
      <c r="F2483" s="4">
        <v>78540</v>
      </c>
      <c r="G2483" s="47" t="s">
        <v>60</v>
      </c>
      <c r="H2483" s="12" t="s">
        <v>1700</v>
      </c>
      <c r="I2483" s="4">
        <v>0</v>
      </c>
      <c r="J2483" s="4">
        <v>0</v>
      </c>
      <c r="K2483" s="4">
        <v>3740</v>
      </c>
      <c r="L2483" s="4">
        <v>0</v>
      </c>
      <c r="M2483" s="12" t="s">
        <v>571</v>
      </c>
      <c r="N2483" s="13">
        <f t="shared" si="61"/>
        <v>3740</v>
      </c>
    </row>
    <row r="2484" spans="1:14">
      <c r="A2484" s="12">
        <v>2483</v>
      </c>
      <c r="B2484" s="1" t="s">
        <v>3704</v>
      </c>
      <c r="C2484" s="42" t="s">
        <v>3705</v>
      </c>
      <c r="D2484" s="42" t="s">
        <v>3707</v>
      </c>
      <c r="E2484" s="42" t="s">
        <v>3708</v>
      </c>
      <c r="F2484" s="4">
        <v>19058</v>
      </c>
      <c r="G2484" s="47" t="s">
        <v>60</v>
      </c>
      <c r="H2484" s="12" t="s">
        <v>1700</v>
      </c>
      <c r="I2484" s="4">
        <v>0</v>
      </c>
      <c r="J2484" s="4">
        <v>0</v>
      </c>
      <c r="K2484" s="4">
        <v>907.5</v>
      </c>
      <c r="L2484" s="4">
        <v>0</v>
      </c>
      <c r="M2484" s="12" t="s">
        <v>571</v>
      </c>
      <c r="N2484" s="13">
        <f t="shared" si="61"/>
        <v>907.5</v>
      </c>
    </row>
    <row r="2485" spans="1:14">
      <c r="A2485" s="12">
        <v>2484</v>
      </c>
      <c r="B2485" s="1" t="s">
        <v>3709</v>
      </c>
      <c r="C2485" s="42" t="s">
        <v>593</v>
      </c>
      <c r="D2485" s="42" t="s">
        <v>3710</v>
      </c>
      <c r="E2485" s="42" t="s">
        <v>3690</v>
      </c>
      <c r="F2485" s="4">
        <v>277</v>
      </c>
      <c r="G2485" s="47" t="s">
        <v>1772</v>
      </c>
      <c r="H2485" s="12">
        <v>4202</v>
      </c>
      <c r="I2485" s="4">
        <v>0</v>
      </c>
      <c r="J2485" s="4">
        <v>0</v>
      </c>
      <c r="K2485" s="4">
        <v>27</v>
      </c>
      <c r="L2485" s="4">
        <v>0</v>
      </c>
      <c r="M2485" s="12" t="s">
        <v>571</v>
      </c>
      <c r="N2485" s="13">
        <f t="shared" si="61"/>
        <v>27</v>
      </c>
    </row>
    <row r="2486" spans="1:14">
      <c r="A2486" s="12">
        <v>2485</v>
      </c>
      <c r="B2486" s="1" t="s">
        <v>3709</v>
      </c>
      <c r="C2486" s="42" t="s">
        <v>593</v>
      </c>
      <c r="D2486" s="42" t="s">
        <v>3710</v>
      </c>
      <c r="E2486" s="42" t="s">
        <v>3690</v>
      </c>
      <c r="F2486" s="4">
        <v>277</v>
      </c>
      <c r="G2486" s="47" t="s">
        <v>1772</v>
      </c>
      <c r="H2486" s="12">
        <v>4202</v>
      </c>
      <c r="I2486" s="4">
        <v>0</v>
      </c>
      <c r="J2486" s="4">
        <v>0</v>
      </c>
      <c r="K2486" s="4">
        <v>10.71</v>
      </c>
      <c r="L2486" s="4">
        <v>0</v>
      </c>
      <c r="M2486" s="12" t="s">
        <v>571</v>
      </c>
      <c r="N2486" s="13">
        <f t="shared" si="61"/>
        <v>10.71</v>
      </c>
    </row>
    <row r="2487" spans="1:14">
      <c r="A2487" s="12">
        <v>2486</v>
      </c>
      <c r="B2487" s="1" t="s">
        <v>3391</v>
      </c>
      <c r="C2487" s="42" t="s">
        <v>3392</v>
      </c>
      <c r="D2487" s="42" t="s">
        <v>3711</v>
      </c>
      <c r="E2487" s="42" t="s">
        <v>527</v>
      </c>
      <c r="F2487" s="4">
        <v>1744.6</v>
      </c>
      <c r="G2487" s="47" t="s">
        <v>570</v>
      </c>
      <c r="H2487" s="12" t="s">
        <v>847</v>
      </c>
      <c r="I2487" s="4">
        <v>96.3</v>
      </c>
      <c r="J2487" s="4">
        <v>96.3</v>
      </c>
      <c r="K2487" s="4">
        <v>0</v>
      </c>
      <c r="L2487" s="4">
        <v>0</v>
      </c>
      <c r="M2487" s="12" t="s">
        <v>571</v>
      </c>
      <c r="N2487" s="13">
        <f t="shared" si="61"/>
        <v>192.6</v>
      </c>
    </row>
    <row r="2488" spans="1:14">
      <c r="A2488" s="12">
        <v>2487</v>
      </c>
      <c r="B2488" s="1" t="s">
        <v>2082</v>
      </c>
      <c r="C2488" s="42" t="s">
        <v>2083</v>
      </c>
      <c r="D2488" s="42" t="s">
        <v>3712</v>
      </c>
      <c r="E2488" s="42" t="s">
        <v>3713</v>
      </c>
      <c r="F2488" s="4">
        <v>27648</v>
      </c>
      <c r="G2488" s="47" t="s">
        <v>60</v>
      </c>
      <c r="H2488" s="12" t="s">
        <v>1792</v>
      </c>
      <c r="I2488" s="4">
        <v>658.29</v>
      </c>
      <c r="J2488" s="4">
        <v>658.29</v>
      </c>
      <c r="K2488" s="4">
        <v>0</v>
      </c>
      <c r="L2488" s="4">
        <v>0</v>
      </c>
      <c r="M2488" s="12" t="s">
        <v>571</v>
      </c>
      <c r="N2488" s="13">
        <f t="shared" si="61"/>
        <v>1316.58</v>
      </c>
    </row>
    <row r="2489" spans="1:14">
      <c r="A2489" s="12">
        <v>2488</v>
      </c>
      <c r="B2489" s="1" t="s">
        <v>1802</v>
      </c>
      <c r="C2489" s="42" t="s">
        <v>1803</v>
      </c>
      <c r="D2489" s="42" t="s">
        <v>3714</v>
      </c>
      <c r="E2489" s="42" t="s">
        <v>3715</v>
      </c>
      <c r="F2489" s="4">
        <v>11025</v>
      </c>
      <c r="G2489" s="47" t="s">
        <v>60</v>
      </c>
      <c r="H2489" s="12" t="s">
        <v>1792</v>
      </c>
      <c r="I2489" s="4">
        <v>0</v>
      </c>
      <c r="J2489" s="4">
        <v>0</v>
      </c>
      <c r="K2489" s="4">
        <v>525</v>
      </c>
      <c r="L2489" s="4">
        <v>0</v>
      </c>
      <c r="M2489" s="12" t="s">
        <v>571</v>
      </c>
      <c r="N2489" s="13">
        <f t="shared" si="61"/>
        <v>525</v>
      </c>
    </row>
    <row r="2490" spans="1:14">
      <c r="A2490" s="12">
        <v>2489</v>
      </c>
      <c r="B2490" s="1" t="s">
        <v>1802</v>
      </c>
      <c r="C2490" s="42" t="s">
        <v>1803</v>
      </c>
      <c r="D2490" s="42" t="s">
        <v>3716</v>
      </c>
      <c r="E2490" s="42" t="s">
        <v>3715</v>
      </c>
      <c r="F2490" s="4">
        <v>14000</v>
      </c>
      <c r="G2490" s="47" t="s">
        <v>60</v>
      </c>
      <c r="H2490" s="12" t="s">
        <v>1806</v>
      </c>
      <c r="I2490" s="4">
        <v>0</v>
      </c>
      <c r="J2490" s="4">
        <v>0</v>
      </c>
      <c r="K2490" s="4">
        <v>1500</v>
      </c>
      <c r="L2490" s="4">
        <v>0</v>
      </c>
      <c r="M2490" s="12" t="s">
        <v>571</v>
      </c>
      <c r="N2490" s="13">
        <f t="shared" si="61"/>
        <v>1500</v>
      </c>
    </row>
    <row r="2491" spans="1:14">
      <c r="A2491" s="12">
        <v>2490</v>
      </c>
      <c r="B2491" s="1" t="s">
        <v>1802</v>
      </c>
      <c r="C2491" s="42" t="s">
        <v>1803</v>
      </c>
      <c r="D2491" s="42" t="s">
        <v>3717</v>
      </c>
      <c r="E2491" s="42" t="s">
        <v>3698</v>
      </c>
      <c r="F2491" s="4">
        <v>14000</v>
      </c>
      <c r="G2491" s="47" t="s">
        <v>60</v>
      </c>
      <c r="H2491" s="12" t="s">
        <v>1806</v>
      </c>
      <c r="I2491" s="4">
        <v>0</v>
      </c>
      <c r="J2491" s="4">
        <v>0</v>
      </c>
      <c r="K2491" s="4">
        <v>1500</v>
      </c>
      <c r="L2491" s="4">
        <v>0</v>
      </c>
      <c r="M2491" s="12" t="s">
        <v>571</v>
      </c>
      <c r="N2491" s="13">
        <f t="shared" si="61"/>
        <v>1500</v>
      </c>
    </row>
    <row r="2492" spans="1:14">
      <c r="A2492" s="12">
        <v>2491</v>
      </c>
      <c r="B2492" s="1" t="s">
        <v>1802</v>
      </c>
      <c r="C2492" s="42" t="s">
        <v>1803</v>
      </c>
      <c r="D2492" s="42" t="s">
        <v>3718</v>
      </c>
      <c r="E2492" s="42" t="s">
        <v>3698</v>
      </c>
      <c r="F2492" s="4">
        <v>11025</v>
      </c>
      <c r="G2492" s="47" t="s">
        <v>60</v>
      </c>
      <c r="H2492" s="12" t="s">
        <v>1806</v>
      </c>
      <c r="I2492" s="4">
        <v>0</v>
      </c>
      <c r="J2492" s="4">
        <v>0</v>
      </c>
      <c r="K2492" s="4">
        <v>525</v>
      </c>
      <c r="L2492" s="4">
        <v>0</v>
      </c>
      <c r="M2492" s="12" t="s">
        <v>571</v>
      </c>
      <c r="N2492" s="13">
        <f t="shared" si="61"/>
        <v>525</v>
      </c>
    </row>
    <row r="2493" spans="1:14">
      <c r="A2493" s="12">
        <v>2492</v>
      </c>
      <c r="B2493" s="1" t="s">
        <v>1802</v>
      </c>
      <c r="C2493" s="42" t="s">
        <v>1803</v>
      </c>
      <c r="D2493" s="42" t="s">
        <v>3719</v>
      </c>
      <c r="E2493" s="42" t="s">
        <v>3720</v>
      </c>
      <c r="F2493" s="4">
        <v>7000</v>
      </c>
      <c r="G2493" s="47" t="s">
        <v>60</v>
      </c>
      <c r="H2493" s="12">
        <v>2006</v>
      </c>
      <c r="I2493" s="4">
        <v>0</v>
      </c>
      <c r="J2493" s="4">
        <v>0</v>
      </c>
      <c r="K2493" s="4">
        <v>750</v>
      </c>
      <c r="L2493" s="4">
        <v>0</v>
      </c>
      <c r="M2493" s="12" t="s">
        <v>571</v>
      </c>
      <c r="N2493" s="13">
        <f t="shared" si="61"/>
        <v>750</v>
      </c>
    </row>
    <row r="2494" spans="1:14">
      <c r="A2494" s="12">
        <v>2493</v>
      </c>
      <c r="B2494" s="1" t="s">
        <v>1802</v>
      </c>
      <c r="C2494" s="42" t="s">
        <v>1803</v>
      </c>
      <c r="D2494" s="42" t="s">
        <v>3721</v>
      </c>
      <c r="E2494" s="42" t="s">
        <v>3720</v>
      </c>
      <c r="F2494" s="4">
        <v>8463</v>
      </c>
      <c r="G2494" s="47" t="s">
        <v>60</v>
      </c>
      <c r="H2494" s="12" t="s">
        <v>1641</v>
      </c>
      <c r="I2494" s="4">
        <v>0</v>
      </c>
      <c r="J2494" s="4">
        <v>0</v>
      </c>
      <c r="K2494" s="4">
        <v>403</v>
      </c>
      <c r="L2494" s="4">
        <v>0</v>
      </c>
      <c r="M2494" s="12" t="s">
        <v>571</v>
      </c>
      <c r="N2494" s="13">
        <f t="shared" si="61"/>
        <v>403</v>
      </c>
    </row>
    <row r="2495" spans="1:14">
      <c r="A2495" s="12">
        <v>2494</v>
      </c>
      <c r="B2495" s="1" t="s">
        <v>557</v>
      </c>
      <c r="C2495" s="42" t="s">
        <v>558</v>
      </c>
      <c r="D2495" s="42" t="s">
        <v>3722</v>
      </c>
      <c r="E2495" s="42" t="s">
        <v>519</v>
      </c>
      <c r="F2495" s="4">
        <v>692.27</v>
      </c>
      <c r="G2495" s="47" t="s">
        <v>570</v>
      </c>
      <c r="H2495" s="12">
        <v>998361</v>
      </c>
      <c r="I2495" s="4">
        <v>0</v>
      </c>
      <c r="J2495" s="4">
        <v>0</v>
      </c>
      <c r="K2495" s="4">
        <v>105.6</v>
      </c>
      <c r="L2495" s="4">
        <v>0</v>
      </c>
      <c r="M2495" s="12" t="s">
        <v>571</v>
      </c>
      <c r="N2495" s="13">
        <f t="shared" si="61"/>
        <v>105.6</v>
      </c>
    </row>
    <row r="2496" spans="1:14">
      <c r="A2496" s="12">
        <v>2495</v>
      </c>
      <c r="B2496" s="1" t="s">
        <v>557</v>
      </c>
      <c r="C2496" s="42" t="s">
        <v>558</v>
      </c>
      <c r="D2496" s="42" t="s">
        <v>3723</v>
      </c>
      <c r="E2496" s="42" t="s">
        <v>3684</v>
      </c>
      <c r="F2496" s="4">
        <v>656.54</v>
      </c>
      <c r="G2496" s="47" t="s">
        <v>570</v>
      </c>
      <c r="H2496" s="12">
        <v>998361</v>
      </c>
      <c r="I2496" s="4">
        <v>0</v>
      </c>
      <c r="J2496" s="4">
        <v>0</v>
      </c>
      <c r="K2496" s="4">
        <v>100.15</v>
      </c>
      <c r="L2496" s="4">
        <v>0</v>
      </c>
      <c r="M2496" s="12" t="s">
        <v>571</v>
      </c>
      <c r="N2496" s="13">
        <f t="shared" si="61"/>
        <v>100.15</v>
      </c>
    </row>
    <row r="2497" spans="1:14">
      <c r="A2497" s="12">
        <v>2496</v>
      </c>
      <c r="B2497" s="1" t="s">
        <v>557</v>
      </c>
      <c r="C2497" s="42" t="s">
        <v>558</v>
      </c>
      <c r="D2497" s="42" t="s">
        <v>3724</v>
      </c>
      <c r="E2497" s="42" t="s">
        <v>3725</v>
      </c>
      <c r="F2497" s="4">
        <v>730.27</v>
      </c>
      <c r="G2497" s="47" t="s">
        <v>570</v>
      </c>
      <c r="H2497" s="12">
        <v>998361</v>
      </c>
      <c r="I2497" s="4">
        <v>0</v>
      </c>
      <c r="J2497" s="4">
        <v>0</v>
      </c>
      <c r="K2497" s="4">
        <v>111.4</v>
      </c>
      <c r="L2497" s="4">
        <v>0</v>
      </c>
      <c r="M2497" s="12" t="s">
        <v>571</v>
      </c>
      <c r="N2497" s="13">
        <f t="shared" si="61"/>
        <v>111.4</v>
      </c>
    </row>
    <row r="2498" spans="1:14">
      <c r="A2498" s="12">
        <v>2497</v>
      </c>
      <c r="B2498" s="1" t="s">
        <v>557</v>
      </c>
      <c r="C2498" s="42" t="s">
        <v>558</v>
      </c>
      <c r="D2498" s="42" t="s">
        <v>3726</v>
      </c>
      <c r="E2498" s="42" t="s">
        <v>3727</v>
      </c>
      <c r="F2498" s="4">
        <v>714.28</v>
      </c>
      <c r="G2498" s="47" t="s">
        <v>570</v>
      </c>
      <c r="H2498" s="12">
        <v>998361</v>
      </c>
      <c r="I2498" s="4">
        <v>0</v>
      </c>
      <c r="J2498" s="4">
        <v>0</v>
      </c>
      <c r="K2498" s="4">
        <v>108.96</v>
      </c>
      <c r="L2498" s="4">
        <v>0</v>
      </c>
      <c r="M2498" s="12" t="s">
        <v>571</v>
      </c>
      <c r="N2498" s="13">
        <f t="shared" si="61"/>
        <v>108.96</v>
      </c>
    </row>
    <row r="2499" spans="1:14">
      <c r="A2499" s="12">
        <v>2498</v>
      </c>
      <c r="B2499" s="1" t="s">
        <v>557</v>
      </c>
      <c r="C2499" s="42" t="s">
        <v>558</v>
      </c>
      <c r="D2499" s="42" t="s">
        <v>3728</v>
      </c>
      <c r="E2499" s="42" t="s">
        <v>3729</v>
      </c>
      <c r="F2499" s="4">
        <v>700.59</v>
      </c>
      <c r="G2499" s="47" t="s">
        <v>570</v>
      </c>
      <c r="H2499" s="12">
        <v>998361</v>
      </c>
      <c r="I2499" s="4">
        <v>0</v>
      </c>
      <c r="J2499" s="4">
        <v>0</v>
      </c>
      <c r="K2499" s="4">
        <v>106.87</v>
      </c>
      <c r="L2499" s="4">
        <v>0</v>
      </c>
      <c r="M2499" s="12" t="s">
        <v>571</v>
      </c>
      <c r="N2499" s="13">
        <f t="shared" si="61"/>
        <v>106.87</v>
      </c>
    </row>
    <row r="2500" spans="1:14">
      <c r="A2500" s="12">
        <v>2499</v>
      </c>
      <c r="B2500" s="1" t="s">
        <v>557</v>
      </c>
      <c r="C2500" s="42" t="s">
        <v>558</v>
      </c>
      <c r="D2500" s="42" t="s">
        <v>3730</v>
      </c>
      <c r="E2500" s="42" t="s">
        <v>3731</v>
      </c>
      <c r="F2500" s="4">
        <v>711.04</v>
      </c>
      <c r="G2500" s="47" t="s">
        <v>570</v>
      </c>
      <c r="H2500" s="12">
        <v>998361</v>
      </c>
      <c r="I2500" s="4">
        <v>0</v>
      </c>
      <c r="J2500" s="4">
        <v>0</v>
      </c>
      <c r="K2500" s="4">
        <v>108.46</v>
      </c>
      <c r="L2500" s="4">
        <v>0</v>
      </c>
      <c r="M2500" s="12" t="s">
        <v>571</v>
      </c>
      <c r="N2500" s="13">
        <f t="shared" si="61"/>
        <v>108.46</v>
      </c>
    </row>
    <row r="2501" spans="1:14">
      <c r="A2501" s="12">
        <v>2500</v>
      </c>
      <c r="B2501" s="1" t="s">
        <v>557</v>
      </c>
      <c r="C2501" s="42" t="s">
        <v>558</v>
      </c>
      <c r="D2501" s="42" t="s">
        <v>3732</v>
      </c>
      <c r="E2501" s="42" t="s">
        <v>3715</v>
      </c>
      <c r="F2501" s="4">
        <v>717.03</v>
      </c>
      <c r="G2501" s="47" t="s">
        <v>570</v>
      </c>
      <c r="H2501" s="12">
        <v>998361</v>
      </c>
      <c r="I2501" s="4">
        <v>0</v>
      </c>
      <c r="J2501" s="4">
        <v>0</v>
      </c>
      <c r="K2501" s="4">
        <v>109.38</v>
      </c>
      <c r="L2501" s="4">
        <v>0</v>
      </c>
      <c r="M2501" s="12" t="s">
        <v>571</v>
      </c>
      <c r="N2501" s="13">
        <f t="shared" si="61"/>
        <v>109.38</v>
      </c>
    </row>
    <row r="2502" spans="1:14">
      <c r="A2502" s="12">
        <v>2501</v>
      </c>
      <c r="B2502" s="1" t="s">
        <v>557</v>
      </c>
      <c r="C2502" s="42" t="s">
        <v>558</v>
      </c>
      <c r="D2502" s="42" t="s">
        <v>3733</v>
      </c>
      <c r="E2502" s="42" t="s">
        <v>3734</v>
      </c>
      <c r="F2502" s="4">
        <v>694.03</v>
      </c>
      <c r="G2502" s="47" t="s">
        <v>570</v>
      </c>
      <c r="H2502" s="12">
        <v>998361</v>
      </c>
      <c r="I2502" s="4">
        <v>0</v>
      </c>
      <c r="J2502" s="4">
        <v>0</v>
      </c>
      <c r="K2502" s="4">
        <v>105.87</v>
      </c>
      <c r="L2502" s="4">
        <v>0</v>
      </c>
      <c r="M2502" s="12" t="s">
        <v>571</v>
      </c>
      <c r="N2502" s="13">
        <f t="shared" si="61"/>
        <v>105.87</v>
      </c>
    </row>
    <row r="2503" spans="1:14">
      <c r="A2503" s="12">
        <v>2502</v>
      </c>
      <c r="B2503" s="1" t="s">
        <v>557</v>
      </c>
      <c r="C2503" s="42" t="s">
        <v>558</v>
      </c>
      <c r="D2503" s="42" t="s">
        <v>3735</v>
      </c>
      <c r="E2503" s="42" t="s">
        <v>3736</v>
      </c>
      <c r="F2503" s="4">
        <v>1.86</v>
      </c>
      <c r="G2503" s="47" t="s">
        <v>570</v>
      </c>
      <c r="H2503" s="12">
        <v>998361</v>
      </c>
      <c r="I2503" s="4">
        <v>0</v>
      </c>
      <c r="J2503" s="4">
        <v>0</v>
      </c>
      <c r="K2503" s="4">
        <v>0.28000000000000003</v>
      </c>
      <c r="L2503" s="4">
        <v>0</v>
      </c>
      <c r="M2503" s="12" t="s">
        <v>571</v>
      </c>
      <c r="N2503" s="13">
        <f t="shared" si="61"/>
        <v>0.28000000000000003</v>
      </c>
    </row>
    <row r="2504" spans="1:14">
      <c r="A2504" s="12">
        <v>2503</v>
      </c>
      <c r="B2504" s="1" t="s">
        <v>557</v>
      </c>
      <c r="C2504" s="42" t="s">
        <v>558</v>
      </c>
      <c r="D2504" s="42" t="s">
        <v>3737</v>
      </c>
      <c r="E2504" s="42" t="s">
        <v>3736</v>
      </c>
      <c r="F2504" s="4">
        <v>686.9</v>
      </c>
      <c r="G2504" s="47" t="s">
        <v>570</v>
      </c>
      <c r="H2504" s="12">
        <v>998361</v>
      </c>
      <c r="I2504" s="4">
        <v>0</v>
      </c>
      <c r="J2504" s="4">
        <v>0</v>
      </c>
      <c r="K2504" s="4">
        <v>104.78</v>
      </c>
      <c r="L2504" s="4">
        <v>0</v>
      </c>
      <c r="M2504" s="12" t="s">
        <v>571</v>
      </c>
      <c r="N2504" s="13">
        <f t="shared" si="61"/>
        <v>104.78</v>
      </c>
    </row>
    <row r="2505" spans="1:14">
      <c r="A2505" s="12">
        <v>2504</v>
      </c>
      <c r="B2505" s="1" t="s">
        <v>557</v>
      </c>
      <c r="C2505" s="42" t="s">
        <v>558</v>
      </c>
      <c r="D2505" s="42" t="s">
        <v>3738</v>
      </c>
      <c r="E2505" s="42" t="s">
        <v>3739</v>
      </c>
      <c r="F2505" s="4">
        <v>713.19</v>
      </c>
      <c r="G2505" s="47" t="s">
        <v>570</v>
      </c>
      <c r="H2505" s="12">
        <v>998361</v>
      </c>
      <c r="I2505" s="4">
        <v>0</v>
      </c>
      <c r="J2505" s="4">
        <v>0</v>
      </c>
      <c r="K2505" s="4">
        <v>108.79</v>
      </c>
      <c r="L2505" s="4">
        <v>0</v>
      </c>
      <c r="M2505" s="12" t="s">
        <v>571</v>
      </c>
      <c r="N2505" s="13">
        <f t="shared" si="61"/>
        <v>108.79</v>
      </c>
    </row>
    <row r="2506" spans="1:14">
      <c r="A2506" s="12">
        <v>2505</v>
      </c>
      <c r="B2506" s="1" t="s">
        <v>557</v>
      </c>
      <c r="C2506" s="42" t="s">
        <v>558</v>
      </c>
      <c r="D2506" s="42" t="s">
        <v>3740</v>
      </c>
      <c r="E2506" s="42" t="s">
        <v>3741</v>
      </c>
      <c r="F2506" s="4">
        <v>4.84</v>
      </c>
      <c r="G2506" s="47" t="s">
        <v>570</v>
      </c>
      <c r="H2506" s="12">
        <v>998361</v>
      </c>
      <c r="I2506" s="4">
        <v>0</v>
      </c>
      <c r="J2506" s="4">
        <v>0</v>
      </c>
      <c r="K2506" s="4">
        <v>0.74</v>
      </c>
      <c r="L2506" s="4">
        <v>0</v>
      </c>
      <c r="M2506" s="12" t="s">
        <v>571</v>
      </c>
      <c r="N2506" s="13">
        <f t="shared" si="61"/>
        <v>0.74</v>
      </c>
    </row>
    <row r="2507" spans="1:14">
      <c r="A2507" s="12">
        <v>2506</v>
      </c>
      <c r="B2507" s="1" t="s">
        <v>1820</v>
      </c>
      <c r="C2507" s="42" t="s">
        <v>1821</v>
      </c>
      <c r="D2507" s="42" t="s">
        <v>3742</v>
      </c>
      <c r="E2507" s="42" t="s">
        <v>3713</v>
      </c>
      <c r="F2507" s="4">
        <v>61551</v>
      </c>
      <c r="G2507" s="47" t="s">
        <v>60</v>
      </c>
      <c r="H2507" s="12" t="s">
        <v>1806</v>
      </c>
      <c r="I2507" s="4">
        <v>0</v>
      </c>
      <c r="J2507" s="4">
        <v>0</v>
      </c>
      <c r="K2507" s="4">
        <v>2931</v>
      </c>
      <c r="L2507" s="4">
        <v>0</v>
      </c>
      <c r="M2507" s="12" t="s">
        <v>571</v>
      </c>
      <c r="N2507" s="13">
        <f t="shared" si="61"/>
        <v>2931</v>
      </c>
    </row>
    <row r="2508" spans="1:14">
      <c r="A2508" s="12">
        <v>2507</v>
      </c>
      <c r="B2508" s="1" t="s">
        <v>1820</v>
      </c>
      <c r="C2508" s="42" t="s">
        <v>1821</v>
      </c>
      <c r="D2508" s="42" t="s">
        <v>3743</v>
      </c>
      <c r="E2508" s="42" t="s">
        <v>3698</v>
      </c>
      <c r="F2508" s="4">
        <v>45686</v>
      </c>
      <c r="G2508" s="47" t="s">
        <v>60</v>
      </c>
      <c r="H2508" s="12">
        <v>1211</v>
      </c>
      <c r="I2508" s="4">
        <v>0</v>
      </c>
      <c r="J2508" s="4">
        <v>0</v>
      </c>
      <c r="K2508" s="4">
        <v>2175.5</v>
      </c>
      <c r="L2508" s="4">
        <v>0</v>
      </c>
      <c r="M2508" s="12" t="s">
        <v>571</v>
      </c>
      <c r="N2508" s="13">
        <f t="shared" si="61"/>
        <v>2175.5</v>
      </c>
    </row>
    <row r="2509" spans="1:14">
      <c r="A2509" s="12">
        <v>2508</v>
      </c>
      <c r="B2509" s="1" t="s">
        <v>1820</v>
      </c>
      <c r="C2509" s="42" t="s">
        <v>1821</v>
      </c>
      <c r="D2509" s="42" t="s">
        <v>3744</v>
      </c>
      <c r="E2509" s="42" t="s">
        <v>3690</v>
      </c>
      <c r="F2509" s="4">
        <v>99708</v>
      </c>
      <c r="G2509" s="47" t="s">
        <v>60</v>
      </c>
      <c r="H2509" s="12">
        <v>1211</v>
      </c>
      <c r="I2509" s="4">
        <v>0</v>
      </c>
      <c r="J2509" s="4">
        <v>0</v>
      </c>
      <c r="K2509" s="4">
        <v>4748</v>
      </c>
      <c r="L2509" s="4">
        <v>0</v>
      </c>
      <c r="M2509" s="12" t="s">
        <v>571</v>
      </c>
      <c r="N2509" s="13">
        <f t="shared" si="61"/>
        <v>4748</v>
      </c>
    </row>
    <row r="2510" spans="1:14">
      <c r="A2510" s="12">
        <v>2509</v>
      </c>
      <c r="B2510" s="1" t="s">
        <v>1820</v>
      </c>
      <c r="C2510" s="42" t="s">
        <v>1821</v>
      </c>
      <c r="D2510" s="42" t="s">
        <v>3745</v>
      </c>
      <c r="E2510" s="42" t="s">
        <v>3684</v>
      </c>
      <c r="F2510" s="4">
        <v>32482</v>
      </c>
      <c r="G2510" s="47" t="s">
        <v>60</v>
      </c>
      <c r="H2510" s="12" t="s">
        <v>1806</v>
      </c>
      <c r="I2510" s="4">
        <v>0</v>
      </c>
      <c r="J2510" s="4">
        <v>0</v>
      </c>
      <c r="K2510" s="4">
        <v>1546.75</v>
      </c>
      <c r="L2510" s="4">
        <v>0</v>
      </c>
      <c r="M2510" s="12" t="s">
        <v>571</v>
      </c>
      <c r="N2510" s="13">
        <f t="shared" si="61"/>
        <v>1546.75</v>
      </c>
    </row>
    <row r="2511" spans="1:14">
      <c r="A2511" s="12">
        <v>2510</v>
      </c>
      <c r="B2511" s="1" t="s">
        <v>3227</v>
      </c>
      <c r="C2511" s="42" t="s">
        <v>3228</v>
      </c>
      <c r="D2511" s="42" t="s">
        <v>3746</v>
      </c>
      <c r="E2511" s="42" t="s">
        <v>519</v>
      </c>
      <c r="F2511" s="4">
        <v>15340</v>
      </c>
      <c r="G2511" s="47" t="s">
        <v>570</v>
      </c>
      <c r="H2511" s="12">
        <v>998383</v>
      </c>
      <c r="I2511" s="4">
        <v>1170</v>
      </c>
      <c r="J2511" s="4">
        <v>1170</v>
      </c>
      <c r="K2511" s="4">
        <v>0</v>
      </c>
      <c r="L2511" s="4">
        <v>0</v>
      </c>
      <c r="M2511" s="12" t="s">
        <v>571</v>
      </c>
      <c r="N2511" s="13">
        <f t="shared" si="61"/>
        <v>2340</v>
      </c>
    </row>
    <row r="2512" spans="1:14">
      <c r="A2512" s="12">
        <v>2511</v>
      </c>
      <c r="B2512" s="1" t="s">
        <v>2020</v>
      </c>
      <c r="C2512" s="42" t="s">
        <v>2021</v>
      </c>
      <c r="D2512" s="42" t="s">
        <v>3747</v>
      </c>
      <c r="E2512" s="42" t="s">
        <v>492</v>
      </c>
      <c r="F2512" s="4">
        <v>123.54</v>
      </c>
      <c r="G2512" s="47" t="s">
        <v>570</v>
      </c>
      <c r="H2512" s="12">
        <v>998311</v>
      </c>
      <c r="I2512" s="4">
        <v>9.42</v>
      </c>
      <c r="J2512" s="4">
        <v>9.42</v>
      </c>
      <c r="K2512" s="4">
        <v>0</v>
      </c>
      <c r="L2512" s="4">
        <v>0</v>
      </c>
      <c r="M2512" s="12" t="s">
        <v>571</v>
      </c>
      <c r="N2512" s="13">
        <f t="shared" si="61"/>
        <v>18.84</v>
      </c>
    </row>
    <row r="2513" spans="1:14">
      <c r="A2513" s="12">
        <v>2512</v>
      </c>
      <c r="B2513" s="1" t="s">
        <v>2964</v>
      </c>
      <c r="C2513" s="42" t="s">
        <v>2965</v>
      </c>
      <c r="D2513" s="42" t="s">
        <v>3748</v>
      </c>
      <c r="E2513" s="42" t="s">
        <v>3523</v>
      </c>
      <c r="F2513" s="4">
        <v>63036</v>
      </c>
      <c r="G2513" s="47" t="s">
        <v>570</v>
      </c>
      <c r="H2513" s="12">
        <v>998361</v>
      </c>
      <c r="I2513" s="4">
        <v>0</v>
      </c>
      <c r="J2513" s="4">
        <v>0</v>
      </c>
      <c r="K2513" s="4">
        <v>9616</v>
      </c>
      <c r="L2513" s="4">
        <v>0</v>
      </c>
      <c r="M2513" s="12" t="s">
        <v>571</v>
      </c>
      <c r="N2513" s="13">
        <f t="shared" si="61"/>
        <v>9616</v>
      </c>
    </row>
    <row r="2514" spans="1:14">
      <c r="A2514" s="12">
        <v>2513</v>
      </c>
      <c r="B2514" s="1" t="s">
        <v>1776</v>
      </c>
      <c r="C2514" s="42" t="s">
        <v>1777</v>
      </c>
      <c r="D2514" s="42" t="s">
        <v>3749</v>
      </c>
      <c r="E2514" s="42" t="s">
        <v>3729</v>
      </c>
      <c r="F2514" s="4">
        <v>4230.3</v>
      </c>
      <c r="G2514" s="47" t="s">
        <v>570</v>
      </c>
      <c r="H2514" s="12">
        <v>3923</v>
      </c>
      <c r="I2514" s="4">
        <v>322.64999999999998</v>
      </c>
      <c r="J2514" s="4">
        <v>322.64999999999998</v>
      </c>
      <c r="K2514" s="4">
        <v>0</v>
      </c>
      <c r="L2514" s="4">
        <v>0</v>
      </c>
      <c r="M2514" s="12" t="s">
        <v>571</v>
      </c>
      <c r="N2514" s="13">
        <f t="shared" si="61"/>
        <v>645.29999999999995</v>
      </c>
    </row>
    <row r="2515" spans="1:14">
      <c r="A2515" s="12">
        <v>2514</v>
      </c>
      <c r="B2515" s="1" t="s">
        <v>1776</v>
      </c>
      <c r="C2515" s="42" t="s">
        <v>1777</v>
      </c>
      <c r="D2515" s="42" t="s">
        <v>3750</v>
      </c>
      <c r="E2515" s="42" t="s">
        <v>3729</v>
      </c>
      <c r="F2515" s="4">
        <v>2719.9</v>
      </c>
      <c r="G2515" s="47" t="s">
        <v>570</v>
      </c>
      <c r="H2515" s="12">
        <v>3923</v>
      </c>
      <c r="I2515" s="4">
        <v>207.45</v>
      </c>
      <c r="J2515" s="4">
        <v>207.45</v>
      </c>
      <c r="K2515" s="4">
        <v>0</v>
      </c>
      <c r="L2515" s="4">
        <v>0</v>
      </c>
      <c r="M2515" s="12" t="s">
        <v>571</v>
      </c>
      <c r="N2515" s="13">
        <f t="shared" si="61"/>
        <v>414.9</v>
      </c>
    </row>
    <row r="2516" spans="1:14">
      <c r="A2516" s="12">
        <v>2515</v>
      </c>
      <c r="B2516" s="1" t="s">
        <v>1776</v>
      </c>
      <c r="C2516" s="42" t="s">
        <v>1777</v>
      </c>
      <c r="D2516" s="42" t="s">
        <v>3751</v>
      </c>
      <c r="E2516" s="42" t="s">
        <v>3729</v>
      </c>
      <c r="F2516" s="4">
        <v>2342.3000000000002</v>
      </c>
      <c r="G2516" s="47" t="s">
        <v>570</v>
      </c>
      <c r="H2516" s="12">
        <v>3923</v>
      </c>
      <c r="I2516" s="4">
        <v>178.65</v>
      </c>
      <c r="J2516" s="4">
        <v>178.65</v>
      </c>
      <c r="K2516" s="4">
        <v>0</v>
      </c>
      <c r="L2516" s="4">
        <v>0</v>
      </c>
      <c r="M2516" s="12" t="s">
        <v>571</v>
      </c>
      <c r="N2516" s="13">
        <f t="shared" si="61"/>
        <v>357.3</v>
      </c>
    </row>
    <row r="2517" spans="1:14">
      <c r="A2517" s="12">
        <v>2516</v>
      </c>
      <c r="B2517" s="1" t="s">
        <v>1776</v>
      </c>
      <c r="C2517" s="42" t="s">
        <v>1777</v>
      </c>
      <c r="D2517" s="42" t="s">
        <v>3752</v>
      </c>
      <c r="E2517" s="42" t="s">
        <v>3729</v>
      </c>
      <c r="F2517" s="4">
        <v>5062.2</v>
      </c>
      <c r="G2517" s="47" t="s">
        <v>570</v>
      </c>
      <c r="H2517" s="12">
        <v>3923</v>
      </c>
      <c r="I2517" s="4">
        <v>386.1</v>
      </c>
      <c r="J2517" s="4">
        <v>386.1</v>
      </c>
      <c r="K2517" s="4">
        <v>0</v>
      </c>
      <c r="L2517" s="4">
        <v>0</v>
      </c>
      <c r="M2517" s="12" t="s">
        <v>571</v>
      </c>
      <c r="N2517" s="13">
        <f t="shared" si="61"/>
        <v>772.2</v>
      </c>
    </row>
    <row r="2518" spans="1:14">
      <c r="A2518" s="12">
        <v>2517</v>
      </c>
      <c r="B2518" s="1" t="s">
        <v>1776</v>
      </c>
      <c r="C2518" s="42" t="s">
        <v>1777</v>
      </c>
      <c r="D2518" s="42" t="s">
        <v>3753</v>
      </c>
      <c r="E2518" s="42" t="s">
        <v>527</v>
      </c>
      <c r="F2518" s="4">
        <v>2360</v>
      </c>
      <c r="G2518" s="47" t="s">
        <v>570</v>
      </c>
      <c r="H2518" s="12">
        <v>3923</v>
      </c>
      <c r="I2518" s="4">
        <v>180</v>
      </c>
      <c r="J2518" s="4">
        <v>180</v>
      </c>
      <c r="K2518" s="4">
        <v>0</v>
      </c>
      <c r="L2518" s="4">
        <v>0</v>
      </c>
      <c r="M2518" s="12" t="s">
        <v>571</v>
      </c>
      <c r="N2518" s="13">
        <f t="shared" si="61"/>
        <v>360</v>
      </c>
    </row>
    <row r="2519" spans="1:14">
      <c r="A2519" s="12">
        <v>2518</v>
      </c>
      <c r="B2519" s="1" t="s">
        <v>1776</v>
      </c>
      <c r="C2519" s="42" t="s">
        <v>1777</v>
      </c>
      <c r="D2519" s="42" t="s">
        <v>3754</v>
      </c>
      <c r="E2519" s="42" t="s">
        <v>527</v>
      </c>
      <c r="F2519" s="4">
        <v>3475.1</v>
      </c>
      <c r="G2519" s="47" t="s">
        <v>570</v>
      </c>
      <c r="H2519" s="12">
        <v>3923</v>
      </c>
      <c r="I2519" s="4">
        <v>265.05</v>
      </c>
      <c r="J2519" s="4">
        <v>265.05</v>
      </c>
      <c r="K2519" s="4">
        <v>0</v>
      </c>
      <c r="L2519" s="4">
        <v>0</v>
      </c>
      <c r="M2519" s="12" t="s">
        <v>571</v>
      </c>
      <c r="N2519" s="13">
        <f t="shared" si="61"/>
        <v>530.1</v>
      </c>
    </row>
    <row r="2520" spans="1:14">
      <c r="A2520" s="12">
        <v>2519</v>
      </c>
      <c r="B2520" s="1" t="s">
        <v>1776</v>
      </c>
      <c r="C2520" s="42" t="s">
        <v>1777</v>
      </c>
      <c r="D2520" s="42" t="s">
        <v>3755</v>
      </c>
      <c r="E2520" s="42" t="s">
        <v>527</v>
      </c>
      <c r="F2520" s="4">
        <v>1587.1</v>
      </c>
      <c r="G2520" s="47" t="s">
        <v>570</v>
      </c>
      <c r="H2520" s="12">
        <v>3923</v>
      </c>
      <c r="I2520" s="4">
        <v>121.05</v>
      </c>
      <c r="J2520" s="4">
        <v>121.05</v>
      </c>
      <c r="K2520" s="4">
        <v>0</v>
      </c>
      <c r="L2520" s="4">
        <v>0</v>
      </c>
      <c r="M2520" s="12" t="s">
        <v>571</v>
      </c>
      <c r="N2520" s="13">
        <f t="shared" si="61"/>
        <v>242.1</v>
      </c>
    </row>
    <row r="2521" spans="1:14">
      <c r="A2521" s="12">
        <v>2520</v>
      </c>
      <c r="B2521" s="1" t="s">
        <v>1776</v>
      </c>
      <c r="C2521" s="42" t="s">
        <v>1777</v>
      </c>
      <c r="D2521" s="42" t="s">
        <v>3756</v>
      </c>
      <c r="E2521" s="42" t="s">
        <v>3720</v>
      </c>
      <c r="F2521" s="4">
        <v>6124.2</v>
      </c>
      <c r="G2521" s="47" t="s">
        <v>570</v>
      </c>
      <c r="H2521" s="12">
        <v>3923</v>
      </c>
      <c r="I2521" s="4">
        <v>467.1</v>
      </c>
      <c r="J2521" s="4">
        <v>467.1</v>
      </c>
      <c r="K2521" s="4">
        <v>0</v>
      </c>
      <c r="L2521" s="4">
        <v>0</v>
      </c>
      <c r="M2521" s="12" t="s">
        <v>571</v>
      </c>
      <c r="N2521" s="13">
        <f t="shared" si="61"/>
        <v>934.2</v>
      </c>
    </row>
    <row r="2522" spans="1:14">
      <c r="A2522" s="12">
        <v>2521</v>
      </c>
      <c r="B2522" s="1" t="s">
        <v>1776</v>
      </c>
      <c r="C2522" s="42" t="s">
        <v>1777</v>
      </c>
      <c r="D2522" s="42" t="s">
        <v>3757</v>
      </c>
      <c r="E2522" s="42" t="s">
        <v>3720</v>
      </c>
      <c r="F2522" s="4">
        <v>2908.7</v>
      </c>
      <c r="G2522" s="47" t="s">
        <v>570</v>
      </c>
      <c r="H2522" s="12">
        <v>3923</v>
      </c>
      <c r="I2522" s="4">
        <v>221.85</v>
      </c>
      <c r="J2522" s="4">
        <v>221.85</v>
      </c>
      <c r="K2522" s="4">
        <v>0</v>
      </c>
      <c r="L2522" s="4">
        <v>0</v>
      </c>
      <c r="M2522" s="12" t="s">
        <v>571</v>
      </c>
      <c r="N2522" s="13">
        <f t="shared" si="61"/>
        <v>443.7</v>
      </c>
    </row>
    <row r="2523" spans="1:14">
      <c r="A2523" s="12">
        <v>2522</v>
      </c>
      <c r="B2523" s="1" t="s">
        <v>1776</v>
      </c>
      <c r="C2523" s="42" t="s">
        <v>1777</v>
      </c>
      <c r="D2523" s="42" t="s">
        <v>3758</v>
      </c>
      <c r="E2523" s="42" t="s">
        <v>3720</v>
      </c>
      <c r="F2523" s="4">
        <v>1587.1</v>
      </c>
      <c r="G2523" s="47" t="s">
        <v>570</v>
      </c>
      <c r="H2523" s="12">
        <v>3923</v>
      </c>
      <c r="I2523" s="4">
        <v>121.05</v>
      </c>
      <c r="J2523" s="4">
        <v>121.05</v>
      </c>
      <c r="K2523" s="4">
        <v>0</v>
      </c>
      <c r="L2523" s="4">
        <v>0</v>
      </c>
      <c r="M2523" s="12" t="s">
        <v>571</v>
      </c>
      <c r="N2523" s="13">
        <f t="shared" si="61"/>
        <v>242.1</v>
      </c>
    </row>
    <row r="2524" spans="1:14">
      <c r="A2524" s="12">
        <v>2523</v>
      </c>
      <c r="B2524" s="1" t="s">
        <v>1630</v>
      </c>
      <c r="C2524" s="42" t="s">
        <v>1631</v>
      </c>
      <c r="D2524" s="42" t="s">
        <v>3759</v>
      </c>
      <c r="E2524" s="42" t="s">
        <v>3281</v>
      </c>
      <c r="F2524" s="4">
        <v>11151</v>
      </c>
      <c r="G2524" s="47" t="s">
        <v>60</v>
      </c>
      <c r="H2524" s="12" t="s">
        <v>1634</v>
      </c>
      <c r="I2524" s="4">
        <v>265.5</v>
      </c>
      <c r="J2524" s="4">
        <v>265.5</v>
      </c>
      <c r="K2524" s="4">
        <v>0</v>
      </c>
      <c r="L2524" s="4">
        <v>0</v>
      </c>
      <c r="M2524" s="12" t="s">
        <v>571</v>
      </c>
      <c r="N2524" s="13">
        <f t="shared" si="61"/>
        <v>531</v>
      </c>
    </row>
    <row r="2525" spans="1:14">
      <c r="A2525" s="12">
        <v>2524</v>
      </c>
      <c r="B2525" s="1" t="s">
        <v>1630</v>
      </c>
      <c r="C2525" s="42" t="s">
        <v>1631</v>
      </c>
      <c r="D2525" s="42" t="s">
        <v>3760</v>
      </c>
      <c r="E2525" s="42" t="s">
        <v>3310</v>
      </c>
      <c r="F2525" s="4">
        <v>6363</v>
      </c>
      <c r="G2525" s="47" t="s">
        <v>60</v>
      </c>
      <c r="H2525" s="12" t="s">
        <v>1634</v>
      </c>
      <c r="I2525" s="4">
        <v>151.5</v>
      </c>
      <c r="J2525" s="4">
        <v>151.5</v>
      </c>
      <c r="K2525" s="4">
        <v>0</v>
      </c>
      <c r="L2525" s="4">
        <v>0</v>
      </c>
      <c r="M2525" s="12" t="s">
        <v>571</v>
      </c>
      <c r="N2525" s="13">
        <f t="shared" si="61"/>
        <v>303</v>
      </c>
    </row>
    <row r="2526" spans="1:14">
      <c r="A2526" s="12">
        <v>2525</v>
      </c>
      <c r="B2526" s="1" t="s">
        <v>1630</v>
      </c>
      <c r="C2526" s="42" t="s">
        <v>1631</v>
      </c>
      <c r="D2526" s="42" t="s">
        <v>3761</v>
      </c>
      <c r="E2526" s="42" t="s">
        <v>3322</v>
      </c>
      <c r="F2526" s="4">
        <v>9765</v>
      </c>
      <c r="G2526" s="47" t="s">
        <v>60</v>
      </c>
      <c r="H2526" s="12" t="s">
        <v>1634</v>
      </c>
      <c r="I2526" s="4">
        <v>232.5</v>
      </c>
      <c r="J2526" s="4">
        <v>232.5</v>
      </c>
      <c r="K2526" s="4">
        <v>0</v>
      </c>
      <c r="L2526" s="4">
        <v>0</v>
      </c>
      <c r="M2526" s="12" t="s">
        <v>571</v>
      </c>
      <c r="N2526" s="13">
        <f t="shared" si="61"/>
        <v>465</v>
      </c>
    </row>
    <row r="2527" spans="1:14">
      <c r="A2527" s="12">
        <v>2526</v>
      </c>
      <c r="B2527" s="1" t="s">
        <v>1630</v>
      </c>
      <c r="C2527" s="42" t="s">
        <v>1631</v>
      </c>
      <c r="D2527" s="42" t="s">
        <v>3762</v>
      </c>
      <c r="E2527" s="42" t="s">
        <v>3494</v>
      </c>
      <c r="F2527" s="4">
        <v>9975</v>
      </c>
      <c r="G2527" s="47" t="s">
        <v>60</v>
      </c>
      <c r="H2527" s="12" t="s">
        <v>1634</v>
      </c>
      <c r="I2527" s="4">
        <v>237.5</v>
      </c>
      <c r="J2527" s="4">
        <v>237.5</v>
      </c>
      <c r="K2527" s="4">
        <v>0</v>
      </c>
      <c r="L2527" s="4">
        <v>0</v>
      </c>
      <c r="M2527" s="12" t="s">
        <v>571</v>
      </c>
      <c r="N2527" s="13">
        <f t="shared" si="61"/>
        <v>475</v>
      </c>
    </row>
    <row r="2528" spans="1:14">
      <c r="A2528" s="12">
        <v>2527</v>
      </c>
      <c r="B2528" s="1" t="s">
        <v>1630</v>
      </c>
      <c r="C2528" s="42" t="s">
        <v>1631</v>
      </c>
      <c r="D2528" s="42" t="s">
        <v>3763</v>
      </c>
      <c r="E2528" s="42" t="s">
        <v>3476</v>
      </c>
      <c r="F2528" s="4">
        <v>11970</v>
      </c>
      <c r="G2528" s="47" t="s">
        <v>60</v>
      </c>
      <c r="H2528" s="12" t="s">
        <v>1634</v>
      </c>
      <c r="I2528" s="4">
        <v>285</v>
      </c>
      <c r="J2528" s="4">
        <v>285</v>
      </c>
      <c r="K2528" s="4">
        <v>0</v>
      </c>
      <c r="L2528" s="4">
        <v>0</v>
      </c>
      <c r="M2528" s="12" t="s">
        <v>571</v>
      </c>
      <c r="N2528" s="13">
        <f t="shared" si="61"/>
        <v>570</v>
      </c>
    </row>
    <row r="2529" spans="1:14">
      <c r="A2529" s="12">
        <v>2528</v>
      </c>
      <c r="B2529" s="1" t="s">
        <v>1630</v>
      </c>
      <c r="C2529" s="42" t="s">
        <v>1631</v>
      </c>
      <c r="D2529" s="42" t="s">
        <v>3764</v>
      </c>
      <c r="E2529" s="42" t="s">
        <v>3765</v>
      </c>
      <c r="F2529" s="4">
        <v>9135</v>
      </c>
      <c r="G2529" s="47" t="s">
        <v>60</v>
      </c>
      <c r="H2529" s="12" t="s">
        <v>1634</v>
      </c>
      <c r="I2529" s="4">
        <v>217.5</v>
      </c>
      <c r="J2529" s="4">
        <v>217.5</v>
      </c>
      <c r="K2529" s="4">
        <v>0</v>
      </c>
      <c r="L2529" s="4">
        <v>0</v>
      </c>
      <c r="M2529" s="12" t="s">
        <v>571</v>
      </c>
      <c r="N2529" s="13">
        <f t="shared" si="61"/>
        <v>435</v>
      </c>
    </row>
    <row r="2530" spans="1:14">
      <c r="A2530" s="12">
        <v>2529</v>
      </c>
      <c r="B2530" s="1" t="s">
        <v>1762</v>
      </c>
      <c r="C2530" s="42" t="s">
        <v>1763</v>
      </c>
      <c r="D2530" s="42" t="s">
        <v>3766</v>
      </c>
      <c r="E2530" s="42" t="s">
        <v>519</v>
      </c>
      <c r="F2530" s="4">
        <v>7608</v>
      </c>
      <c r="G2530" s="47" t="s">
        <v>570</v>
      </c>
      <c r="H2530" s="12">
        <v>9987</v>
      </c>
      <c r="I2530" s="4">
        <v>580.32000000000005</v>
      </c>
      <c r="J2530" s="4">
        <v>580.32000000000005</v>
      </c>
      <c r="K2530" s="4">
        <v>0</v>
      </c>
      <c r="L2530" s="4">
        <v>0</v>
      </c>
      <c r="M2530" s="12" t="s">
        <v>571</v>
      </c>
      <c r="N2530" s="13">
        <f t="shared" si="61"/>
        <v>1160.6400000000001</v>
      </c>
    </row>
    <row r="2531" spans="1:14">
      <c r="A2531" s="12">
        <v>2530</v>
      </c>
      <c r="B2531" s="1" t="s">
        <v>1762</v>
      </c>
      <c r="C2531" s="42" t="s">
        <v>1763</v>
      </c>
      <c r="D2531" s="42" t="s">
        <v>3767</v>
      </c>
      <c r="E2531" s="42" t="s">
        <v>519</v>
      </c>
      <c r="F2531" s="4">
        <v>3949</v>
      </c>
      <c r="G2531" s="47" t="s">
        <v>570</v>
      </c>
      <c r="H2531" s="12">
        <v>9987</v>
      </c>
      <c r="I2531" s="4">
        <v>301.23</v>
      </c>
      <c r="J2531" s="4">
        <v>301.23</v>
      </c>
      <c r="K2531" s="4">
        <v>0</v>
      </c>
      <c r="L2531" s="4">
        <v>0</v>
      </c>
      <c r="M2531" s="12" t="s">
        <v>571</v>
      </c>
      <c r="N2531" s="13">
        <f t="shared" si="61"/>
        <v>602.46</v>
      </c>
    </row>
    <row r="2532" spans="1:14">
      <c r="A2532" s="12">
        <v>2531</v>
      </c>
      <c r="B2532" s="1" t="s">
        <v>1637</v>
      </c>
      <c r="C2532" s="42" t="s">
        <v>1638</v>
      </c>
      <c r="D2532" s="42" t="s">
        <v>3768</v>
      </c>
      <c r="E2532" s="42" t="s">
        <v>519</v>
      </c>
      <c r="F2532" s="4">
        <v>49896</v>
      </c>
      <c r="G2532" s="47" t="s">
        <v>60</v>
      </c>
      <c r="H2532" s="12" t="s">
        <v>1641</v>
      </c>
      <c r="I2532" s="4">
        <v>0</v>
      </c>
      <c r="J2532" s="4">
        <v>0</v>
      </c>
      <c r="K2532" s="4">
        <v>2376</v>
      </c>
      <c r="L2532" s="4">
        <v>0</v>
      </c>
      <c r="M2532" s="12" t="s">
        <v>571</v>
      </c>
      <c r="N2532" s="13">
        <f t="shared" si="61"/>
        <v>2376</v>
      </c>
    </row>
    <row r="2533" spans="1:14">
      <c r="A2533" s="12">
        <v>2532</v>
      </c>
      <c r="B2533" s="1" t="s">
        <v>1637</v>
      </c>
      <c r="C2533" s="42" t="s">
        <v>1638</v>
      </c>
      <c r="D2533" s="42" t="s">
        <v>3769</v>
      </c>
      <c r="E2533" s="42" t="s">
        <v>3684</v>
      </c>
      <c r="F2533" s="4">
        <v>11044.8</v>
      </c>
      <c r="G2533" s="47" t="s">
        <v>60</v>
      </c>
      <c r="H2533" s="12">
        <v>4819</v>
      </c>
      <c r="I2533" s="4">
        <v>0</v>
      </c>
      <c r="J2533" s="4">
        <v>0</v>
      </c>
      <c r="K2533" s="4">
        <v>1684.8</v>
      </c>
      <c r="L2533" s="4">
        <v>0</v>
      </c>
      <c r="M2533" s="12" t="s">
        <v>571</v>
      </c>
      <c r="N2533" s="13">
        <f t="shared" si="61"/>
        <v>1684.8</v>
      </c>
    </row>
    <row r="2534" spans="1:14">
      <c r="A2534" s="12">
        <v>2533</v>
      </c>
      <c r="B2534" s="1" t="s">
        <v>1637</v>
      </c>
      <c r="C2534" s="42" t="s">
        <v>1638</v>
      </c>
      <c r="D2534" s="42" t="s">
        <v>3770</v>
      </c>
      <c r="E2534" s="42" t="s">
        <v>3684</v>
      </c>
      <c r="F2534" s="4">
        <v>14280</v>
      </c>
      <c r="G2534" s="47" t="s">
        <v>60</v>
      </c>
      <c r="H2534" s="12" t="s">
        <v>1641</v>
      </c>
      <c r="I2534" s="4">
        <v>0</v>
      </c>
      <c r="J2534" s="4">
        <v>0</v>
      </c>
      <c r="K2534" s="4">
        <v>680</v>
      </c>
      <c r="L2534" s="4">
        <v>0</v>
      </c>
      <c r="M2534" s="12" t="s">
        <v>571</v>
      </c>
      <c r="N2534" s="13">
        <f t="shared" ref="N2534:N2597" si="62">SUM(I2534:K2534)</f>
        <v>680</v>
      </c>
    </row>
    <row r="2535" spans="1:14">
      <c r="A2535" s="12">
        <v>2534</v>
      </c>
      <c r="B2535" s="1" t="s">
        <v>1637</v>
      </c>
      <c r="C2535" s="42" t="s">
        <v>1638</v>
      </c>
      <c r="D2535" s="42" t="s">
        <v>3771</v>
      </c>
      <c r="E2535" s="42" t="s">
        <v>3725</v>
      </c>
      <c r="F2535" s="4">
        <v>43155</v>
      </c>
      <c r="G2535" s="47" t="s">
        <v>60</v>
      </c>
      <c r="H2535" s="12" t="s">
        <v>1641</v>
      </c>
      <c r="I2535" s="4">
        <v>0</v>
      </c>
      <c r="J2535" s="4">
        <v>0</v>
      </c>
      <c r="K2535" s="4">
        <v>2055</v>
      </c>
      <c r="L2535" s="4">
        <v>0</v>
      </c>
      <c r="M2535" s="12" t="s">
        <v>571</v>
      </c>
      <c r="N2535" s="13">
        <f t="shared" si="62"/>
        <v>2055</v>
      </c>
    </row>
    <row r="2536" spans="1:14">
      <c r="A2536" s="12">
        <v>2535</v>
      </c>
      <c r="B2536" s="1" t="s">
        <v>1637</v>
      </c>
      <c r="C2536" s="42" t="s">
        <v>1638</v>
      </c>
      <c r="D2536" s="42" t="s">
        <v>3772</v>
      </c>
      <c r="E2536" s="42" t="s">
        <v>3727</v>
      </c>
      <c r="F2536" s="4">
        <v>14218.58</v>
      </c>
      <c r="G2536" s="47" t="s">
        <v>60</v>
      </c>
      <c r="H2536" s="12" t="s">
        <v>1641</v>
      </c>
      <c r="I2536" s="4">
        <v>0</v>
      </c>
      <c r="J2536" s="4">
        <v>0</v>
      </c>
      <c r="K2536" s="4">
        <v>677.08</v>
      </c>
      <c r="L2536" s="4">
        <v>0</v>
      </c>
      <c r="M2536" s="12" t="s">
        <v>571</v>
      </c>
      <c r="N2536" s="13">
        <f t="shared" si="62"/>
        <v>677.08</v>
      </c>
    </row>
    <row r="2537" spans="1:14">
      <c r="A2537" s="12">
        <v>2536</v>
      </c>
      <c r="B2537" s="1" t="s">
        <v>1637</v>
      </c>
      <c r="C2537" s="42" t="s">
        <v>1638</v>
      </c>
      <c r="D2537" s="42" t="s">
        <v>3773</v>
      </c>
      <c r="E2537" s="42" t="s">
        <v>3727</v>
      </c>
      <c r="F2537" s="4">
        <v>20895</v>
      </c>
      <c r="G2537" s="47" t="s">
        <v>60</v>
      </c>
      <c r="H2537" s="12" t="s">
        <v>1641</v>
      </c>
      <c r="I2537" s="4">
        <v>0</v>
      </c>
      <c r="J2537" s="4">
        <v>0</v>
      </c>
      <c r="K2537" s="4">
        <v>995</v>
      </c>
      <c r="L2537" s="4">
        <v>0</v>
      </c>
      <c r="M2537" s="12" t="s">
        <v>571</v>
      </c>
      <c r="N2537" s="13">
        <f t="shared" si="62"/>
        <v>995</v>
      </c>
    </row>
    <row r="2538" spans="1:14">
      <c r="A2538" s="12">
        <v>2537</v>
      </c>
      <c r="B2538" s="1" t="s">
        <v>1637</v>
      </c>
      <c r="C2538" s="42" t="s">
        <v>1638</v>
      </c>
      <c r="D2538" s="42" t="s">
        <v>3774</v>
      </c>
      <c r="E2538" s="42" t="s">
        <v>3729</v>
      </c>
      <c r="F2538" s="4">
        <v>13697.88</v>
      </c>
      <c r="G2538" s="47" t="s">
        <v>60</v>
      </c>
      <c r="H2538" s="12" t="s">
        <v>1641</v>
      </c>
      <c r="I2538" s="4">
        <v>0</v>
      </c>
      <c r="J2538" s="4">
        <v>0</v>
      </c>
      <c r="K2538" s="4">
        <v>652.28</v>
      </c>
      <c r="L2538" s="4">
        <v>0</v>
      </c>
      <c r="M2538" s="12" t="s">
        <v>571</v>
      </c>
      <c r="N2538" s="13">
        <f t="shared" si="62"/>
        <v>652.28</v>
      </c>
    </row>
    <row r="2539" spans="1:14">
      <c r="A2539" s="12">
        <v>2538</v>
      </c>
      <c r="B2539" s="1" t="s">
        <v>1637</v>
      </c>
      <c r="C2539" s="42" t="s">
        <v>1638</v>
      </c>
      <c r="D2539" s="42" t="s">
        <v>3775</v>
      </c>
      <c r="E2539" s="42" t="s">
        <v>3729</v>
      </c>
      <c r="F2539" s="4">
        <v>3154.14</v>
      </c>
      <c r="G2539" s="47" t="s">
        <v>60</v>
      </c>
      <c r="H2539" s="12">
        <v>4819</v>
      </c>
      <c r="I2539" s="4">
        <v>0</v>
      </c>
      <c r="J2539" s="4">
        <v>0</v>
      </c>
      <c r="K2539" s="4">
        <v>481.14</v>
      </c>
      <c r="L2539" s="4">
        <v>0</v>
      </c>
      <c r="M2539" s="12" t="s">
        <v>571</v>
      </c>
      <c r="N2539" s="13">
        <f t="shared" si="62"/>
        <v>481.14</v>
      </c>
    </row>
    <row r="2540" spans="1:14">
      <c r="A2540" s="12">
        <v>2539</v>
      </c>
      <c r="B2540" s="1" t="s">
        <v>1637</v>
      </c>
      <c r="C2540" s="42" t="s">
        <v>1638</v>
      </c>
      <c r="D2540" s="42" t="s">
        <v>3776</v>
      </c>
      <c r="E2540" s="42" t="s">
        <v>3729</v>
      </c>
      <c r="F2540" s="4">
        <v>26725.439999999999</v>
      </c>
      <c r="G2540" s="47" t="s">
        <v>60</v>
      </c>
      <c r="H2540" s="12" t="s">
        <v>1641</v>
      </c>
      <c r="I2540" s="4">
        <v>0</v>
      </c>
      <c r="J2540" s="4">
        <v>0</v>
      </c>
      <c r="K2540" s="4">
        <v>1272.6400000000001</v>
      </c>
      <c r="L2540" s="4">
        <v>0</v>
      </c>
      <c r="M2540" s="12" t="s">
        <v>571</v>
      </c>
      <c r="N2540" s="13">
        <f t="shared" si="62"/>
        <v>1272.6400000000001</v>
      </c>
    </row>
    <row r="2541" spans="1:14">
      <c r="A2541" s="12">
        <v>2540</v>
      </c>
      <c r="B2541" s="1" t="s">
        <v>1637</v>
      </c>
      <c r="C2541" s="42" t="s">
        <v>1638</v>
      </c>
      <c r="D2541" s="42" t="s">
        <v>3777</v>
      </c>
      <c r="E2541" s="42" t="s">
        <v>3731</v>
      </c>
      <c r="F2541" s="4">
        <v>26775</v>
      </c>
      <c r="G2541" s="47" t="s">
        <v>60</v>
      </c>
      <c r="H2541" s="12" t="s">
        <v>1641</v>
      </c>
      <c r="I2541" s="4">
        <v>0</v>
      </c>
      <c r="J2541" s="4">
        <v>0</v>
      </c>
      <c r="K2541" s="4">
        <v>1275</v>
      </c>
      <c r="L2541" s="4">
        <v>0</v>
      </c>
      <c r="M2541" s="12" t="s">
        <v>571</v>
      </c>
      <c r="N2541" s="13">
        <f t="shared" si="62"/>
        <v>1275</v>
      </c>
    </row>
    <row r="2542" spans="1:14">
      <c r="A2542" s="12">
        <v>2541</v>
      </c>
      <c r="B2542" s="1" t="s">
        <v>1637</v>
      </c>
      <c r="C2542" s="42" t="s">
        <v>1638</v>
      </c>
      <c r="D2542" s="42" t="s">
        <v>3778</v>
      </c>
      <c r="E2542" s="42" t="s">
        <v>3731</v>
      </c>
      <c r="F2542" s="4">
        <v>23088.45</v>
      </c>
      <c r="G2542" s="47" t="s">
        <v>60</v>
      </c>
      <c r="H2542" s="12" t="s">
        <v>1641</v>
      </c>
      <c r="I2542" s="4">
        <v>0</v>
      </c>
      <c r="J2542" s="4">
        <v>0</v>
      </c>
      <c r="K2542" s="4">
        <v>1099.45</v>
      </c>
      <c r="L2542" s="4">
        <v>0</v>
      </c>
      <c r="M2542" s="12" t="s">
        <v>571</v>
      </c>
      <c r="N2542" s="13">
        <f t="shared" si="62"/>
        <v>1099.45</v>
      </c>
    </row>
    <row r="2543" spans="1:14">
      <c r="A2543" s="12">
        <v>2542</v>
      </c>
      <c r="B2543" s="1" t="s">
        <v>1637</v>
      </c>
      <c r="C2543" s="42" t="s">
        <v>1638</v>
      </c>
      <c r="D2543" s="42" t="s">
        <v>3779</v>
      </c>
      <c r="E2543" s="42" t="s">
        <v>3715</v>
      </c>
      <c r="F2543" s="4">
        <v>35511</v>
      </c>
      <c r="G2543" s="47" t="s">
        <v>60</v>
      </c>
      <c r="H2543" s="12" t="s">
        <v>1641</v>
      </c>
      <c r="I2543" s="4">
        <v>0</v>
      </c>
      <c r="J2543" s="4">
        <v>0</v>
      </c>
      <c r="K2543" s="4">
        <v>1691</v>
      </c>
      <c r="L2543" s="4">
        <v>0</v>
      </c>
      <c r="M2543" s="12" t="s">
        <v>571</v>
      </c>
      <c r="N2543" s="13">
        <f t="shared" si="62"/>
        <v>1691</v>
      </c>
    </row>
    <row r="2544" spans="1:14">
      <c r="A2544" s="12">
        <v>2543</v>
      </c>
      <c r="B2544" s="1" t="s">
        <v>1637</v>
      </c>
      <c r="C2544" s="42" t="s">
        <v>1638</v>
      </c>
      <c r="D2544" s="42" t="s">
        <v>3780</v>
      </c>
      <c r="E2544" s="42" t="s">
        <v>3715</v>
      </c>
      <c r="F2544" s="4">
        <v>11613</v>
      </c>
      <c r="G2544" s="47" t="s">
        <v>60</v>
      </c>
      <c r="H2544" s="12" t="s">
        <v>1641</v>
      </c>
      <c r="I2544" s="4">
        <v>0</v>
      </c>
      <c r="J2544" s="4">
        <v>0</v>
      </c>
      <c r="K2544" s="4">
        <v>553</v>
      </c>
      <c r="L2544" s="4">
        <v>0</v>
      </c>
      <c r="M2544" s="12" t="s">
        <v>571</v>
      </c>
      <c r="N2544" s="13">
        <f t="shared" si="62"/>
        <v>553</v>
      </c>
    </row>
    <row r="2545" spans="1:14">
      <c r="A2545" s="12">
        <v>2544</v>
      </c>
      <c r="B2545" s="1" t="s">
        <v>1637</v>
      </c>
      <c r="C2545" s="42" t="s">
        <v>1638</v>
      </c>
      <c r="D2545" s="42" t="s">
        <v>3781</v>
      </c>
      <c r="E2545" s="42" t="s">
        <v>3734</v>
      </c>
      <c r="F2545" s="4">
        <v>2664.44</v>
      </c>
      <c r="G2545" s="47" t="s">
        <v>60</v>
      </c>
      <c r="H2545" s="12">
        <v>3923</v>
      </c>
      <c r="I2545" s="4">
        <v>0</v>
      </c>
      <c r="J2545" s="4">
        <v>0</v>
      </c>
      <c r="K2545" s="4">
        <v>406.44</v>
      </c>
      <c r="L2545" s="4">
        <v>0</v>
      </c>
      <c r="M2545" s="12" t="s">
        <v>571</v>
      </c>
      <c r="N2545" s="13">
        <f t="shared" si="62"/>
        <v>406.44</v>
      </c>
    </row>
    <row r="2546" spans="1:14">
      <c r="A2546" s="12">
        <v>2545</v>
      </c>
      <c r="B2546" s="1" t="s">
        <v>1637</v>
      </c>
      <c r="C2546" s="42" t="s">
        <v>1638</v>
      </c>
      <c r="D2546" s="42" t="s">
        <v>3782</v>
      </c>
      <c r="E2546" s="42" t="s">
        <v>3734</v>
      </c>
      <c r="F2546" s="4">
        <v>20501.25</v>
      </c>
      <c r="G2546" s="47" t="s">
        <v>60</v>
      </c>
      <c r="H2546" s="12" t="s">
        <v>1641</v>
      </c>
      <c r="I2546" s="4">
        <v>0</v>
      </c>
      <c r="J2546" s="4">
        <v>0</v>
      </c>
      <c r="K2546" s="4">
        <v>976.25</v>
      </c>
      <c r="L2546" s="4">
        <v>0</v>
      </c>
      <c r="M2546" s="12" t="s">
        <v>571</v>
      </c>
      <c r="N2546" s="13">
        <f t="shared" si="62"/>
        <v>976.25</v>
      </c>
    </row>
    <row r="2547" spans="1:14">
      <c r="A2547" s="12">
        <v>2546</v>
      </c>
      <c r="B2547" s="1" t="s">
        <v>1637</v>
      </c>
      <c r="C2547" s="42" t="s">
        <v>1638</v>
      </c>
      <c r="D2547" s="42" t="s">
        <v>3783</v>
      </c>
      <c r="E2547" s="42" t="s">
        <v>3734</v>
      </c>
      <c r="F2547" s="4">
        <v>3433.8</v>
      </c>
      <c r="G2547" s="47" t="s">
        <v>60</v>
      </c>
      <c r="H2547" s="12">
        <v>3923</v>
      </c>
      <c r="I2547" s="4">
        <v>0</v>
      </c>
      <c r="J2547" s="4">
        <v>0</v>
      </c>
      <c r="K2547" s="4">
        <v>523.79999999999995</v>
      </c>
      <c r="L2547" s="4">
        <v>0</v>
      </c>
      <c r="M2547" s="12" t="s">
        <v>571</v>
      </c>
      <c r="N2547" s="13">
        <f t="shared" si="62"/>
        <v>523.79999999999995</v>
      </c>
    </row>
    <row r="2548" spans="1:14">
      <c r="A2548" s="12">
        <v>2547</v>
      </c>
      <c r="B2548" s="1" t="s">
        <v>1637</v>
      </c>
      <c r="C2548" s="42" t="s">
        <v>1638</v>
      </c>
      <c r="D2548" s="42" t="s">
        <v>3784</v>
      </c>
      <c r="E2548" s="42" t="s">
        <v>3736</v>
      </c>
      <c r="F2548" s="4">
        <v>39855.9</v>
      </c>
      <c r="G2548" s="47" t="s">
        <v>60</v>
      </c>
      <c r="H2548" s="12" t="s">
        <v>1641</v>
      </c>
      <c r="I2548" s="4">
        <v>0</v>
      </c>
      <c r="J2548" s="4">
        <v>0</v>
      </c>
      <c r="K2548" s="4">
        <v>1897.9</v>
      </c>
      <c r="L2548" s="4">
        <v>0</v>
      </c>
      <c r="M2548" s="12" t="s">
        <v>571</v>
      </c>
      <c r="N2548" s="13">
        <f t="shared" si="62"/>
        <v>1897.9</v>
      </c>
    </row>
    <row r="2549" spans="1:14">
      <c r="A2549" s="12">
        <v>2548</v>
      </c>
      <c r="B2549" s="1" t="s">
        <v>1637</v>
      </c>
      <c r="C2549" s="42" t="s">
        <v>1638</v>
      </c>
      <c r="D2549" s="42" t="s">
        <v>3785</v>
      </c>
      <c r="E2549" s="42" t="s">
        <v>3736</v>
      </c>
      <c r="F2549" s="4">
        <v>9912</v>
      </c>
      <c r="G2549" s="47" t="s">
        <v>60</v>
      </c>
      <c r="H2549" s="12">
        <v>7310</v>
      </c>
      <c r="I2549" s="4">
        <v>0</v>
      </c>
      <c r="J2549" s="4">
        <v>0</v>
      </c>
      <c r="K2549" s="4">
        <v>1512</v>
      </c>
      <c r="L2549" s="4">
        <v>0</v>
      </c>
      <c r="M2549" s="12" t="s">
        <v>571</v>
      </c>
      <c r="N2549" s="13">
        <f t="shared" si="62"/>
        <v>1512</v>
      </c>
    </row>
    <row r="2550" spans="1:14">
      <c r="A2550" s="12">
        <v>2549</v>
      </c>
      <c r="B2550" s="1" t="s">
        <v>1637</v>
      </c>
      <c r="C2550" s="42" t="s">
        <v>1638</v>
      </c>
      <c r="D2550" s="42" t="s">
        <v>3786</v>
      </c>
      <c r="E2550" s="42" t="s">
        <v>3739</v>
      </c>
      <c r="F2550" s="4">
        <v>36508.5</v>
      </c>
      <c r="G2550" s="47" t="s">
        <v>60</v>
      </c>
      <c r="H2550" s="12" t="s">
        <v>1641</v>
      </c>
      <c r="I2550" s="4">
        <v>0</v>
      </c>
      <c r="J2550" s="4">
        <v>0</v>
      </c>
      <c r="K2550" s="4">
        <v>1738.5</v>
      </c>
      <c r="L2550" s="4">
        <v>0</v>
      </c>
      <c r="M2550" s="12" t="s">
        <v>571</v>
      </c>
      <c r="N2550" s="13">
        <f t="shared" si="62"/>
        <v>1738.5</v>
      </c>
    </row>
    <row r="2551" spans="1:14">
      <c r="A2551" s="12">
        <v>2550</v>
      </c>
      <c r="B2551" s="1" t="s">
        <v>1637</v>
      </c>
      <c r="C2551" s="42" t="s">
        <v>1638</v>
      </c>
      <c r="D2551" s="42" t="s">
        <v>3787</v>
      </c>
      <c r="E2551" s="42" t="s">
        <v>3739</v>
      </c>
      <c r="F2551" s="4">
        <v>13310.4</v>
      </c>
      <c r="G2551" s="47" t="s">
        <v>60</v>
      </c>
      <c r="H2551" s="12">
        <v>4819</v>
      </c>
      <c r="I2551" s="4">
        <v>0</v>
      </c>
      <c r="J2551" s="4">
        <v>0</v>
      </c>
      <c r="K2551" s="4">
        <v>2030.4</v>
      </c>
      <c r="L2551" s="4">
        <v>0</v>
      </c>
      <c r="M2551" s="12" t="s">
        <v>571</v>
      </c>
      <c r="N2551" s="13">
        <f t="shared" si="62"/>
        <v>2030.4</v>
      </c>
    </row>
    <row r="2552" spans="1:14">
      <c r="A2552" s="12">
        <v>2551</v>
      </c>
      <c r="B2552" s="1" t="s">
        <v>1637</v>
      </c>
      <c r="C2552" s="42" t="s">
        <v>1638</v>
      </c>
      <c r="D2552" s="42" t="s">
        <v>3788</v>
      </c>
      <c r="E2552" s="42" t="s">
        <v>3741</v>
      </c>
      <c r="F2552" s="4">
        <v>4103.3999999999996</v>
      </c>
      <c r="G2552" s="47" t="s">
        <v>60</v>
      </c>
      <c r="H2552" s="12" t="s">
        <v>1641</v>
      </c>
      <c r="I2552" s="4">
        <v>0</v>
      </c>
      <c r="J2552" s="4">
        <v>0</v>
      </c>
      <c r="K2552" s="4">
        <v>195.4</v>
      </c>
      <c r="L2552" s="4">
        <v>0</v>
      </c>
      <c r="M2552" s="12" t="s">
        <v>571</v>
      </c>
      <c r="N2552" s="13">
        <f t="shared" si="62"/>
        <v>195.4</v>
      </c>
    </row>
    <row r="2553" spans="1:14">
      <c r="A2553" s="12">
        <v>2552</v>
      </c>
      <c r="B2553" s="1" t="s">
        <v>1637</v>
      </c>
      <c r="C2553" s="42" t="s">
        <v>1638</v>
      </c>
      <c r="D2553" s="42" t="s">
        <v>3789</v>
      </c>
      <c r="E2553" s="42" t="s">
        <v>3686</v>
      </c>
      <c r="F2553" s="4">
        <v>2891</v>
      </c>
      <c r="G2553" s="47" t="s">
        <v>60</v>
      </c>
      <c r="H2553" s="12">
        <v>4819</v>
      </c>
      <c r="I2553" s="4">
        <v>0</v>
      </c>
      <c r="J2553" s="4">
        <v>0</v>
      </c>
      <c r="K2553" s="4">
        <v>441</v>
      </c>
      <c r="L2553" s="4">
        <v>0</v>
      </c>
      <c r="M2553" s="12" t="s">
        <v>571</v>
      </c>
      <c r="N2553" s="13">
        <f t="shared" si="62"/>
        <v>441</v>
      </c>
    </row>
    <row r="2554" spans="1:14">
      <c r="A2554" s="12">
        <v>2553</v>
      </c>
      <c r="B2554" s="1" t="s">
        <v>1637</v>
      </c>
      <c r="C2554" s="42" t="s">
        <v>1638</v>
      </c>
      <c r="D2554" s="42" t="s">
        <v>3790</v>
      </c>
      <c r="E2554" s="42" t="s">
        <v>3686</v>
      </c>
      <c r="F2554" s="4">
        <v>22119.1</v>
      </c>
      <c r="G2554" s="47" t="s">
        <v>60</v>
      </c>
      <c r="H2554" s="12">
        <v>4819</v>
      </c>
      <c r="I2554" s="4">
        <v>0</v>
      </c>
      <c r="J2554" s="4">
        <v>0</v>
      </c>
      <c r="K2554" s="4">
        <v>3374.1</v>
      </c>
      <c r="L2554" s="4">
        <v>0</v>
      </c>
      <c r="M2554" s="12" t="s">
        <v>571</v>
      </c>
      <c r="N2554" s="13">
        <f t="shared" si="62"/>
        <v>3374.1</v>
      </c>
    </row>
    <row r="2555" spans="1:14">
      <c r="A2555" s="12">
        <v>2554</v>
      </c>
      <c r="B2555" s="1" t="s">
        <v>1637</v>
      </c>
      <c r="C2555" s="42" t="s">
        <v>1638</v>
      </c>
      <c r="D2555" s="42" t="s">
        <v>3791</v>
      </c>
      <c r="E2555" s="42" t="s">
        <v>3686</v>
      </c>
      <c r="F2555" s="4">
        <v>23793</v>
      </c>
      <c r="G2555" s="47" t="s">
        <v>60</v>
      </c>
      <c r="H2555" s="12" t="s">
        <v>1641</v>
      </c>
      <c r="I2555" s="4">
        <v>0</v>
      </c>
      <c r="J2555" s="4">
        <v>0</v>
      </c>
      <c r="K2555" s="4">
        <v>1133</v>
      </c>
      <c r="L2555" s="4">
        <v>0</v>
      </c>
      <c r="M2555" s="12" t="s">
        <v>571</v>
      </c>
      <c r="N2555" s="13">
        <f t="shared" si="62"/>
        <v>1133</v>
      </c>
    </row>
    <row r="2556" spans="1:14">
      <c r="A2556" s="12">
        <v>2555</v>
      </c>
      <c r="B2556" s="1" t="s">
        <v>1637</v>
      </c>
      <c r="C2556" s="42" t="s">
        <v>1638</v>
      </c>
      <c r="D2556" s="42" t="s">
        <v>3792</v>
      </c>
      <c r="E2556" s="42" t="s">
        <v>3793</v>
      </c>
      <c r="F2556" s="4">
        <v>33466.230000000003</v>
      </c>
      <c r="G2556" s="47" t="s">
        <v>60</v>
      </c>
      <c r="H2556" s="12" t="s">
        <v>1641</v>
      </c>
      <c r="I2556" s="4">
        <v>0</v>
      </c>
      <c r="J2556" s="4">
        <v>0</v>
      </c>
      <c r="K2556" s="4">
        <v>1593.63</v>
      </c>
      <c r="L2556" s="4">
        <v>0</v>
      </c>
      <c r="M2556" s="12" t="s">
        <v>571</v>
      </c>
      <c r="N2556" s="13">
        <f t="shared" si="62"/>
        <v>1593.63</v>
      </c>
    </row>
    <row r="2557" spans="1:14">
      <c r="A2557" s="12">
        <v>2556</v>
      </c>
      <c r="B2557" s="1" t="s">
        <v>1637</v>
      </c>
      <c r="C2557" s="42" t="s">
        <v>1638</v>
      </c>
      <c r="D2557" s="42" t="s">
        <v>3794</v>
      </c>
      <c r="E2557" s="42" t="s">
        <v>3713</v>
      </c>
      <c r="F2557" s="4">
        <v>2041.4</v>
      </c>
      <c r="G2557" s="47" t="s">
        <v>60</v>
      </c>
      <c r="H2557" s="12">
        <v>3923</v>
      </c>
      <c r="I2557" s="4">
        <v>0</v>
      </c>
      <c r="J2557" s="4">
        <v>0</v>
      </c>
      <c r="K2557" s="4">
        <v>311.39999999999998</v>
      </c>
      <c r="L2557" s="4">
        <v>0</v>
      </c>
      <c r="M2557" s="12" t="s">
        <v>571</v>
      </c>
      <c r="N2557" s="13">
        <f t="shared" si="62"/>
        <v>311.39999999999998</v>
      </c>
    </row>
    <row r="2558" spans="1:14">
      <c r="A2558" s="12">
        <v>2557</v>
      </c>
      <c r="B2558" s="1" t="s">
        <v>1637</v>
      </c>
      <c r="C2558" s="42" t="s">
        <v>1638</v>
      </c>
      <c r="D2558" s="42" t="s">
        <v>3795</v>
      </c>
      <c r="E2558" s="42" t="s">
        <v>3713</v>
      </c>
      <c r="F2558" s="4">
        <v>7160.24</v>
      </c>
      <c r="G2558" s="47" t="s">
        <v>60</v>
      </c>
      <c r="H2558" s="12">
        <v>4819</v>
      </c>
      <c r="I2558" s="4">
        <v>0</v>
      </c>
      <c r="J2558" s="4">
        <v>0</v>
      </c>
      <c r="K2558" s="4">
        <v>1092.24</v>
      </c>
      <c r="L2558" s="4">
        <v>0</v>
      </c>
      <c r="M2558" s="12" t="s">
        <v>571</v>
      </c>
      <c r="N2558" s="13">
        <f t="shared" si="62"/>
        <v>1092.24</v>
      </c>
    </row>
    <row r="2559" spans="1:14">
      <c r="A2559" s="12">
        <v>2558</v>
      </c>
      <c r="B2559" s="1" t="s">
        <v>1637</v>
      </c>
      <c r="C2559" s="42" t="s">
        <v>1638</v>
      </c>
      <c r="D2559" s="42" t="s">
        <v>3796</v>
      </c>
      <c r="E2559" s="42" t="s">
        <v>3713</v>
      </c>
      <c r="F2559" s="4">
        <v>25311.3</v>
      </c>
      <c r="G2559" s="47" t="s">
        <v>60</v>
      </c>
      <c r="H2559" s="12" t="s">
        <v>1641</v>
      </c>
      <c r="I2559" s="4">
        <v>0</v>
      </c>
      <c r="J2559" s="4">
        <v>0</v>
      </c>
      <c r="K2559" s="4">
        <v>1205.3</v>
      </c>
      <c r="L2559" s="4">
        <v>0</v>
      </c>
      <c r="M2559" s="12" t="s">
        <v>571</v>
      </c>
      <c r="N2559" s="13">
        <f t="shared" si="62"/>
        <v>1205.3</v>
      </c>
    </row>
    <row r="2560" spans="1:14">
      <c r="A2560" s="12">
        <v>2559</v>
      </c>
      <c r="B2560" s="1" t="s">
        <v>1637</v>
      </c>
      <c r="C2560" s="42" t="s">
        <v>1638</v>
      </c>
      <c r="D2560" s="42" t="s">
        <v>3797</v>
      </c>
      <c r="E2560" s="42" t="s">
        <v>3713</v>
      </c>
      <c r="F2560" s="4">
        <v>12482.4</v>
      </c>
      <c r="G2560" s="47" t="s">
        <v>60</v>
      </c>
      <c r="H2560" s="12" t="s">
        <v>1641</v>
      </c>
      <c r="I2560" s="4">
        <v>0</v>
      </c>
      <c r="J2560" s="4">
        <v>0</v>
      </c>
      <c r="K2560" s="4">
        <v>594.4</v>
      </c>
      <c r="L2560" s="4">
        <v>0</v>
      </c>
      <c r="M2560" s="12" t="s">
        <v>571</v>
      </c>
      <c r="N2560" s="13">
        <f t="shared" si="62"/>
        <v>594.4</v>
      </c>
    </row>
    <row r="2561" spans="1:14">
      <c r="A2561" s="12">
        <v>2560</v>
      </c>
      <c r="B2561" s="1" t="s">
        <v>1637</v>
      </c>
      <c r="C2561" s="42" t="s">
        <v>1638</v>
      </c>
      <c r="D2561" s="42" t="s">
        <v>3798</v>
      </c>
      <c r="E2561" s="42" t="s">
        <v>3799</v>
      </c>
      <c r="F2561" s="4">
        <v>6720</v>
      </c>
      <c r="G2561" s="47" t="s">
        <v>60</v>
      </c>
      <c r="H2561" s="12" t="s">
        <v>1641</v>
      </c>
      <c r="I2561" s="4">
        <v>0</v>
      </c>
      <c r="J2561" s="4">
        <v>0</v>
      </c>
      <c r="K2561" s="4">
        <v>320</v>
      </c>
      <c r="L2561" s="4">
        <v>0</v>
      </c>
      <c r="M2561" s="12" t="s">
        <v>571</v>
      </c>
      <c r="N2561" s="13">
        <f t="shared" si="62"/>
        <v>320</v>
      </c>
    </row>
    <row r="2562" spans="1:14">
      <c r="A2562" s="12">
        <v>2561</v>
      </c>
      <c r="B2562" s="1" t="s">
        <v>1637</v>
      </c>
      <c r="C2562" s="42" t="s">
        <v>1638</v>
      </c>
      <c r="D2562" s="42" t="s">
        <v>3800</v>
      </c>
      <c r="E2562" s="42" t="s">
        <v>3799</v>
      </c>
      <c r="F2562" s="4">
        <v>6643.4</v>
      </c>
      <c r="G2562" s="47" t="s">
        <v>60</v>
      </c>
      <c r="H2562" s="12">
        <v>4819</v>
      </c>
      <c r="I2562" s="4">
        <v>0</v>
      </c>
      <c r="J2562" s="4">
        <v>0</v>
      </c>
      <c r="K2562" s="4">
        <v>1013.4</v>
      </c>
      <c r="L2562" s="4">
        <v>0</v>
      </c>
      <c r="M2562" s="12" t="s">
        <v>571</v>
      </c>
      <c r="N2562" s="13">
        <f t="shared" si="62"/>
        <v>1013.4</v>
      </c>
    </row>
    <row r="2563" spans="1:14">
      <c r="A2563" s="12">
        <v>2562</v>
      </c>
      <c r="B2563" s="1" t="s">
        <v>1637</v>
      </c>
      <c r="C2563" s="42" t="s">
        <v>1638</v>
      </c>
      <c r="D2563" s="42" t="s">
        <v>3801</v>
      </c>
      <c r="E2563" s="42" t="s">
        <v>3802</v>
      </c>
      <c r="F2563" s="4">
        <v>26071.5</v>
      </c>
      <c r="G2563" s="47" t="s">
        <v>60</v>
      </c>
      <c r="H2563" s="12" t="s">
        <v>1641</v>
      </c>
      <c r="I2563" s="4">
        <v>0</v>
      </c>
      <c r="J2563" s="4">
        <v>0</v>
      </c>
      <c r="K2563" s="4">
        <v>1241.5</v>
      </c>
      <c r="L2563" s="4">
        <v>0</v>
      </c>
      <c r="M2563" s="12" t="s">
        <v>571</v>
      </c>
      <c r="N2563" s="13">
        <f t="shared" si="62"/>
        <v>1241.5</v>
      </c>
    </row>
    <row r="2564" spans="1:14">
      <c r="A2564" s="12">
        <v>2563</v>
      </c>
      <c r="B2564" s="1" t="s">
        <v>1637</v>
      </c>
      <c r="C2564" s="42" t="s">
        <v>1638</v>
      </c>
      <c r="D2564" s="42" t="s">
        <v>3803</v>
      </c>
      <c r="E2564" s="42" t="s">
        <v>3802</v>
      </c>
      <c r="F2564" s="4">
        <v>566.4</v>
      </c>
      <c r="G2564" s="47" t="s">
        <v>60</v>
      </c>
      <c r="H2564" s="12">
        <v>4819</v>
      </c>
      <c r="I2564" s="4">
        <v>0</v>
      </c>
      <c r="J2564" s="4">
        <v>0</v>
      </c>
      <c r="K2564" s="4">
        <v>86.4</v>
      </c>
      <c r="L2564" s="4">
        <v>0</v>
      </c>
      <c r="M2564" s="12" t="s">
        <v>571</v>
      </c>
      <c r="N2564" s="13">
        <f t="shared" si="62"/>
        <v>86.4</v>
      </c>
    </row>
    <row r="2565" spans="1:14">
      <c r="A2565" s="12">
        <v>2564</v>
      </c>
      <c r="B2565" s="1" t="s">
        <v>1637</v>
      </c>
      <c r="C2565" s="42" t="s">
        <v>1638</v>
      </c>
      <c r="D2565" s="42" t="s">
        <v>3804</v>
      </c>
      <c r="E2565" s="42" t="s">
        <v>3802</v>
      </c>
      <c r="F2565" s="4">
        <v>23132.55</v>
      </c>
      <c r="G2565" s="47" t="s">
        <v>60</v>
      </c>
      <c r="H2565" s="12" t="s">
        <v>1641</v>
      </c>
      <c r="I2565" s="4">
        <v>0</v>
      </c>
      <c r="J2565" s="4">
        <v>0</v>
      </c>
      <c r="K2565" s="4">
        <v>1101.55</v>
      </c>
      <c r="L2565" s="4">
        <v>0</v>
      </c>
      <c r="M2565" s="12" t="s">
        <v>571</v>
      </c>
      <c r="N2565" s="13">
        <f t="shared" si="62"/>
        <v>1101.55</v>
      </c>
    </row>
    <row r="2566" spans="1:14">
      <c r="A2566" s="12">
        <v>2565</v>
      </c>
      <c r="B2566" s="1" t="s">
        <v>1637</v>
      </c>
      <c r="C2566" s="42" t="s">
        <v>1638</v>
      </c>
      <c r="D2566" s="42" t="s">
        <v>3805</v>
      </c>
      <c r="E2566" s="42" t="s">
        <v>3806</v>
      </c>
      <c r="F2566" s="4">
        <v>1596</v>
      </c>
      <c r="G2566" s="47" t="s">
        <v>60</v>
      </c>
      <c r="H2566" s="12" t="s">
        <v>1641</v>
      </c>
      <c r="I2566" s="4">
        <v>0</v>
      </c>
      <c r="J2566" s="4">
        <v>0</v>
      </c>
      <c r="K2566" s="4">
        <v>76</v>
      </c>
      <c r="L2566" s="4">
        <v>0</v>
      </c>
      <c r="M2566" s="12" t="s">
        <v>571</v>
      </c>
      <c r="N2566" s="13">
        <f t="shared" si="62"/>
        <v>76</v>
      </c>
    </row>
    <row r="2567" spans="1:14">
      <c r="A2567" s="12">
        <v>2566</v>
      </c>
      <c r="B2567" s="1" t="s">
        <v>1637</v>
      </c>
      <c r="C2567" s="42" t="s">
        <v>1638</v>
      </c>
      <c r="D2567" s="42" t="s">
        <v>3807</v>
      </c>
      <c r="E2567" s="42" t="s">
        <v>3806</v>
      </c>
      <c r="F2567" s="4">
        <v>22106.49</v>
      </c>
      <c r="G2567" s="47" t="s">
        <v>60</v>
      </c>
      <c r="H2567" s="12" t="s">
        <v>1641</v>
      </c>
      <c r="I2567" s="4">
        <v>0</v>
      </c>
      <c r="J2567" s="4">
        <v>0</v>
      </c>
      <c r="K2567" s="4">
        <v>1052.69</v>
      </c>
      <c r="L2567" s="4">
        <v>0</v>
      </c>
      <c r="M2567" s="12" t="s">
        <v>571</v>
      </c>
      <c r="N2567" s="13">
        <f t="shared" si="62"/>
        <v>1052.69</v>
      </c>
    </row>
    <row r="2568" spans="1:14">
      <c r="A2568" s="12">
        <v>2567</v>
      </c>
      <c r="B2568" s="1" t="s">
        <v>1637</v>
      </c>
      <c r="C2568" s="42" t="s">
        <v>1638</v>
      </c>
      <c r="D2568" s="42" t="s">
        <v>3808</v>
      </c>
      <c r="E2568" s="42" t="s">
        <v>3806</v>
      </c>
      <c r="F2568" s="4">
        <v>1604.8</v>
      </c>
      <c r="G2568" s="47" t="s">
        <v>60</v>
      </c>
      <c r="H2568" s="12">
        <v>4819</v>
      </c>
      <c r="I2568" s="4">
        <v>0</v>
      </c>
      <c r="J2568" s="4">
        <v>0</v>
      </c>
      <c r="K2568" s="4">
        <v>244.8</v>
      </c>
      <c r="L2568" s="4">
        <v>0</v>
      </c>
      <c r="M2568" s="12" t="s">
        <v>571</v>
      </c>
      <c r="N2568" s="13">
        <f t="shared" si="62"/>
        <v>244.8</v>
      </c>
    </row>
    <row r="2569" spans="1:14">
      <c r="A2569" s="12">
        <v>2568</v>
      </c>
      <c r="B2569" s="1" t="s">
        <v>1637</v>
      </c>
      <c r="C2569" s="42" t="s">
        <v>1638</v>
      </c>
      <c r="D2569" s="42" t="s">
        <v>3809</v>
      </c>
      <c r="E2569" s="42" t="s">
        <v>3698</v>
      </c>
      <c r="F2569" s="4">
        <v>46744.95</v>
      </c>
      <c r="G2569" s="47" t="s">
        <v>60</v>
      </c>
      <c r="H2569" s="12" t="s">
        <v>1641</v>
      </c>
      <c r="I2569" s="4">
        <v>0</v>
      </c>
      <c r="J2569" s="4">
        <v>0</v>
      </c>
      <c r="K2569" s="4">
        <v>2225.9499999999998</v>
      </c>
      <c r="L2569" s="4">
        <v>0</v>
      </c>
      <c r="M2569" s="12" t="s">
        <v>571</v>
      </c>
      <c r="N2569" s="13">
        <f t="shared" si="62"/>
        <v>2225.9499999999998</v>
      </c>
    </row>
    <row r="2570" spans="1:14">
      <c r="A2570" s="12">
        <v>2569</v>
      </c>
      <c r="B2570" s="1" t="s">
        <v>1637</v>
      </c>
      <c r="C2570" s="42" t="s">
        <v>1638</v>
      </c>
      <c r="D2570" s="42" t="s">
        <v>3810</v>
      </c>
      <c r="E2570" s="42" t="s">
        <v>3698</v>
      </c>
      <c r="F2570" s="4">
        <v>2950</v>
      </c>
      <c r="G2570" s="47" t="s">
        <v>60</v>
      </c>
      <c r="H2570" s="12">
        <v>4819</v>
      </c>
      <c r="I2570" s="4">
        <v>0</v>
      </c>
      <c r="J2570" s="4">
        <v>0</v>
      </c>
      <c r="K2570" s="4">
        <v>450</v>
      </c>
      <c r="L2570" s="4">
        <v>0</v>
      </c>
      <c r="M2570" s="12" t="s">
        <v>571</v>
      </c>
      <c r="N2570" s="13">
        <f t="shared" si="62"/>
        <v>450</v>
      </c>
    </row>
    <row r="2571" spans="1:14">
      <c r="A2571" s="12">
        <v>2570</v>
      </c>
      <c r="B2571" s="1" t="s">
        <v>1637</v>
      </c>
      <c r="C2571" s="42" t="s">
        <v>1638</v>
      </c>
      <c r="D2571" s="42" t="s">
        <v>3811</v>
      </c>
      <c r="E2571" s="42" t="s">
        <v>527</v>
      </c>
      <c r="F2571" s="4">
        <v>24870.3</v>
      </c>
      <c r="G2571" s="47" t="s">
        <v>60</v>
      </c>
      <c r="H2571" s="12" t="s">
        <v>1641</v>
      </c>
      <c r="I2571" s="4">
        <v>0</v>
      </c>
      <c r="J2571" s="4">
        <v>0</v>
      </c>
      <c r="K2571" s="4">
        <v>1184.3</v>
      </c>
      <c r="L2571" s="4">
        <v>0</v>
      </c>
      <c r="M2571" s="12" t="s">
        <v>571</v>
      </c>
      <c r="N2571" s="13">
        <f t="shared" si="62"/>
        <v>1184.3</v>
      </c>
    </row>
    <row r="2572" spans="1:14">
      <c r="A2572" s="12">
        <v>2571</v>
      </c>
      <c r="B2572" s="1" t="s">
        <v>1637</v>
      </c>
      <c r="C2572" s="42" t="s">
        <v>1638</v>
      </c>
      <c r="D2572" s="42" t="s">
        <v>3812</v>
      </c>
      <c r="E2572" s="42" t="s">
        <v>527</v>
      </c>
      <c r="F2572" s="4">
        <v>23247</v>
      </c>
      <c r="G2572" s="47" t="s">
        <v>60</v>
      </c>
      <c r="H2572" s="12" t="s">
        <v>1641</v>
      </c>
      <c r="I2572" s="4">
        <v>0</v>
      </c>
      <c r="J2572" s="4">
        <v>0</v>
      </c>
      <c r="K2572" s="4">
        <v>1107</v>
      </c>
      <c r="L2572" s="4">
        <v>0</v>
      </c>
      <c r="M2572" s="12" t="s">
        <v>571</v>
      </c>
      <c r="N2572" s="13">
        <f t="shared" si="62"/>
        <v>1107</v>
      </c>
    </row>
    <row r="2573" spans="1:14">
      <c r="A2573" s="12">
        <v>2572</v>
      </c>
      <c r="B2573" s="1" t="s">
        <v>1637</v>
      </c>
      <c r="C2573" s="42" t="s">
        <v>1638</v>
      </c>
      <c r="D2573" s="42" t="s">
        <v>3813</v>
      </c>
      <c r="E2573" s="42" t="s">
        <v>3814</v>
      </c>
      <c r="F2573" s="4">
        <v>12615.75</v>
      </c>
      <c r="G2573" s="47" t="s">
        <v>60</v>
      </c>
      <c r="H2573" s="12" t="s">
        <v>1641</v>
      </c>
      <c r="I2573" s="4">
        <v>0</v>
      </c>
      <c r="J2573" s="4">
        <v>0</v>
      </c>
      <c r="K2573" s="4">
        <v>600.75</v>
      </c>
      <c r="L2573" s="4">
        <v>0</v>
      </c>
      <c r="M2573" s="12" t="s">
        <v>571</v>
      </c>
      <c r="N2573" s="13">
        <f t="shared" si="62"/>
        <v>600.75</v>
      </c>
    </row>
    <row r="2574" spans="1:14">
      <c r="A2574" s="12">
        <v>2573</v>
      </c>
      <c r="B2574" s="1" t="s">
        <v>1637</v>
      </c>
      <c r="C2574" s="42" t="s">
        <v>1638</v>
      </c>
      <c r="D2574" s="42" t="s">
        <v>3815</v>
      </c>
      <c r="E2574" s="42" t="s">
        <v>3814</v>
      </c>
      <c r="F2574" s="4">
        <v>7922.25</v>
      </c>
      <c r="G2574" s="47" t="s">
        <v>60</v>
      </c>
      <c r="H2574" s="12" t="s">
        <v>1641</v>
      </c>
      <c r="I2574" s="4">
        <v>0</v>
      </c>
      <c r="J2574" s="4">
        <v>0</v>
      </c>
      <c r="K2574" s="4">
        <v>377.25</v>
      </c>
      <c r="L2574" s="4">
        <v>0</v>
      </c>
      <c r="M2574" s="12" t="s">
        <v>571</v>
      </c>
      <c r="N2574" s="13">
        <f t="shared" si="62"/>
        <v>377.25</v>
      </c>
    </row>
    <row r="2575" spans="1:14">
      <c r="A2575" s="12">
        <v>2574</v>
      </c>
      <c r="B2575" s="1" t="s">
        <v>1637</v>
      </c>
      <c r="C2575" s="42" t="s">
        <v>1638</v>
      </c>
      <c r="D2575" s="42" t="s">
        <v>3816</v>
      </c>
      <c r="E2575" s="42" t="s">
        <v>3814</v>
      </c>
      <c r="F2575" s="4">
        <v>1020.7</v>
      </c>
      <c r="G2575" s="47" t="s">
        <v>60</v>
      </c>
      <c r="H2575" s="12">
        <v>3923</v>
      </c>
      <c r="I2575" s="4">
        <v>0</v>
      </c>
      <c r="J2575" s="4">
        <v>0</v>
      </c>
      <c r="K2575" s="4">
        <v>155.69999999999999</v>
      </c>
      <c r="L2575" s="4">
        <v>0</v>
      </c>
      <c r="M2575" s="12" t="s">
        <v>571</v>
      </c>
      <c r="N2575" s="13">
        <f t="shared" si="62"/>
        <v>155.69999999999999</v>
      </c>
    </row>
    <row r="2576" spans="1:14">
      <c r="A2576" s="12">
        <v>2575</v>
      </c>
      <c r="B2576" s="1" t="s">
        <v>1637</v>
      </c>
      <c r="C2576" s="42" t="s">
        <v>1638</v>
      </c>
      <c r="D2576" s="42" t="s">
        <v>3817</v>
      </c>
      <c r="E2576" s="42" t="s">
        <v>3814</v>
      </c>
      <c r="F2576" s="4">
        <v>1575</v>
      </c>
      <c r="G2576" s="47" t="s">
        <v>60</v>
      </c>
      <c r="H2576" s="12" t="s">
        <v>1641</v>
      </c>
      <c r="I2576" s="4">
        <v>0</v>
      </c>
      <c r="J2576" s="4">
        <v>0</v>
      </c>
      <c r="K2576" s="4">
        <v>75</v>
      </c>
      <c r="L2576" s="4">
        <v>0</v>
      </c>
      <c r="M2576" s="12" t="s">
        <v>571</v>
      </c>
      <c r="N2576" s="13">
        <f t="shared" si="62"/>
        <v>75</v>
      </c>
    </row>
    <row r="2577" spans="1:14">
      <c r="A2577" s="12">
        <v>2576</v>
      </c>
      <c r="B2577" s="1" t="s">
        <v>1637</v>
      </c>
      <c r="C2577" s="42" t="s">
        <v>1638</v>
      </c>
      <c r="D2577" s="42" t="s">
        <v>3818</v>
      </c>
      <c r="E2577" s="42" t="s">
        <v>3814</v>
      </c>
      <c r="F2577" s="4">
        <v>8212.7999999999993</v>
      </c>
      <c r="G2577" s="47" t="s">
        <v>60</v>
      </c>
      <c r="H2577" s="12">
        <v>7310</v>
      </c>
      <c r="I2577" s="4">
        <v>0</v>
      </c>
      <c r="J2577" s="4">
        <v>0</v>
      </c>
      <c r="K2577" s="4">
        <v>1252.8</v>
      </c>
      <c r="L2577" s="4">
        <v>0</v>
      </c>
      <c r="M2577" s="12" t="s">
        <v>571</v>
      </c>
      <c r="N2577" s="13">
        <f t="shared" si="62"/>
        <v>1252.8</v>
      </c>
    </row>
    <row r="2578" spans="1:14">
      <c r="A2578" s="12">
        <v>2577</v>
      </c>
      <c r="B2578" s="1" t="s">
        <v>1637</v>
      </c>
      <c r="C2578" s="42" t="s">
        <v>1638</v>
      </c>
      <c r="D2578" s="42" t="s">
        <v>3819</v>
      </c>
      <c r="E2578" s="42" t="s">
        <v>3814</v>
      </c>
      <c r="F2578" s="4">
        <v>18084.57</v>
      </c>
      <c r="G2578" s="47" t="s">
        <v>60</v>
      </c>
      <c r="H2578" s="12" t="s">
        <v>1641</v>
      </c>
      <c r="I2578" s="4">
        <v>0</v>
      </c>
      <c r="J2578" s="4">
        <v>0</v>
      </c>
      <c r="K2578" s="4">
        <v>861.17</v>
      </c>
      <c r="L2578" s="4">
        <v>0</v>
      </c>
      <c r="M2578" s="12" t="s">
        <v>571</v>
      </c>
      <c r="N2578" s="13">
        <f t="shared" si="62"/>
        <v>861.17</v>
      </c>
    </row>
    <row r="2579" spans="1:14">
      <c r="A2579" s="12">
        <v>2578</v>
      </c>
      <c r="B2579" s="1" t="s">
        <v>1637</v>
      </c>
      <c r="C2579" s="42" t="s">
        <v>1638</v>
      </c>
      <c r="D2579" s="42" t="s">
        <v>3820</v>
      </c>
      <c r="E2579" s="42" t="s">
        <v>3688</v>
      </c>
      <c r="F2579" s="4">
        <v>18747.75</v>
      </c>
      <c r="G2579" s="47" t="s">
        <v>60</v>
      </c>
      <c r="H2579" s="12" t="s">
        <v>1641</v>
      </c>
      <c r="I2579" s="4">
        <v>0</v>
      </c>
      <c r="J2579" s="4">
        <v>0</v>
      </c>
      <c r="K2579" s="4">
        <v>892.75</v>
      </c>
      <c r="L2579" s="4">
        <v>0</v>
      </c>
      <c r="M2579" s="12" t="s">
        <v>571</v>
      </c>
      <c r="N2579" s="13">
        <f t="shared" si="62"/>
        <v>892.75</v>
      </c>
    </row>
    <row r="2580" spans="1:14">
      <c r="A2580" s="12">
        <v>2579</v>
      </c>
      <c r="B2580" s="1" t="s">
        <v>1637</v>
      </c>
      <c r="C2580" s="42" t="s">
        <v>1638</v>
      </c>
      <c r="D2580" s="42" t="s">
        <v>3821</v>
      </c>
      <c r="E2580" s="42" t="s">
        <v>3688</v>
      </c>
      <c r="F2580" s="4">
        <v>566.4</v>
      </c>
      <c r="G2580" s="47" t="s">
        <v>60</v>
      </c>
      <c r="H2580" s="12">
        <v>4819</v>
      </c>
      <c r="I2580" s="4">
        <v>0</v>
      </c>
      <c r="J2580" s="4">
        <v>0</v>
      </c>
      <c r="K2580" s="4">
        <v>86.4</v>
      </c>
      <c r="L2580" s="4">
        <v>0</v>
      </c>
      <c r="M2580" s="12" t="s">
        <v>571</v>
      </c>
      <c r="N2580" s="13">
        <f t="shared" si="62"/>
        <v>86.4</v>
      </c>
    </row>
    <row r="2581" spans="1:14">
      <c r="A2581" s="12">
        <v>2580</v>
      </c>
      <c r="B2581" s="1" t="s">
        <v>1637</v>
      </c>
      <c r="C2581" s="42" t="s">
        <v>1638</v>
      </c>
      <c r="D2581" s="42" t="s">
        <v>3822</v>
      </c>
      <c r="E2581" s="42" t="s">
        <v>3688</v>
      </c>
      <c r="F2581" s="4">
        <v>11578.88</v>
      </c>
      <c r="G2581" s="47" t="s">
        <v>60</v>
      </c>
      <c r="H2581" s="12" t="s">
        <v>1641</v>
      </c>
      <c r="I2581" s="4">
        <v>0</v>
      </c>
      <c r="J2581" s="4">
        <v>0</v>
      </c>
      <c r="K2581" s="4">
        <v>551.38</v>
      </c>
      <c r="L2581" s="4">
        <v>0</v>
      </c>
      <c r="M2581" s="12" t="s">
        <v>571</v>
      </c>
      <c r="N2581" s="13">
        <f t="shared" si="62"/>
        <v>551.38</v>
      </c>
    </row>
    <row r="2582" spans="1:14">
      <c r="A2582" s="12">
        <v>2581</v>
      </c>
      <c r="B2582" s="1" t="s">
        <v>1637</v>
      </c>
      <c r="C2582" s="42" t="s">
        <v>1638</v>
      </c>
      <c r="D2582" s="42" t="s">
        <v>3823</v>
      </c>
      <c r="E2582" s="42" t="s">
        <v>3824</v>
      </c>
      <c r="F2582" s="4">
        <v>33868.800000000003</v>
      </c>
      <c r="G2582" s="47" t="s">
        <v>60</v>
      </c>
      <c r="H2582" s="12" t="s">
        <v>1641</v>
      </c>
      <c r="I2582" s="4">
        <v>0</v>
      </c>
      <c r="J2582" s="4">
        <v>0</v>
      </c>
      <c r="K2582" s="4">
        <v>1612.8</v>
      </c>
      <c r="L2582" s="4">
        <v>0</v>
      </c>
      <c r="M2582" s="12" t="s">
        <v>571</v>
      </c>
      <c r="N2582" s="13">
        <f t="shared" si="62"/>
        <v>1612.8</v>
      </c>
    </row>
    <row r="2583" spans="1:14">
      <c r="A2583" s="12">
        <v>2582</v>
      </c>
      <c r="B2583" s="1" t="s">
        <v>1637</v>
      </c>
      <c r="C2583" s="42" t="s">
        <v>1638</v>
      </c>
      <c r="D2583" s="42" t="s">
        <v>3825</v>
      </c>
      <c r="E2583" s="42" t="s">
        <v>3824</v>
      </c>
      <c r="F2583" s="4">
        <v>8759.14</v>
      </c>
      <c r="G2583" s="47" t="s">
        <v>60</v>
      </c>
      <c r="H2583" s="12">
        <v>4819</v>
      </c>
      <c r="I2583" s="4">
        <v>0</v>
      </c>
      <c r="J2583" s="4">
        <v>0</v>
      </c>
      <c r="K2583" s="4">
        <v>1336.14</v>
      </c>
      <c r="L2583" s="4">
        <v>0</v>
      </c>
      <c r="M2583" s="12" t="s">
        <v>571</v>
      </c>
      <c r="N2583" s="13">
        <f t="shared" si="62"/>
        <v>1336.14</v>
      </c>
    </row>
    <row r="2584" spans="1:14">
      <c r="A2584" s="12">
        <v>2583</v>
      </c>
      <c r="B2584" s="1" t="s">
        <v>1637</v>
      </c>
      <c r="C2584" s="42" t="s">
        <v>1638</v>
      </c>
      <c r="D2584" s="42" t="s">
        <v>3826</v>
      </c>
      <c r="E2584" s="42" t="s">
        <v>3720</v>
      </c>
      <c r="F2584" s="4">
        <v>49741.65</v>
      </c>
      <c r="G2584" s="47" t="s">
        <v>60</v>
      </c>
      <c r="H2584" s="12" t="s">
        <v>1641</v>
      </c>
      <c r="I2584" s="4">
        <v>0</v>
      </c>
      <c r="J2584" s="4">
        <v>0</v>
      </c>
      <c r="K2584" s="4">
        <v>2368.65</v>
      </c>
      <c r="L2584" s="4">
        <v>0</v>
      </c>
      <c r="M2584" s="12" t="s">
        <v>571</v>
      </c>
      <c r="N2584" s="13">
        <f t="shared" si="62"/>
        <v>2368.65</v>
      </c>
    </row>
    <row r="2585" spans="1:14">
      <c r="A2585" s="12">
        <v>2584</v>
      </c>
      <c r="B2585" s="1" t="s">
        <v>1637</v>
      </c>
      <c r="C2585" s="42" t="s">
        <v>1638</v>
      </c>
      <c r="D2585" s="42" t="s">
        <v>3827</v>
      </c>
      <c r="E2585" s="42" t="s">
        <v>3708</v>
      </c>
      <c r="F2585" s="4">
        <v>2415</v>
      </c>
      <c r="G2585" s="47" t="s">
        <v>60</v>
      </c>
      <c r="H2585" s="12" t="s">
        <v>1641</v>
      </c>
      <c r="I2585" s="4">
        <v>0</v>
      </c>
      <c r="J2585" s="4">
        <v>0</v>
      </c>
      <c r="K2585" s="4">
        <v>115</v>
      </c>
      <c r="L2585" s="4">
        <v>0</v>
      </c>
      <c r="M2585" s="12" t="s">
        <v>571</v>
      </c>
      <c r="N2585" s="13">
        <f t="shared" si="62"/>
        <v>115</v>
      </c>
    </row>
    <row r="2586" spans="1:14">
      <c r="A2586" s="12">
        <v>2585</v>
      </c>
      <c r="B2586" s="1" t="s">
        <v>1637</v>
      </c>
      <c r="C2586" s="42" t="s">
        <v>1638</v>
      </c>
      <c r="D2586" s="42" t="s">
        <v>3828</v>
      </c>
      <c r="E2586" s="42" t="s">
        <v>3708</v>
      </c>
      <c r="F2586" s="4">
        <v>46326</v>
      </c>
      <c r="G2586" s="47" t="s">
        <v>60</v>
      </c>
      <c r="H2586" s="12" t="s">
        <v>1641</v>
      </c>
      <c r="I2586" s="4">
        <v>0</v>
      </c>
      <c r="J2586" s="4">
        <v>0</v>
      </c>
      <c r="K2586" s="4">
        <v>2206</v>
      </c>
      <c r="L2586" s="4">
        <v>0</v>
      </c>
      <c r="M2586" s="12" t="s">
        <v>571</v>
      </c>
      <c r="N2586" s="13">
        <f t="shared" si="62"/>
        <v>2206</v>
      </c>
    </row>
    <row r="2587" spans="1:14">
      <c r="A2587" s="12">
        <v>2586</v>
      </c>
      <c r="B2587" s="1" t="s">
        <v>1637</v>
      </c>
      <c r="C2587" s="42" t="s">
        <v>1638</v>
      </c>
      <c r="D2587" s="42" t="s">
        <v>3829</v>
      </c>
      <c r="E2587" s="42" t="s">
        <v>3690</v>
      </c>
      <c r="F2587" s="4">
        <v>14093.1</v>
      </c>
      <c r="G2587" s="47" t="s">
        <v>60</v>
      </c>
      <c r="H2587" s="12" t="s">
        <v>1641</v>
      </c>
      <c r="I2587" s="4">
        <v>0</v>
      </c>
      <c r="J2587" s="4">
        <v>0</v>
      </c>
      <c r="K2587" s="4">
        <v>671.1</v>
      </c>
      <c r="L2587" s="4">
        <v>0</v>
      </c>
      <c r="M2587" s="12" t="s">
        <v>571</v>
      </c>
      <c r="N2587" s="13">
        <f t="shared" si="62"/>
        <v>671.1</v>
      </c>
    </row>
    <row r="2588" spans="1:14">
      <c r="A2588" s="12">
        <v>2587</v>
      </c>
      <c r="B2588" s="1" t="s">
        <v>1637</v>
      </c>
      <c r="C2588" s="42" t="s">
        <v>1638</v>
      </c>
      <c r="D2588" s="42" t="s">
        <v>3830</v>
      </c>
      <c r="E2588" s="42" t="s">
        <v>3690</v>
      </c>
      <c r="F2588" s="4">
        <v>4113.4799999999996</v>
      </c>
      <c r="G2588" s="47" t="s">
        <v>60</v>
      </c>
      <c r="H2588" s="12" t="s">
        <v>1641</v>
      </c>
      <c r="I2588" s="4">
        <v>0</v>
      </c>
      <c r="J2588" s="4">
        <v>0</v>
      </c>
      <c r="K2588" s="4">
        <v>627.48</v>
      </c>
      <c r="L2588" s="4">
        <v>0</v>
      </c>
      <c r="M2588" s="12" t="s">
        <v>571</v>
      </c>
      <c r="N2588" s="13">
        <f t="shared" si="62"/>
        <v>627.48</v>
      </c>
    </row>
    <row r="2589" spans="1:14">
      <c r="A2589" s="12">
        <v>2588</v>
      </c>
      <c r="B2589" s="1" t="s">
        <v>1637</v>
      </c>
      <c r="C2589" s="42" t="s">
        <v>1638</v>
      </c>
      <c r="D2589" s="42" t="s">
        <v>3831</v>
      </c>
      <c r="E2589" s="42" t="s">
        <v>3690</v>
      </c>
      <c r="F2589" s="4">
        <v>20509.650000000001</v>
      </c>
      <c r="G2589" s="47" t="s">
        <v>60</v>
      </c>
      <c r="H2589" s="12" t="s">
        <v>1641</v>
      </c>
      <c r="I2589" s="4">
        <v>0</v>
      </c>
      <c r="J2589" s="4">
        <v>0</v>
      </c>
      <c r="K2589" s="4">
        <v>976.65</v>
      </c>
      <c r="L2589" s="4">
        <v>0</v>
      </c>
      <c r="M2589" s="12" t="s">
        <v>571</v>
      </c>
      <c r="N2589" s="13">
        <f t="shared" si="62"/>
        <v>976.65</v>
      </c>
    </row>
    <row r="2590" spans="1:14">
      <c r="A2590" s="12">
        <v>2589</v>
      </c>
      <c r="B2590" s="1" t="s">
        <v>1637</v>
      </c>
      <c r="C2590" s="42" t="s">
        <v>1638</v>
      </c>
      <c r="D2590" s="42" t="s">
        <v>3832</v>
      </c>
      <c r="E2590" s="42" t="s">
        <v>3833</v>
      </c>
      <c r="F2590" s="4">
        <v>7596.12</v>
      </c>
      <c r="G2590" s="47" t="s">
        <v>60</v>
      </c>
      <c r="H2590" s="12" t="s">
        <v>1641</v>
      </c>
      <c r="I2590" s="4">
        <v>0</v>
      </c>
      <c r="J2590" s="4">
        <v>0</v>
      </c>
      <c r="K2590" s="4">
        <v>361.72</v>
      </c>
      <c r="L2590" s="4">
        <v>0</v>
      </c>
      <c r="M2590" s="12" t="s">
        <v>571</v>
      </c>
      <c r="N2590" s="13">
        <f t="shared" si="62"/>
        <v>361.72</v>
      </c>
    </row>
    <row r="2591" spans="1:14">
      <c r="A2591" s="12">
        <v>2590</v>
      </c>
      <c r="B2591" s="1" t="s">
        <v>1637</v>
      </c>
      <c r="C2591" s="42" t="s">
        <v>1638</v>
      </c>
      <c r="D2591" s="42" t="s">
        <v>3834</v>
      </c>
      <c r="E2591" s="42" t="s">
        <v>3765</v>
      </c>
      <c r="F2591" s="4">
        <v>22483.65</v>
      </c>
      <c r="G2591" s="47" t="s">
        <v>60</v>
      </c>
      <c r="H2591" s="12" t="s">
        <v>1641</v>
      </c>
      <c r="I2591" s="4">
        <v>0</v>
      </c>
      <c r="J2591" s="4">
        <v>0</v>
      </c>
      <c r="K2591" s="4">
        <v>1070.6500000000001</v>
      </c>
      <c r="L2591" s="4">
        <v>0</v>
      </c>
      <c r="M2591" s="12" t="s">
        <v>571</v>
      </c>
      <c r="N2591" s="13">
        <f t="shared" si="62"/>
        <v>1070.6500000000001</v>
      </c>
    </row>
    <row r="2592" spans="1:14">
      <c r="A2592" s="12">
        <v>2591</v>
      </c>
      <c r="B2592" s="1" t="s">
        <v>1753</v>
      </c>
      <c r="C2592" s="42" t="s">
        <v>1754</v>
      </c>
      <c r="D2592" s="42" t="s">
        <v>3835</v>
      </c>
      <c r="E2592" s="42" t="s">
        <v>3736</v>
      </c>
      <c r="F2592" s="4">
        <v>65425.1</v>
      </c>
      <c r="G2592" s="47" t="s">
        <v>60</v>
      </c>
      <c r="H2592" s="12">
        <v>4821</v>
      </c>
      <c r="I2592" s="4">
        <v>4990.05</v>
      </c>
      <c r="J2592" s="4">
        <v>4990.05</v>
      </c>
      <c r="K2592" s="4">
        <v>0</v>
      </c>
      <c r="L2592" s="4">
        <v>0</v>
      </c>
      <c r="M2592" s="12" t="s">
        <v>571</v>
      </c>
      <c r="N2592" s="13">
        <f t="shared" si="62"/>
        <v>9980.1</v>
      </c>
    </row>
    <row r="2593" spans="1:14">
      <c r="A2593" s="12">
        <v>2592</v>
      </c>
      <c r="B2593" s="1" t="s">
        <v>1753</v>
      </c>
      <c r="C2593" s="42" t="s">
        <v>1754</v>
      </c>
      <c r="D2593" s="42" t="s">
        <v>3836</v>
      </c>
      <c r="E2593" s="42" t="s">
        <v>3736</v>
      </c>
      <c r="F2593" s="4">
        <v>14160</v>
      </c>
      <c r="G2593" s="47" t="s">
        <v>60</v>
      </c>
      <c r="H2593" s="12">
        <v>4821</v>
      </c>
      <c r="I2593" s="4">
        <v>1080</v>
      </c>
      <c r="J2593" s="4">
        <v>1080</v>
      </c>
      <c r="K2593" s="4">
        <v>0</v>
      </c>
      <c r="L2593" s="4">
        <v>0</v>
      </c>
      <c r="M2593" s="12" t="s">
        <v>571</v>
      </c>
      <c r="N2593" s="13">
        <f t="shared" si="62"/>
        <v>2160</v>
      </c>
    </row>
    <row r="2594" spans="1:14">
      <c r="A2594" s="12">
        <v>2593</v>
      </c>
      <c r="B2594" s="1" t="s">
        <v>1753</v>
      </c>
      <c r="C2594" s="42" t="s">
        <v>1754</v>
      </c>
      <c r="D2594" s="42" t="s">
        <v>3837</v>
      </c>
      <c r="E2594" s="42" t="s">
        <v>3736</v>
      </c>
      <c r="F2594" s="4">
        <v>22838.9</v>
      </c>
      <c r="G2594" s="47" t="s">
        <v>60</v>
      </c>
      <c r="H2594" s="12">
        <v>4821</v>
      </c>
      <c r="I2594" s="4">
        <v>1741.95</v>
      </c>
      <c r="J2594" s="4">
        <v>1741.95</v>
      </c>
      <c r="K2594" s="4">
        <v>0</v>
      </c>
      <c r="L2594" s="4">
        <v>0</v>
      </c>
      <c r="M2594" s="12" t="s">
        <v>571</v>
      </c>
      <c r="N2594" s="13">
        <f t="shared" si="62"/>
        <v>3483.9</v>
      </c>
    </row>
    <row r="2595" spans="1:14">
      <c r="A2595" s="12">
        <v>2594</v>
      </c>
      <c r="B2595" s="1" t="s">
        <v>1753</v>
      </c>
      <c r="C2595" s="42" t="s">
        <v>1754</v>
      </c>
      <c r="D2595" s="42" t="s">
        <v>3838</v>
      </c>
      <c r="E2595" s="42" t="s">
        <v>3736</v>
      </c>
      <c r="F2595" s="4">
        <v>32178.6</v>
      </c>
      <c r="G2595" s="47" t="s">
        <v>60</v>
      </c>
      <c r="H2595" s="12">
        <v>4821</v>
      </c>
      <c r="I2595" s="4">
        <v>2454.3000000000002</v>
      </c>
      <c r="J2595" s="4">
        <v>2454.3000000000002</v>
      </c>
      <c r="K2595" s="4">
        <v>0</v>
      </c>
      <c r="L2595" s="4">
        <v>0</v>
      </c>
      <c r="M2595" s="12" t="s">
        <v>571</v>
      </c>
      <c r="N2595" s="13">
        <f t="shared" si="62"/>
        <v>4908.6000000000004</v>
      </c>
    </row>
    <row r="2596" spans="1:14">
      <c r="A2596" s="12">
        <v>2595</v>
      </c>
      <c r="B2596" s="1" t="s">
        <v>1793</v>
      </c>
      <c r="C2596" s="42" t="s">
        <v>1794</v>
      </c>
      <c r="D2596" s="42" t="s">
        <v>3839</v>
      </c>
      <c r="E2596" s="42" t="s">
        <v>492</v>
      </c>
      <c r="F2596" s="4">
        <v>5243.83</v>
      </c>
      <c r="G2596" s="47" t="s">
        <v>570</v>
      </c>
      <c r="H2596" s="12">
        <v>996812</v>
      </c>
      <c r="I2596" s="4">
        <v>399.95</v>
      </c>
      <c r="J2596" s="4">
        <v>399.95</v>
      </c>
      <c r="K2596" s="4">
        <v>0</v>
      </c>
      <c r="L2596" s="4">
        <v>0</v>
      </c>
      <c r="M2596" s="12" t="s">
        <v>571</v>
      </c>
      <c r="N2596" s="13">
        <f t="shared" si="62"/>
        <v>799.9</v>
      </c>
    </row>
    <row r="2597" spans="1:14">
      <c r="A2597" s="12">
        <v>2596</v>
      </c>
      <c r="B2597" s="1" t="s">
        <v>1793</v>
      </c>
      <c r="C2597" s="42" t="s">
        <v>1794</v>
      </c>
      <c r="D2597" s="42" t="s">
        <v>3840</v>
      </c>
      <c r="E2597" s="42" t="s">
        <v>492</v>
      </c>
      <c r="F2597" s="4">
        <v>64054.29</v>
      </c>
      <c r="G2597" s="47" t="s">
        <v>570</v>
      </c>
      <c r="H2597" s="12">
        <v>996812</v>
      </c>
      <c r="I2597" s="4">
        <v>4885.5</v>
      </c>
      <c r="J2597" s="4">
        <v>4885.5</v>
      </c>
      <c r="K2597" s="4">
        <v>0</v>
      </c>
      <c r="L2597" s="4">
        <v>0</v>
      </c>
      <c r="M2597" s="12" t="s">
        <v>571</v>
      </c>
      <c r="N2597" s="13">
        <f t="shared" si="62"/>
        <v>9771</v>
      </c>
    </row>
    <row r="2598" spans="1:14">
      <c r="A2598" s="12">
        <v>2597</v>
      </c>
      <c r="B2598" s="1" t="s">
        <v>1793</v>
      </c>
      <c r="C2598" s="42" t="s">
        <v>1794</v>
      </c>
      <c r="D2598" s="42" t="s">
        <v>3841</v>
      </c>
      <c r="E2598" s="42" t="s">
        <v>492</v>
      </c>
      <c r="F2598" s="4">
        <v>13826.29</v>
      </c>
      <c r="G2598" s="47" t="s">
        <v>570</v>
      </c>
      <c r="H2598" s="12">
        <v>996812</v>
      </c>
      <c r="I2598" s="4">
        <v>1054.55</v>
      </c>
      <c r="J2598" s="4">
        <v>1054.55</v>
      </c>
      <c r="K2598" s="4">
        <v>0</v>
      </c>
      <c r="L2598" s="4">
        <v>0</v>
      </c>
      <c r="M2598" s="12" t="s">
        <v>571</v>
      </c>
      <c r="N2598" s="13">
        <f t="shared" ref="N2598:N2654" si="63">SUM(I2598:K2598)</f>
        <v>2109.1</v>
      </c>
    </row>
    <row r="2599" spans="1:14">
      <c r="A2599" s="12">
        <v>2598</v>
      </c>
      <c r="B2599" s="1" t="s">
        <v>1793</v>
      </c>
      <c r="C2599" s="42" t="s">
        <v>1794</v>
      </c>
      <c r="D2599" s="42" t="s">
        <v>3842</v>
      </c>
      <c r="E2599" s="42" t="s">
        <v>492</v>
      </c>
      <c r="F2599" s="4">
        <v>229714.19</v>
      </c>
      <c r="G2599" s="47" t="s">
        <v>570</v>
      </c>
      <c r="H2599" s="12">
        <v>996812</v>
      </c>
      <c r="I2599" s="4">
        <v>17520.57</v>
      </c>
      <c r="J2599" s="4">
        <v>17520.57</v>
      </c>
      <c r="K2599" s="4">
        <v>0</v>
      </c>
      <c r="L2599" s="4">
        <v>0</v>
      </c>
      <c r="M2599" s="12" t="s">
        <v>571</v>
      </c>
      <c r="N2599" s="13">
        <f t="shared" si="63"/>
        <v>35041.14</v>
      </c>
    </row>
    <row r="2600" spans="1:14">
      <c r="A2600" s="12">
        <v>2599</v>
      </c>
      <c r="B2600" s="1" t="s">
        <v>1793</v>
      </c>
      <c r="C2600" s="42" t="s">
        <v>1794</v>
      </c>
      <c r="D2600" s="42" t="s">
        <v>3843</v>
      </c>
      <c r="E2600" s="42" t="s">
        <v>519</v>
      </c>
      <c r="F2600" s="4">
        <v>194.21</v>
      </c>
      <c r="G2600" s="47" t="s">
        <v>570</v>
      </c>
      <c r="H2600" s="12">
        <v>996812</v>
      </c>
      <c r="I2600" s="4">
        <v>14.81</v>
      </c>
      <c r="J2600" s="4">
        <v>14.81</v>
      </c>
      <c r="K2600" s="4">
        <v>0</v>
      </c>
      <c r="L2600" s="4">
        <v>0</v>
      </c>
      <c r="M2600" s="12" t="s">
        <v>571</v>
      </c>
      <c r="N2600" s="13">
        <f t="shared" si="63"/>
        <v>29.62</v>
      </c>
    </row>
    <row r="2601" spans="1:14">
      <c r="A2601" s="12">
        <v>2600</v>
      </c>
      <c r="B2601" s="1" t="s">
        <v>3844</v>
      </c>
      <c r="C2601" s="42" t="s">
        <v>593</v>
      </c>
      <c r="D2601" s="42" t="s">
        <v>3845</v>
      </c>
      <c r="E2601" s="42" t="s">
        <v>3833</v>
      </c>
      <c r="F2601" s="4">
        <v>588.99</v>
      </c>
      <c r="G2601" s="47" t="s">
        <v>1772</v>
      </c>
      <c r="H2601" s="12">
        <v>4202</v>
      </c>
      <c r="I2601" s="4">
        <v>44.92</v>
      </c>
      <c r="J2601" s="4">
        <v>44.92</v>
      </c>
      <c r="K2601" s="4">
        <v>0</v>
      </c>
      <c r="L2601" s="4">
        <v>0</v>
      </c>
      <c r="M2601" s="12" t="s">
        <v>571</v>
      </c>
      <c r="N2601" s="13">
        <f t="shared" si="63"/>
        <v>89.84</v>
      </c>
    </row>
    <row r="2602" spans="1:14">
      <c r="A2602" s="12">
        <v>2601</v>
      </c>
      <c r="B2602" s="1" t="s">
        <v>3401</v>
      </c>
      <c r="C2602" s="42" t="s">
        <v>3402</v>
      </c>
      <c r="D2602" s="42" t="s">
        <v>3846</v>
      </c>
      <c r="E2602" s="42" t="s">
        <v>527</v>
      </c>
      <c r="F2602" s="4">
        <v>59000</v>
      </c>
      <c r="G2602" s="47" t="s">
        <v>570</v>
      </c>
      <c r="H2602" s="12">
        <v>998361</v>
      </c>
      <c r="I2602" s="4">
        <v>0</v>
      </c>
      <c r="J2602" s="4">
        <v>0</v>
      </c>
      <c r="K2602" s="4">
        <v>9000</v>
      </c>
      <c r="L2602" s="4">
        <v>0</v>
      </c>
      <c r="M2602" s="12" t="s">
        <v>571</v>
      </c>
      <c r="N2602" s="13">
        <f t="shared" si="63"/>
        <v>9000</v>
      </c>
    </row>
    <row r="2603" spans="1:14">
      <c r="A2603" s="12">
        <v>2602</v>
      </c>
      <c r="B2603" s="1" t="s">
        <v>3847</v>
      </c>
      <c r="C2603" s="42" t="s">
        <v>3848</v>
      </c>
      <c r="D2603" s="42" t="s">
        <v>3849</v>
      </c>
      <c r="E2603" s="42" t="s">
        <v>3690</v>
      </c>
      <c r="F2603" s="4">
        <v>249</v>
      </c>
      <c r="G2603" s="47" t="s">
        <v>1772</v>
      </c>
      <c r="H2603" s="12">
        <v>82083000</v>
      </c>
      <c r="I2603" s="4">
        <v>0</v>
      </c>
      <c r="J2603" s="4">
        <v>0</v>
      </c>
      <c r="K2603" s="4">
        <v>11.86</v>
      </c>
      <c r="L2603" s="4">
        <v>0</v>
      </c>
      <c r="M2603" s="12" t="s">
        <v>571</v>
      </c>
      <c r="N2603" s="13">
        <f t="shared" si="63"/>
        <v>11.86</v>
      </c>
    </row>
    <row r="2604" spans="1:14">
      <c r="A2604" s="12">
        <v>2603</v>
      </c>
      <c r="B2604" s="1" t="s">
        <v>3850</v>
      </c>
      <c r="C2604" s="42" t="s">
        <v>3851</v>
      </c>
      <c r="D2604" s="42" t="s">
        <v>3852</v>
      </c>
      <c r="E2604" s="42" t="s">
        <v>3688</v>
      </c>
      <c r="F2604" s="4">
        <v>400</v>
      </c>
      <c r="G2604" s="47" t="s">
        <v>60</v>
      </c>
      <c r="H2604" s="12" t="s">
        <v>1700</v>
      </c>
      <c r="I2604" s="4">
        <v>0</v>
      </c>
      <c r="J2604" s="4">
        <v>0</v>
      </c>
      <c r="K2604" s="4">
        <v>19.05</v>
      </c>
      <c r="L2604" s="4">
        <v>0</v>
      </c>
      <c r="M2604" s="12" t="s">
        <v>571</v>
      </c>
      <c r="N2604" s="13">
        <f t="shared" si="63"/>
        <v>19.05</v>
      </c>
    </row>
    <row r="2605" spans="1:14">
      <c r="A2605" s="12">
        <v>2604</v>
      </c>
      <c r="B2605" s="1" t="s">
        <v>1799</v>
      </c>
      <c r="C2605" s="42" t="s">
        <v>1800</v>
      </c>
      <c r="D2605" s="42" t="s">
        <v>3853</v>
      </c>
      <c r="E2605" s="42" t="s">
        <v>492</v>
      </c>
      <c r="F2605" s="4">
        <v>12.74</v>
      </c>
      <c r="G2605" s="47" t="s">
        <v>570</v>
      </c>
      <c r="H2605" s="12">
        <v>997159</v>
      </c>
      <c r="I2605" s="4">
        <v>0.97</v>
      </c>
      <c r="J2605" s="4">
        <v>0.97</v>
      </c>
      <c r="K2605" s="4">
        <v>0</v>
      </c>
      <c r="L2605" s="4">
        <v>0</v>
      </c>
      <c r="M2605" s="12" t="s">
        <v>571</v>
      </c>
      <c r="N2605" s="13">
        <f t="shared" si="63"/>
        <v>1.94</v>
      </c>
    </row>
    <row r="2606" spans="1:14">
      <c r="A2606" s="12">
        <v>2605</v>
      </c>
      <c r="B2606" s="1" t="s">
        <v>1620</v>
      </c>
      <c r="C2606" s="42" t="s">
        <v>1621</v>
      </c>
      <c r="D2606" s="42" t="s">
        <v>3854</v>
      </c>
      <c r="E2606" s="42" t="s">
        <v>3799</v>
      </c>
      <c r="F2606" s="4">
        <v>413</v>
      </c>
      <c r="G2606" s="47" t="s">
        <v>570</v>
      </c>
      <c r="H2606" s="12">
        <v>997159</v>
      </c>
      <c r="I2606" s="4">
        <v>0</v>
      </c>
      <c r="J2606" s="4">
        <v>0</v>
      </c>
      <c r="K2606" s="4">
        <v>63</v>
      </c>
      <c r="L2606" s="4">
        <v>0</v>
      </c>
      <c r="M2606" s="12" t="s">
        <v>571</v>
      </c>
      <c r="N2606" s="13">
        <f t="shared" si="63"/>
        <v>63</v>
      </c>
    </row>
    <row r="2607" spans="1:14">
      <c r="A2607" s="12">
        <v>2606</v>
      </c>
      <c r="B2607" s="1" t="s">
        <v>1620</v>
      </c>
      <c r="C2607" s="42" t="s">
        <v>1621</v>
      </c>
      <c r="D2607" s="42" t="s">
        <v>3855</v>
      </c>
      <c r="E2607" s="42" t="s">
        <v>3690</v>
      </c>
      <c r="F2607" s="4">
        <v>826</v>
      </c>
      <c r="G2607" s="47" t="s">
        <v>570</v>
      </c>
      <c r="H2607" s="12">
        <v>997159</v>
      </c>
      <c r="I2607" s="4">
        <v>0</v>
      </c>
      <c r="J2607" s="4">
        <v>0</v>
      </c>
      <c r="K2607" s="4">
        <v>126</v>
      </c>
      <c r="L2607" s="4">
        <v>0</v>
      </c>
      <c r="M2607" s="12" t="s">
        <v>571</v>
      </c>
      <c r="N2607" s="13">
        <f t="shared" si="63"/>
        <v>126</v>
      </c>
    </row>
    <row r="2608" spans="1:14">
      <c r="A2608" s="12">
        <v>2607</v>
      </c>
      <c r="B2608" s="1" t="s">
        <v>1620</v>
      </c>
      <c r="C2608" s="42" t="s">
        <v>1621</v>
      </c>
      <c r="D2608" s="42" t="s">
        <v>3856</v>
      </c>
      <c r="E2608" s="42" t="s">
        <v>3690</v>
      </c>
      <c r="F2608" s="4">
        <v>826</v>
      </c>
      <c r="G2608" s="47" t="s">
        <v>570</v>
      </c>
      <c r="H2608" s="12">
        <v>997159</v>
      </c>
      <c r="I2608" s="4">
        <v>0</v>
      </c>
      <c r="J2608" s="4">
        <v>0</v>
      </c>
      <c r="K2608" s="4">
        <v>126</v>
      </c>
      <c r="L2608" s="4">
        <v>0</v>
      </c>
      <c r="M2608" s="12" t="s">
        <v>571</v>
      </c>
      <c r="N2608" s="13">
        <f t="shared" si="63"/>
        <v>126</v>
      </c>
    </row>
    <row r="2609" spans="1:14">
      <c r="A2609" s="12">
        <v>2608</v>
      </c>
      <c r="B2609" s="1" t="s">
        <v>1620</v>
      </c>
      <c r="C2609" s="42" t="s">
        <v>1621</v>
      </c>
      <c r="D2609" s="42" t="s">
        <v>3857</v>
      </c>
      <c r="E2609" s="42" t="s">
        <v>492</v>
      </c>
      <c r="F2609" s="4">
        <v>4875.37</v>
      </c>
      <c r="G2609" s="47" t="s">
        <v>570</v>
      </c>
      <c r="H2609" s="12">
        <v>997159</v>
      </c>
      <c r="I2609" s="4">
        <v>0</v>
      </c>
      <c r="J2609" s="4">
        <v>0</v>
      </c>
      <c r="K2609" s="4">
        <v>743.7</v>
      </c>
      <c r="L2609" s="4">
        <v>0</v>
      </c>
      <c r="M2609" s="12" t="s">
        <v>571</v>
      </c>
      <c r="N2609" s="13">
        <f t="shared" si="63"/>
        <v>743.7</v>
      </c>
    </row>
    <row r="2610" spans="1:14">
      <c r="A2610" s="12">
        <v>2609</v>
      </c>
      <c r="B2610" s="1" t="s">
        <v>3103</v>
      </c>
      <c r="C2610" s="42" t="s">
        <v>3104</v>
      </c>
      <c r="D2610" s="42" t="s">
        <v>3858</v>
      </c>
      <c r="E2610" s="42" t="s">
        <v>3698</v>
      </c>
      <c r="F2610" s="4">
        <v>7670</v>
      </c>
      <c r="G2610" s="47" t="s">
        <v>570</v>
      </c>
      <c r="H2610" s="12">
        <v>998713</v>
      </c>
      <c r="I2610" s="4">
        <v>585</v>
      </c>
      <c r="J2610" s="4">
        <v>585</v>
      </c>
      <c r="K2610" s="4">
        <v>0</v>
      </c>
      <c r="L2610" s="4">
        <v>0</v>
      </c>
      <c r="M2610" s="12" t="s">
        <v>571</v>
      </c>
      <c r="N2610" s="13">
        <f t="shared" si="63"/>
        <v>1170</v>
      </c>
    </row>
    <row r="2611" spans="1:14">
      <c r="A2611" s="12">
        <v>2610</v>
      </c>
      <c r="B2611" s="1" t="s">
        <v>3103</v>
      </c>
      <c r="C2611" s="42" t="s">
        <v>3104</v>
      </c>
      <c r="D2611" s="42" t="s">
        <v>3859</v>
      </c>
      <c r="E2611" s="42" t="s">
        <v>3702</v>
      </c>
      <c r="F2611" s="4">
        <v>4779</v>
      </c>
      <c r="G2611" s="47" t="s">
        <v>570</v>
      </c>
      <c r="H2611" s="12">
        <v>998713</v>
      </c>
      <c r="I2611" s="4">
        <v>364.5</v>
      </c>
      <c r="J2611" s="4">
        <v>364.5</v>
      </c>
      <c r="K2611" s="4">
        <v>0</v>
      </c>
      <c r="L2611" s="4">
        <v>0</v>
      </c>
      <c r="M2611" s="12" t="s">
        <v>571</v>
      </c>
      <c r="N2611" s="13">
        <f t="shared" si="63"/>
        <v>729</v>
      </c>
    </row>
    <row r="2612" spans="1:14">
      <c r="A2612" s="12">
        <v>2611</v>
      </c>
      <c r="B2612" s="1" t="s">
        <v>2541</v>
      </c>
      <c r="C2612" s="42" t="s">
        <v>2542</v>
      </c>
      <c r="D2612" s="42" t="s">
        <v>3860</v>
      </c>
      <c r="E2612" s="42" t="s">
        <v>3734</v>
      </c>
      <c r="F2612" s="4">
        <v>42525</v>
      </c>
      <c r="G2612" s="47" t="s">
        <v>60</v>
      </c>
      <c r="H2612" s="12" t="s">
        <v>1806</v>
      </c>
      <c r="I2612" s="4">
        <v>0</v>
      </c>
      <c r="J2612" s="4">
        <v>0</v>
      </c>
      <c r="K2612" s="4">
        <v>2025</v>
      </c>
      <c r="L2612" s="4">
        <v>0</v>
      </c>
      <c r="M2612" s="12" t="s">
        <v>571</v>
      </c>
      <c r="N2612" s="13">
        <f t="shared" si="63"/>
        <v>2025</v>
      </c>
    </row>
    <row r="2613" spans="1:14">
      <c r="A2613" s="12">
        <v>2612</v>
      </c>
      <c r="B2613" s="1" t="s">
        <v>592</v>
      </c>
      <c r="C2613" s="42" t="s">
        <v>593</v>
      </c>
      <c r="D2613" s="42" t="s">
        <v>3861</v>
      </c>
      <c r="E2613" s="42" t="s">
        <v>3702</v>
      </c>
      <c r="F2613" s="4">
        <v>1160</v>
      </c>
      <c r="G2613" s="47" t="s">
        <v>1772</v>
      </c>
      <c r="H2613" s="12">
        <v>4202</v>
      </c>
      <c r="I2613" s="4">
        <v>0</v>
      </c>
      <c r="J2613" s="4">
        <v>0</v>
      </c>
      <c r="K2613" s="4">
        <v>0</v>
      </c>
      <c r="L2613" s="4">
        <v>0</v>
      </c>
      <c r="M2613" s="12" t="s">
        <v>571</v>
      </c>
      <c r="N2613" s="13">
        <f t="shared" si="63"/>
        <v>0</v>
      </c>
    </row>
    <row r="2614" spans="1:14">
      <c r="A2614" s="12">
        <v>2613</v>
      </c>
      <c r="B2614" s="1" t="s">
        <v>592</v>
      </c>
      <c r="C2614" s="42" t="s">
        <v>593</v>
      </c>
      <c r="D2614" s="42" t="s">
        <v>3862</v>
      </c>
      <c r="E2614" s="42" t="s">
        <v>3833</v>
      </c>
      <c r="F2614" s="4">
        <v>1013</v>
      </c>
      <c r="G2614" s="47" t="s">
        <v>1772</v>
      </c>
      <c r="H2614" s="12">
        <v>4202</v>
      </c>
      <c r="I2614" s="4">
        <v>0</v>
      </c>
      <c r="J2614" s="4">
        <v>0</v>
      </c>
      <c r="K2614" s="4">
        <v>154.53</v>
      </c>
      <c r="L2614" s="4">
        <v>0</v>
      </c>
      <c r="M2614" s="12" t="s">
        <v>571</v>
      </c>
      <c r="N2614" s="13">
        <f t="shared" si="63"/>
        <v>154.53</v>
      </c>
    </row>
    <row r="2615" spans="1:14">
      <c r="A2615" s="12">
        <v>2614</v>
      </c>
      <c r="B2615" s="1" t="s">
        <v>2747</v>
      </c>
      <c r="C2615" s="42" t="s">
        <v>2748</v>
      </c>
      <c r="D2615" s="42" t="s">
        <v>3863</v>
      </c>
      <c r="E2615" s="42" t="s">
        <v>3727</v>
      </c>
      <c r="F2615" s="4">
        <v>27140</v>
      </c>
      <c r="G2615" s="47" t="s">
        <v>60</v>
      </c>
      <c r="H2615" s="12" t="s">
        <v>1806</v>
      </c>
      <c r="I2615" s="4">
        <v>0</v>
      </c>
      <c r="J2615" s="4">
        <v>0</v>
      </c>
      <c r="K2615" s="4">
        <v>4140</v>
      </c>
      <c r="L2615" s="4">
        <v>0</v>
      </c>
      <c r="M2615" s="12" t="s">
        <v>571</v>
      </c>
      <c r="N2615" s="13">
        <f t="shared" si="63"/>
        <v>4140</v>
      </c>
    </row>
    <row r="2616" spans="1:14">
      <c r="A2616" s="12">
        <v>2615</v>
      </c>
      <c r="B2616" s="1" t="s">
        <v>2747</v>
      </c>
      <c r="C2616" s="42" t="s">
        <v>2748</v>
      </c>
      <c r="D2616" s="42" t="s">
        <v>3864</v>
      </c>
      <c r="E2616" s="42" t="s">
        <v>3688</v>
      </c>
      <c r="F2616" s="4">
        <v>53690</v>
      </c>
      <c r="G2616" s="47" t="s">
        <v>60</v>
      </c>
      <c r="H2616" s="12" t="s">
        <v>1806</v>
      </c>
      <c r="I2616" s="4">
        <v>0</v>
      </c>
      <c r="J2616" s="4">
        <v>0</v>
      </c>
      <c r="K2616" s="4">
        <v>8190</v>
      </c>
      <c r="L2616" s="4">
        <v>0</v>
      </c>
      <c r="M2616" s="12" t="s">
        <v>571</v>
      </c>
      <c r="N2616" s="13">
        <f t="shared" si="63"/>
        <v>8190</v>
      </c>
    </row>
    <row r="2617" spans="1:14">
      <c r="A2617" s="12">
        <v>2616</v>
      </c>
      <c r="B2617" s="1" t="s">
        <v>1766</v>
      </c>
      <c r="C2617" s="42" t="s">
        <v>1767</v>
      </c>
      <c r="D2617" s="42" t="s">
        <v>3865</v>
      </c>
      <c r="E2617" s="42" t="s">
        <v>3727</v>
      </c>
      <c r="F2617" s="4">
        <v>181.69</v>
      </c>
      <c r="G2617" s="47" t="s">
        <v>570</v>
      </c>
      <c r="H2617" s="12">
        <v>996511</v>
      </c>
      <c r="I2617" s="4">
        <v>0</v>
      </c>
      <c r="J2617" s="4">
        <v>0</v>
      </c>
      <c r="K2617" s="4">
        <v>27.7</v>
      </c>
      <c r="L2617" s="4">
        <v>0</v>
      </c>
      <c r="M2617" s="12" t="s">
        <v>571</v>
      </c>
      <c r="N2617" s="13">
        <f t="shared" si="63"/>
        <v>27.7</v>
      </c>
    </row>
    <row r="2618" spans="1:14">
      <c r="A2618" s="12">
        <v>2617</v>
      </c>
      <c r="B2618" s="1" t="s">
        <v>1766</v>
      </c>
      <c r="C2618" s="42" t="s">
        <v>1767</v>
      </c>
      <c r="D2618" s="42" t="s">
        <v>3866</v>
      </c>
      <c r="E2618" s="42" t="s">
        <v>3736</v>
      </c>
      <c r="F2618" s="4">
        <v>4521</v>
      </c>
      <c r="G2618" s="47" t="s">
        <v>570</v>
      </c>
      <c r="H2618" s="12">
        <v>996511</v>
      </c>
      <c r="I2618" s="4">
        <v>0</v>
      </c>
      <c r="J2618" s="4">
        <v>0</v>
      </c>
      <c r="K2618" s="4">
        <v>689.58</v>
      </c>
      <c r="L2618" s="4">
        <v>0</v>
      </c>
      <c r="M2618" s="12" t="s">
        <v>571</v>
      </c>
      <c r="N2618" s="13">
        <f t="shared" si="63"/>
        <v>689.58</v>
      </c>
    </row>
    <row r="2619" spans="1:14">
      <c r="A2619" s="12">
        <v>2618</v>
      </c>
      <c r="B2619" s="1" t="s">
        <v>1766</v>
      </c>
      <c r="C2619" s="42" t="s">
        <v>1767</v>
      </c>
      <c r="D2619" s="42" t="s">
        <v>3867</v>
      </c>
      <c r="E2619" s="42" t="s">
        <v>3741</v>
      </c>
      <c r="F2619" s="4">
        <v>14709</v>
      </c>
      <c r="G2619" s="47" t="s">
        <v>570</v>
      </c>
      <c r="H2619" s="12">
        <v>996511</v>
      </c>
      <c r="I2619" s="4">
        <v>0</v>
      </c>
      <c r="J2619" s="4">
        <v>0</v>
      </c>
      <c r="K2619" s="4">
        <v>2243.6999999999998</v>
      </c>
      <c r="L2619" s="4">
        <v>0</v>
      </c>
      <c r="M2619" s="12" t="s">
        <v>571</v>
      </c>
      <c r="N2619" s="13">
        <f t="shared" si="63"/>
        <v>2243.6999999999998</v>
      </c>
    </row>
    <row r="2620" spans="1:14">
      <c r="A2620" s="12">
        <v>2619</v>
      </c>
      <c r="B2620" s="1" t="s">
        <v>1759</v>
      </c>
      <c r="C2620" s="42" t="s">
        <v>1760</v>
      </c>
      <c r="D2620" s="42" t="s">
        <v>3868</v>
      </c>
      <c r="E2620" s="42" t="s">
        <v>492</v>
      </c>
      <c r="F2620" s="4">
        <v>1910.47</v>
      </c>
      <c r="G2620" s="47" t="s">
        <v>570</v>
      </c>
      <c r="H2620" s="12">
        <v>998361</v>
      </c>
      <c r="I2620" s="4">
        <v>0</v>
      </c>
      <c r="J2620" s="4">
        <v>0</v>
      </c>
      <c r="K2620" s="4">
        <v>291.43</v>
      </c>
      <c r="L2620" s="4">
        <v>0</v>
      </c>
      <c r="M2620" s="12" t="s">
        <v>571</v>
      </c>
      <c r="N2620" s="13">
        <f t="shared" si="63"/>
        <v>291.43</v>
      </c>
    </row>
    <row r="2621" spans="1:14">
      <c r="A2621" s="12">
        <v>2620</v>
      </c>
      <c r="B2621" s="1" t="s">
        <v>1759</v>
      </c>
      <c r="C2621" s="42" t="s">
        <v>1760</v>
      </c>
      <c r="D2621" s="42" t="s">
        <v>3869</v>
      </c>
      <c r="E2621" s="42" t="s">
        <v>492</v>
      </c>
      <c r="F2621" s="4">
        <v>14314.6</v>
      </c>
      <c r="G2621" s="47" t="s">
        <v>570</v>
      </c>
      <c r="H2621" s="12">
        <v>998361</v>
      </c>
      <c r="I2621" s="4">
        <v>0</v>
      </c>
      <c r="J2621" s="4">
        <v>0</v>
      </c>
      <c r="K2621" s="4">
        <v>2183.58</v>
      </c>
      <c r="L2621" s="4">
        <v>0</v>
      </c>
      <c r="M2621" s="12" t="s">
        <v>571</v>
      </c>
      <c r="N2621" s="13">
        <f t="shared" si="63"/>
        <v>2183.58</v>
      </c>
    </row>
    <row r="2622" spans="1:14">
      <c r="A2622" s="12">
        <v>2621</v>
      </c>
      <c r="B2622" s="1" t="s">
        <v>1844</v>
      </c>
      <c r="C2622" s="42" t="s">
        <v>1845</v>
      </c>
      <c r="D2622" s="42" t="s">
        <v>3870</v>
      </c>
      <c r="E2622" s="42" t="s">
        <v>492</v>
      </c>
      <c r="F2622" s="4">
        <v>3452.61</v>
      </c>
      <c r="G2622" s="47" t="s">
        <v>570</v>
      </c>
      <c r="H2622" s="12">
        <v>997158</v>
      </c>
      <c r="I2622" s="4">
        <v>0</v>
      </c>
      <c r="J2622" s="4">
        <v>0</v>
      </c>
      <c r="K2622" s="4">
        <v>0</v>
      </c>
      <c r="L2622" s="4">
        <v>0</v>
      </c>
      <c r="M2622" s="12" t="s">
        <v>571</v>
      </c>
      <c r="N2622" s="13">
        <f t="shared" si="63"/>
        <v>0</v>
      </c>
    </row>
    <row r="2623" spans="1:14">
      <c r="A2623" s="12">
        <v>2622</v>
      </c>
      <c r="B2623" s="1" t="s">
        <v>1844</v>
      </c>
      <c r="C2623" s="42" t="s">
        <v>1845</v>
      </c>
      <c r="D2623" s="42" t="s">
        <v>3870</v>
      </c>
      <c r="E2623" s="42" t="s">
        <v>492</v>
      </c>
      <c r="F2623" s="4">
        <v>3452.61</v>
      </c>
      <c r="G2623" s="47" t="s">
        <v>570</v>
      </c>
      <c r="H2623" s="12">
        <v>997158</v>
      </c>
      <c r="I2623" s="4">
        <v>0</v>
      </c>
      <c r="J2623" s="4">
        <v>0</v>
      </c>
      <c r="K2623" s="4">
        <v>488.23</v>
      </c>
      <c r="L2623" s="4">
        <v>0</v>
      </c>
      <c r="M2623" s="12" t="s">
        <v>571</v>
      </c>
      <c r="N2623" s="13">
        <f t="shared" si="63"/>
        <v>488.23</v>
      </c>
    </row>
    <row r="2624" spans="1:14">
      <c r="A2624" s="12">
        <v>2623</v>
      </c>
      <c r="B2624" s="1" t="s">
        <v>1737</v>
      </c>
      <c r="C2624" s="42" t="s">
        <v>1738</v>
      </c>
      <c r="D2624" s="42" t="s">
        <v>3871</v>
      </c>
      <c r="E2624" s="42" t="s">
        <v>492</v>
      </c>
      <c r="F2624" s="4">
        <v>28403</v>
      </c>
      <c r="G2624" s="47" t="s">
        <v>60</v>
      </c>
      <c r="H2624" s="12">
        <v>4911</v>
      </c>
      <c r="I2624" s="4">
        <v>2166.3000000000002</v>
      </c>
      <c r="J2624" s="4">
        <v>2166.3000000000002</v>
      </c>
      <c r="K2624" s="4">
        <v>0</v>
      </c>
      <c r="L2624" s="4">
        <v>0</v>
      </c>
      <c r="M2624" s="12" t="s">
        <v>571</v>
      </c>
      <c r="N2624" s="13">
        <f t="shared" si="63"/>
        <v>4332.6000000000004</v>
      </c>
    </row>
    <row r="2625" spans="1:14">
      <c r="A2625" s="12">
        <v>2624</v>
      </c>
      <c r="B2625" s="1" t="s">
        <v>3872</v>
      </c>
      <c r="C2625" s="42" t="s">
        <v>3873</v>
      </c>
      <c r="D2625" s="42" t="s">
        <v>3874</v>
      </c>
      <c r="E2625" s="42" t="s">
        <v>3698</v>
      </c>
      <c r="F2625" s="4">
        <v>18900</v>
      </c>
      <c r="G2625" s="47" t="s">
        <v>60</v>
      </c>
      <c r="H2625" s="12">
        <v>1211</v>
      </c>
      <c r="I2625" s="4">
        <v>0</v>
      </c>
      <c r="J2625" s="4">
        <v>0</v>
      </c>
      <c r="K2625" s="4">
        <v>900</v>
      </c>
      <c r="L2625" s="4">
        <v>0</v>
      </c>
      <c r="M2625" s="12" t="s">
        <v>571</v>
      </c>
      <c r="N2625" s="13">
        <f t="shared" si="63"/>
        <v>900</v>
      </c>
    </row>
    <row r="2626" spans="1:14">
      <c r="A2626" s="12">
        <v>2625</v>
      </c>
      <c r="B2626" s="1" t="s">
        <v>2319</v>
      </c>
      <c r="C2626" s="42" t="s">
        <v>2320</v>
      </c>
      <c r="D2626" s="42" t="s">
        <v>3875</v>
      </c>
      <c r="E2626" s="42" t="s">
        <v>3731</v>
      </c>
      <c r="F2626" s="4">
        <v>79164</v>
      </c>
      <c r="G2626" s="47" t="s">
        <v>60</v>
      </c>
      <c r="H2626" s="12" t="s">
        <v>1700</v>
      </c>
      <c r="I2626" s="4">
        <v>0</v>
      </c>
      <c r="J2626" s="4">
        <v>0</v>
      </c>
      <c r="K2626" s="4">
        <v>3500</v>
      </c>
      <c r="L2626" s="4">
        <v>0</v>
      </c>
      <c r="M2626" s="12" t="s">
        <v>571</v>
      </c>
      <c r="N2626" s="13">
        <f t="shared" si="63"/>
        <v>3500</v>
      </c>
    </row>
    <row r="2627" spans="1:14">
      <c r="A2627" s="12">
        <v>2626</v>
      </c>
      <c r="B2627" s="1" t="s">
        <v>2319</v>
      </c>
      <c r="C2627" s="42" t="s">
        <v>2320</v>
      </c>
      <c r="D2627" s="42" t="s">
        <v>3875</v>
      </c>
      <c r="E2627" s="42" t="s">
        <v>3731</v>
      </c>
      <c r="F2627" s="4">
        <v>79164</v>
      </c>
      <c r="G2627" s="47" t="s">
        <v>60</v>
      </c>
      <c r="H2627" s="12" t="s">
        <v>1700</v>
      </c>
      <c r="I2627" s="4">
        <v>0</v>
      </c>
      <c r="J2627" s="4">
        <v>0</v>
      </c>
      <c r="K2627" s="4">
        <v>864</v>
      </c>
      <c r="L2627" s="4">
        <v>0</v>
      </c>
      <c r="M2627" s="12" t="s">
        <v>571</v>
      </c>
      <c r="N2627" s="13">
        <f t="shared" si="63"/>
        <v>864</v>
      </c>
    </row>
    <row r="2628" spans="1:14">
      <c r="A2628" s="12">
        <v>2627</v>
      </c>
      <c r="B2628" s="1" t="s">
        <v>1687</v>
      </c>
      <c r="C2628" s="42" t="s">
        <v>1688</v>
      </c>
      <c r="D2628" s="42" t="s">
        <v>3876</v>
      </c>
      <c r="E2628" s="42" t="s">
        <v>3731</v>
      </c>
      <c r="F2628" s="4">
        <v>7401</v>
      </c>
      <c r="G2628" s="47" t="s">
        <v>60</v>
      </c>
      <c r="H2628" s="12" t="s">
        <v>1641</v>
      </c>
      <c r="I2628" s="4">
        <v>176.23</v>
      </c>
      <c r="J2628" s="4">
        <v>176.23</v>
      </c>
      <c r="K2628" s="4">
        <v>0</v>
      </c>
      <c r="L2628" s="4">
        <v>0</v>
      </c>
      <c r="M2628" s="12" t="s">
        <v>571</v>
      </c>
      <c r="N2628" s="13">
        <f t="shared" si="63"/>
        <v>352.46</v>
      </c>
    </row>
    <row r="2629" spans="1:14">
      <c r="A2629" s="12">
        <v>2628</v>
      </c>
      <c r="B2629" s="1" t="s">
        <v>1687</v>
      </c>
      <c r="C2629" s="42" t="s">
        <v>1688</v>
      </c>
      <c r="D2629" s="42" t="s">
        <v>3877</v>
      </c>
      <c r="E2629" s="42" t="s">
        <v>3688</v>
      </c>
      <c r="F2629" s="4">
        <v>20980</v>
      </c>
      <c r="G2629" s="47" t="s">
        <v>60</v>
      </c>
      <c r="H2629" s="12" t="s">
        <v>1641</v>
      </c>
      <c r="I2629" s="4">
        <v>499.53</v>
      </c>
      <c r="J2629" s="4">
        <v>499.53</v>
      </c>
      <c r="K2629" s="4">
        <v>0</v>
      </c>
      <c r="L2629" s="4">
        <v>0</v>
      </c>
      <c r="M2629" s="12" t="s">
        <v>571</v>
      </c>
      <c r="N2629" s="13">
        <f t="shared" si="63"/>
        <v>999.06</v>
      </c>
    </row>
    <row r="2630" spans="1:14">
      <c r="A2630" s="12">
        <v>2629</v>
      </c>
      <c r="B2630" s="1" t="s">
        <v>2724</v>
      </c>
      <c r="C2630" s="42" t="s">
        <v>2725</v>
      </c>
      <c r="D2630" s="42" t="s">
        <v>3878</v>
      </c>
      <c r="E2630" s="42" t="s">
        <v>3690</v>
      </c>
      <c r="F2630" s="4">
        <v>73106</v>
      </c>
      <c r="G2630" s="47" t="s">
        <v>60</v>
      </c>
      <c r="H2630" s="12" t="s">
        <v>1641</v>
      </c>
      <c r="I2630" s="4">
        <v>0</v>
      </c>
      <c r="J2630" s="4">
        <v>0</v>
      </c>
      <c r="K2630" s="4">
        <v>3481.25</v>
      </c>
      <c r="L2630" s="4">
        <v>0</v>
      </c>
      <c r="M2630" s="12" t="s">
        <v>571</v>
      </c>
      <c r="N2630" s="13">
        <f t="shared" si="63"/>
        <v>3481.25</v>
      </c>
    </row>
    <row r="2631" spans="1:14">
      <c r="A2631" s="12">
        <v>2630</v>
      </c>
      <c r="B2631" s="1" t="s">
        <v>2724</v>
      </c>
      <c r="C2631" s="42" t="s">
        <v>2725</v>
      </c>
      <c r="D2631" s="42" t="s">
        <v>3879</v>
      </c>
      <c r="E2631" s="42" t="s">
        <v>3690</v>
      </c>
      <c r="F2631" s="4">
        <v>4069</v>
      </c>
      <c r="G2631" s="47" t="s">
        <v>60</v>
      </c>
      <c r="H2631" s="12" t="s">
        <v>1641</v>
      </c>
      <c r="I2631" s="4">
        <v>0</v>
      </c>
      <c r="J2631" s="4">
        <v>0</v>
      </c>
      <c r="K2631" s="4">
        <v>193.75</v>
      </c>
      <c r="L2631" s="4">
        <v>0</v>
      </c>
      <c r="M2631" s="12" t="s">
        <v>571</v>
      </c>
      <c r="N2631" s="13">
        <f t="shared" si="63"/>
        <v>193.75</v>
      </c>
    </row>
    <row r="2632" spans="1:14">
      <c r="A2632" s="12">
        <v>2631</v>
      </c>
      <c r="B2632" s="1" t="s">
        <v>3880</v>
      </c>
      <c r="C2632" s="42" t="s">
        <v>3881</v>
      </c>
      <c r="D2632" s="42" t="s">
        <v>3882</v>
      </c>
      <c r="E2632" s="42" t="s">
        <v>3799</v>
      </c>
      <c r="F2632" s="4">
        <v>4800</v>
      </c>
      <c r="G2632" s="47" t="s">
        <v>570</v>
      </c>
      <c r="H2632" s="12">
        <v>441070</v>
      </c>
      <c r="I2632" s="4">
        <v>257.14</v>
      </c>
      <c r="J2632" s="4">
        <v>257.14</v>
      </c>
      <c r="K2632" s="4">
        <v>0</v>
      </c>
      <c r="L2632" s="4">
        <v>0</v>
      </c>
      <c r="M2632" s="14" t="s">
        <v>157</v>
      </c>
      <c r="N2632" s="15" t="s">
        <v>202</v>
      </c>
    </row>
    <row r="2633" spans="1:14">
      <c r="A2633" s="12">
        <v>2632</v>
      </c>
      <c r="B2633" s="1" t="s">
        <v>3880</v>
      </c>
      <c r="C2633" s="42" t="s">
        <v>3881</v>
      </c>
      <c r="D2633" s="42" t="s">
        <v>3883</v>
      </c>
      <c r="E2633" s="42" t="s">
        <v>3799</v>
      </c>
      <c r="F2633" s="4">
        <v>4800</v>
      </c>
      <c r="G2633" s="47" t="s">
        <v>570</v>
      </c>
      <c r="H2633" s="12">
        <v>441070</v>
      </c>
      <c r="I2633" s="4">
        <v>257.14</v>
      </c>
      <c r="J2633" s="4">
        <v>257.14</v>
      </c>
      <c r="K2633" s="4">
        <v>0</v>
      </c>
      <c r="L2633" s="4">
        <v>0</v>
      </c>
      <c r="M2633" s="14" t="s">
        <v>157</v>
      </c>
      <c r="N2633" s="15" t="s">
        <v>202</v>
      </c>
    </row>
    <row r="2634" spans="1:14">
      <c r="A2634" s="12">
        <v>2633</v>
      </c>
      <c r="B2634" s="1" t="s">
        <v>3880</v>
      </c>
      <c r="C2634" s="42" t="s">
        <v>3881</v>
      </c>
      <c r="D2634" s="42" t="s">
        <v>3884</v>
      </c>
      <c r="E2634" s="42" t="s">
        <v>3799</v>
      </c>
      <c r="F2634" s="4">
        <v>100</v>
      </c>
      <c r="G2634" s="47" t="s">
        <v>570</v>
      </c>
      <c r="H2634" s="12">
        <v>441070</v>
      </c>
      <c r="I2634" s="4">
        <v>7.56</v>
      </c>
      <c r="J2634" s="4">
        <v>7.56</v>
      </c>
      <c r="K2634" s="4">
        <v>0</v>
      </c>
      <c r="L2634" s="4">
        <v>0</v>
      </c>
      <c r="M2634" s="14" t="s">
        <v>157</v>
      </c>
      <c r="N2634" s="15" t="s">
        <v>202</v>
      </c>
    </row>
    <row r="2635" spans="1:14">
      <c r="A2635" s="12">
        <v>2634</v>
      </c>
      <c r="B2635" s="1" t="s">
        <v>528</v>
      </c>
      <c r="C2635" s="42" t="s">
        <v>529</v>
      </c>
      <c r="D2635" s="42" t="s">
        <v>3885</v>
      </c>
      <c r="E2635" s="42" t="s">
        <v>3727</v>
      </c>
      <c r="F2635" s="4">
        <v>295</v>
      </c>
      <c r="G2635" s="47" t="s">
        <v>570</v>
      </c>
      <c r="H2635" s="12">
        <v>998212</v>
      </c>
      <c r="I2635" s="4">
        <v>22.5</v>
      </c>
      <c r="J2635" s="4">
        <v>22.5</v>
      </c>
      <c r="K2635" s="4">
        <v>0</v>
      </c>
      <c r="L2635" s="4">
        <v>0</v>
      </c>
      <c r="M2635" s="12" t="s">
        <v>571</v>
      </c>
      <c r="N2635" s="13">
        <f t="shared" si="63"/>
        <v>45</v>
      </c>
    </row>
    <row r="2636" spans="1:14">
      <c r="A2636" s="12">
        <v>2635</v>
      </c>
      <c r="B2636" s="1" t="s">
        <v>528</v>
      </c>
      <c r="C2636" s="42" t="s">
        <v>529</v>
      </c>
      <c r="D2636" s="42" t="s">
        <v>3886</v>
      </c>
      <c r="E2636" s="42" t="s">
        <v>3702</v>
      </c>
      <c r="F2636" s="4">
        <v>295</v>
      </c>
      <c r="G2636" s="47" t="s">
        <v>570</v>
      </c>
      <c r="H2636" s="12">
        <v>998212</v>
      </c>
      <c r="I2636" s="4">
        <v>22.5</v>
      </c>
      <c r="J2636" s="4">
        <v>22.5</v>
      </c>
      <c r="K2636" s="4">
        <v>0</v>
      </c>
      <c r="L2636" s="4">
        <v>0</v>
      </c>
      <c r="M2636" s="12" t="s">
        <v>571</v>
      </c>
      <c r="N2636" s="13">
        <f t="shared" si="63"/>
        <v>45</v>
      </c>
    </row>
    <row r="2637" spans="1:14">
      <c r="A2637" s="12">
        <v>2636</v>
      </c>
      <c r="B2637" s="1" t="s">
        <v>528</v>
      </c>
      <c r="C2637" s="42" t="s">
        <v>529</v>
      </c>
      <c r="D2637" s="42" t="s">
        <v>3887</v>
      </c>
      <c r="E2637" s="42" t="s">
        <v>3720</v>
      </c>
      <c r="F2637" s="4">
        <v>1196.7</v>
      </c>
      <c r="G2637" s="47" t="s">
        <v>570</v>
      </c>
      <c r="H2637" s="12">
        <v>998212</v>
      </c>
      <c r="I2637" s="4">
        <v>91.27</v>
      </c>
      <c r="J2637" s="4">
        <v>91.27</v>
      </c>
      <c r="K2637" s="4">
        <v>0</v>
      </c>
      <c r="L2637" s="4">
        <v>0</v>
      </c>
      <c r="M2637" s="12" t="s">
        <v>571</v>
      </c>
      <c r="N2637" s="13">
        <f t="shared" si="63"/>
        <v>182.54</v>
      </c>
    </row>
    <row r="2638" spans="1:14">
      <c r="A2638" s="12">
        <v>2637</v>
      </c>
      <c r="B2638" s="1" t="s">
        <v>528</v>
      </c>
      <c r="C2638" s="42" t="s">
        <v>529</v>
      </c>
      <c r="D2638" s="42" t="s">
        <v>3888</v>
      </c>
      <c r="E2638" s="42" t="s">
        <v>3713</v>
      </c>
      <c r="F2638" s="4">
        <v>5.9</v>
      </c>
      <c r="G2638" s="47" t="s">
        <v>570</v>
      </c>
      <c r="H2638" s="12">
        <v>998212</v>
      </c>
      <c r="I2638" s="4">
        <v>0.45</v>
      </c>
      <c r="J2638" s="4">
        <v>0.45</v>
      </c>
      <c r="K2638" s="4">
        <v>0</v>
      </c>
      <c r="L2638" s="4">
        <v>0</v>
      </c>
      <c r="M2638" s="12" t="s">
        <v>571</v>
      </c>
      <c r="N2638" s="13">
        <f t="shared" si="63"/>
        <v>0.9</v>
      </c>
    </row>
    <row r="2639" spans="1:14">
      <c r="A2639" s="12">
        <v>2638</v>
      </c>
      <c r="B2639" s="1" t="s">
        <v>1773</v>
      </c>
      <c r="C2639" s="42" t="s">
        <v>1774</v>
      </c>
      <c r="D2639" s="42" t="s">
        <v>3889</v>
      </c>
      <c r="E2639" s="42" t="s">
        <v>492</v>
      </c>
      <c r="F2639" s="4">
        <v>226.69</v>
      </c>
      <c r="G2639" s="47" t="s">
        <v>570</v>
      </c>
      <c r="H2639" s="12">
        <v>997159</v>
      </c>
      <c r="I2639" s="4">
        <v>17.29</v>
      </c>
      <c r="J2639" s="4">
        <v>17.29</v>
      </c>
      <c r="K2639" s="4">
        <v>0</v>
      </c>
      <c r="L2639" s="4">
        <v>0</v>
      </c>
      <c r="M2639" s="12" t="s">
        <v>571</v>
      </c>
      <c r="N2639" s="13">
        <f t="shared" si="63"/>
        <v>34.58</v>
      </c>
    </row>
    <row r="2640" spans="1:14">
      <c r="A2640" s="12">
        <v>2639</v>
      </c>
      <c r="B2640" s="1" t="s">
        <v>3890</v>
      </c>
      <c r="C2640" s="42" t="s">
        <v>3692</v>
      </c>
      <c r="D2640" s="42" t="s">
        <v>3693</v>
      </c>
      <c r="E2640" s="42" t="s">
        <v>3694</v>
      </c>
      <c r="F2640" s="4">
        <v>595</v>
      </c>
      <c r="G2640" s="47" t="s">
        <v>1772</v>
      </c>
      <c r="H2640" s="12">
        <v>3920</v>
      </c>
      <c r="I2640" s="4">
        <v>0</v>
      </c>
      <c r="J2640" s="4">
        <v>0</v>
      </c>
      <c r="K2640" s="4">
        <v>90.76</v>
      </c>
      <c r="L2640" s="4">
        <v>0</v>
      </c>
      <c r="M2640" s="12" t="s">
        <v>571</v>
      </c>
      <c r="N2640" s="13">
        <f t="shared" si="63"/>
        <v>90.76</v>
      </c>
    </row>
    <row r="2641" spans="1:14">
      <c r="A2641" s="12">
        <v>2640</v>
      </c>
      <c r="B2641" s="1" t="s">
        <v>524</v>
      </c>
      <c r="C2641" s="42" t="s">
        <v>525</v>
      </c>
      <c r="D2641" s="42" t="s">
        <v>3891</v>
      </c>
      <c r="E2641" s="42" t="s">
        <v>3496</v>
      </c>
      <c r="F2641" s="4">
        <v>998</v>
      </c>
      <c r="G2641" s="47" t="s">
        <v>570</v>
      </c>
      <c r="H2641" s="12">
        <v>998552</v>
      </c>
      <c r="I2641" s="4">
        <v>0</v>
      </c>
      <c r="J2641" s="4">
        <v>0</v>
      </c>
      <c r="K2641" s="4">
        <v>152.24</v>
      </c>
      <c r="L2641" s="4">
        <v>0</v>
      </c>
      <c r="M2641" s="12" t="s">
        <v>571</v>
      </c>
      <c r="N2641" s="13">
        <f t="shared" si="63"/>
        <v>152.24</v>
      </c>
    </row>
    <row r="2642" spans="1:14">
      <c r="A2642" s="12">
        <v>2641</v>
      </c>
      <c r="B2642" s="1" t="s">
        <v>3892</v>
      </c>
      <c r="C2642" s="42" t="s">
        <v>3893</v>
      </c>
      <c r="D2642" s="42" t="s">
        <v>3894</v>
      </c>
      <c r="E2642" s="42" t="s">
        <v>3690</v>
      </c>
      <c r="F2642" s="4">
        <v>208</v>
      </c>
      <c r="G2642" s="47" t="s">
        <v>1772</v>
      </c>
      <c r="H2642" s="12">
        <v>48172000</v>
      </c>
      <c r="I2642" s="4">
        <v>0</v>
      </c>
      <c r="J2642" s="4">
        <v>0</v>
      </c>
      <c r="K2642" s="4">
        <v>31.73</v>
      </c>
      <c r="L2642" s="4">
        <v>0</v>
      </c>
      <c r="M2642" s="12" t="s">
        <v>571</v>
      </c>
      <c r="N2642" s="13">
        <f t="shared" si="63"/>
        <v>31.73</v>
      </c>
    </row>
    <row r="2643" spans="1:14">
      <c r="A2643" s="12">
        <v>2642</v>
      </c>
      <c r="B2643" s="1" t="s">
        <v>1786</v>
      </c>
      <c r="C2643" s="42" t="s">
        <v>1787</v>
      </c>
      <c r="D2643" s="42" t="s">
        <v>3895</v>
      </c>
      <c r="E2643" s="42" t="s">
        <v>3833</v>
      </c>
      <c r="F2643" s="4">
        <v>501</v>
      </c>
      <c r="G2643" s="47" t="s">
        <v>60</v>
      </c>
      <c r="H2643" s="12">
        <v>58079090</v>
      </c>
      <c r="I2643" s="4">
        <v>26.82</v>
      </c>
      <c r="J2643" s="4">
        <v>26.82</v>
      </c>
      <c r="K2643" s="4">
        <v>0</v>
      </c>
      <c r="L2643" s="4">
        <v>0</v>
      </c>
      <c r="M2643" s="12" t="s">
        <v>571</v>
      </c>
      <c r="N2643" s="13">
        <f t="shared" si="63"/>
        <v>53.64</v>
      </c>
    </row>
    <row r="2644" spans="1:14">
      <c r="A2644" s="12">
        <v>2643</v>
      </c>
      <c r="B2644" s="1" t="s">
        <v>3896</v>
      </c>
      <c r="C2644" s="42" t="s">
        <v>3897</v>
      </c>
      <c r="D2644" s="42" t="s">
        <v>3898</v>
      </c>
      <c r="E2644" s="42" t="s">
        <v>3690</v>
      </c>
      <c r="F2644" s="4">
        <v>899</v>
      </c>
      <c r="G2644" s="47" t="s">
        <v>1772</v>
      </c>
      <c r="H2644" s="12">
        <v>63052000</v>
      </c>
      <c r="I2644" s="4">
        <v>0</v>
      </c>
      <c r="J2644" s="4">
        <v>0</v>
      </c>
      <c r="K2644" s="4">
        <v>137.13</v>
      </c>
      <c r="L2644" s="4">
        <v>0</v>
      </c>
      <c r="M2644" s="12" t="s">
        <v>571</v>
      </c>
      <c r="N2644" s="13">
        <f t="shared" si="63"/>
        <v>137.13</v>
      </c>
    </row>
    <row r="2645" spans="1:14">
      <c r="A2645" s="12">
        <v>2644</v>
      </c>
      <c r="B2645" s="1" t="s">
        <v>1626</v>
      </c>
      <c r="C2645" s="42" t="s">
        <v>1627</v>
      </c>
      <c r="D2645" s="42" t="s">
        <v>3899</v>
      </c>
      <c r="E2645" s="42" t="s">
        <v>3684</v>
      </c>
      <c r="F2645" s="4">
        <v>9322</v>
      </c>
      <c r="G2645" s="47" t="s">
        <v>60</v>
      </c>
      <c r="H2645" s="12">
        <v>3923</v>
      </c>
      <c r="I2645" s="4">
        <v>0</v>
      </c>
      <c r="J2645" s="4">
        <v>0</v>
      </c>
      <c r="K2645" s="4">
        <v>1422</v>
      </c>
      <c r="L2645" s="4">
        <v>0</v>
      </c>
      <c r="M2645" s="12" t="s">
        <v>571</v>
      </c>
      <c r="N2645" s="13">
        <f t="shared" si="63"/>
        <v>1422</v>
      </c>
    </row>
    <row r="2646" spans="1:14">
      <c r="A2646" s="12">
        <v>2645</v>
      </c>
      <c r="B2646" s="1" t="s">
        <v>1626</v>
      </c>
      <c r="C2646" s="42" t="s">
        <v>1627</v>
      </c>
      <c r="D2646" s="42" t="s">
        <v>3900</v>
      </c>
      <c r="E2646" s="42" t="s">
        <v>3708</v>
      </c>
      <c r="F2646" s="4">
        <v>6106</v>
      </c>
      <c r="G2646" s="47" t="s">
        <v>60</v>
      </c>
      <c r="H2646" s="12">
        <v>3923</v>
      </c>
      <c r="I2646" s="4">
        <v>0</v>
      </c>
      <c r="J2646" s="4">
        <v>0</v>
      </c>
      <c r="K2646" s="4">
        <v>931.5</v>
      </c>
      <c r="L2646" s="4">
        <v>0</v>
      </c>
      <c r="M2646" s="12" t="s">
        <v>571</v>
      </c>
      <c r="N2646" s="13">
        <f t="shared" si="63"/>
        <v>931.5</v>
      </c>
    </row>
    <row r="2647" spans="1:14">
      <c r="A2647" s="12">
        <v>2646</v>
      </c>
      <c r="B2647" s="1" t="s">
        <v>2273</v>
      </c>
      <c r="C2647" s="42" t="s">
        <v>2274</v>
      </c>
      <c r="D2647" s="42" t="s">
        <v>3901</v>
      </c>
      <c r="E2647" s="42" t="s">
        <v>3690</v>
      </c>
      <c r="F2647" s="4">
        <v>23403</v>
      </c>
      <c r="G2647" s="47" t="s">
        <v>570</v>
      </c>
      <c r="H2647" s="12">
        <v>996713</v>
      </c>
      <c r="I2647" s="4">
        <v>0</v>
      </c>
      <c r="J2647" s="4">
        <v>0</v>
      </c>
      <c r="K2647" s="4">
        <v>3570.01</v>
      </c>
      <c r="L2647" s="4">
        <v>0</v>
      </c>
      <c r="M2647" s="12" t="s">
        <v>571</v>
      </c>
      <c r="N2647" s="13">
        <f t="shared" si="63"/>
        <v>3570.01</v>
      </c>
    </row>
    <row r="2648" spans="1:14">
      <c r="A2648" s="12">
        <v>2647</v>
      </c>
      <c r="B2648" s="1" t="s">
        <v>805</v>
      </c>
      <c r="C2648" s="42" t="s">
        <v>806</v>
      </c>
      <c r="D2648" s="42" t="s">
        <v>3902</v>
      </c>
      <c r="E2648" s="42" t="s">
        <v>492</v>
      </c>
      <c r="F2648" s="4">
        <v>6483.84</v>
      </c>
      <c r="G2648" s="47" t="s">
        <v>570</v>
      </c>
      <c r="H2648" s="12" t="s">
        <v>847</v>
      </c>
      <c r="I2648" s="4">
        <v>0</v>
      </c>
      <c r="J2648" s="4">
        <v>0</v>
      </c>
      <c r="K2648" s="4">
        <v>989.07</v>
      </c>
      <c r="L2648" s="4">
        <v>0</v>
      </c>
      <c r="M2648" s="12" t="s">
        <v>571</v>
      </c>
      <c r="N2648" s="13">
        <f t="shared" si="63"/>
        <v>989.07</v>
      </c>
    </row>
    <row r="2649" spans="1:14">
      <c r="A2649" s="12">
        <v>2648</v>
      </c>
      <c r="B2649" s="1" t="s">
        <v>531</v>
      </c>
      <c r="C2649" s="42" t="s">
        <v>532</v>
      </c>
      <c r="D2649" s="42" t="s">
        <v>3903</v>
      </c>
      <c r="E2649" s="42" t="s">
        <v>3690</v>
      </c>
      <c r="F2649" s="4">
        <v>348.99</v>
      </c>
      <c r="G2649" s="47" t="s">
        <v>570</v>
      </c>
      <c r="H2649" s="30" t="s">
        <v>3080</v>
      </c>
      <c r="I2649" s="4">
        <v>26.61</v>
      </c>
      <c r="J2649" s="4">
        <v>26.61</v>
      </c>
      <c r="K2649" s="4">
        <v>0</v>
      </c>
      <c r="L2649" s="4">
        <v>0</v>
      </c>
      <c r="M2649" s="12" t="s">
        <v>571</v>
      </c>
      <c r="N2649" s="13">
        <f t="shared" si="63"/>
        <v>53.22</v>
      </c>
    </row>
    <row r="2650" spans="1:14">
      <c r="A2650" s="12">
        <v>2649</v>
      </c>
      <c r="B2650" s="1" t="s">
        <v>2740</v>
      </c>
      <c r="C2650" s="42" t="s">
        <v>2741</v>
      </c>
      <c r="D2650" s="42" t="s">
        <v>1524</v>
      </c>
      <c r="E2650" s="42" t="s">
        <v>3765</v>
      </c>
      <c r="F2650" s="12">
        <v>-11800</v>
      </c>
      <c r="G2650" s="47" t="s">
        <v>570</v>
      </c>
      <c r="H2650" s="12">
        <v>998739</v>
      </c>
      <c r="I2650" s="12">
        <v>-900</v>
      </c>
      <c r="J2650" s="12">
        <v>-900</v>
      </c>
      <c r="K2650" s="12">
        <v>0</v>
      </c>
      <c r="L2650" s="4">
        <v>0</v>
      </c>
      <c r="M2650" s="12" t="s">
        <v>571</v>
      </c>
      <c r="N2650" s="13">
        <f t="shared" si="63"/>
        <v>-1800</v>
      </c>
    </row>
    <row r="2651" spans="1:14">
      <c r="A2651" s="12">
        <v>2650</v>
      </c>
      <c r="B2651" s="1" t="s">
        <v>1824</v>
      </c>
      <c r="C2651" s="42" t="s">
        <v>1825</v>
      </c>
      <c r="D2651" s="42" t="s">
        <v>3904</v>
      </c>
      <c r="E2651" s="42" t="s">
        <v>3799</v>
      </c>
      <c r="F2651" s="12">
        <v>-613.61</v>
      </c>
      <c r="G2651" s="47" t="s">
        <v>570</v>
      </c>
      <c r="H2651" s="12">
        <v>997159</v>
      </c>
      <c r="I2651" s="12">
        <v>0</v>
      </c>
      <c r="J2651" s="12">
        <v>0</v>
      </c>
      <c r="K2651" s="12">
        <v>-93.6</v>
      </c>
      <c r="L2651" s="4">
        <v>0</v>
      </c>
      <c r="M2651" s="12" t="s">
        <v>571</v>
      </c>
      <c r="N2651" s="13">
        <f t="shared" si="63"/>
        <v>-93.6</v>
      </c>
    </row>
    <row r="2652" spans="1:14">
      <c r="A2652" s="12">
        <v>2651</v>
      </c>
      <c r="B2652" s="1" t="s">
        <v>557</v>
      </c>
      <c r="C2652" s="42" t="s">
        <v>558</v>
      </c>
      <c r="D2652" s="42" t="s">
        <v>3905</v>
      </c>
      <c r="E2652" s="42" t="s">
        <v>527</v>
      </c>
      <c r="F2652" s="12">
        <v>-0.13</v>
      </c>
      <c r="G2652" s="47" t="s">
        <v>570</v>
      </c>
      <c r="H2652" s="12">
        <v>998361</v>
      </c>
      <c r="I2652" s="12">
        <v>0</v>
      </c>
      <c r="J2652" s="12">
        <v>0</v>
      </c>
      <c r="K2652" s="12">
        <v>-0.02</v>
      </c>
      <c r="L2652" s="4">
        <v>0</v>
      </c>
      <c r="M2652" s="12" t="s">
        <v>571</v>
      </c>
      <c r="N2652" s="13">
        <f t="shared" si="63"/>
        <v>-0.02</v>
      </c>
    </row>
    <row r="2653" spans="1:14">
      <c r="A2653" s="12">
        <v>2652</v>
      </c>
      <c r="B2653" s="1" t="s">
        <v>557</v>
      </c>
      <c r="C2653" s="42" t="s">
        <v>558</v>
      </c>
      <c r="D2653" s="42" t="s">
        <v>3906</v>
      </c>
      <c r="E2653" s="42" t="s">
        <v>527</v>
      </c>
      <c r="F2653" s="12">
        <v>-0.14000000000000001</v>
      </c>
      <c r="G2653" s="47" t="s">
        <v>570</v>
      </c>
      <c r="H2653" s="12">
        <v>998361</v>
      </c>
      <c r="I2653" s="12">
        <v>0</v>
      </c>
      <c r="J2653" s="12">
        <v>0</v>
      </c>
      <c r="K2653" s="12">
        <v>-0.02</v>
      </c>
      <c r="L2653" s="4">
        <v>0</v>
      </c>
      <c r="M2653" s="12" t="s">
        <v>571</v>
      </c>
      <c r="N2653" s="13">
        <f t="shared" si="63"/>
        <v>-0.02</v>
      </c>
    </row>
    <row r="2654" spans="1:14">
      <c r="A2654" s="12">
        <v>2653</v>
      </c>
      <c r="B2654" s="1" t="s">
        <v>557</v>
      </c>
      <c r="C2654" s="42" t="s">
        <v>558</v>
      </c>
      <c r="D2654" s="42" t="s">
        <v>3907</v>
      </c>
      <c r="E2654" s="42" t="s">
        <v>527</v>
      </c>
      <c r="F2654" s="12">
        <v>-0.12</v>
      </c>
      <c r="G2654" s="47" t="s">
        <v>570</v>
      </c>
      <c r="H2654" s="12">
        <v>998361</v>
      </c>
      <c r="I2654" s="12">
        <v>0</v>
      </c>
      <c r="J2654" s="12">
        <v>0</v>
      </c>
      <c r="K2654" s="12">
        <v>-0.02</v>
      </c>
      <c r="L2654" s="4">
        <v>0</v>
      </c>
      <c r="M2654" s="12" t="s">
        <v>571</v>
      </c>
      <c r="N2654" s="13">
        <f t="shared" si="63"/>
        <v>-0.02</v>
      </c>
    </row>
    <row r="2655" spans="1:14">
      <c r="A2655" s="12">
        <v>2654</v>
      </c>
      <c r="B2655" s="12" t="s">
        <v>917</v>
      </c>
      <c r="C2655" s="47" t="s">
        <v>918</v>
      </c>
      <c r="D2655" s="47" t="s">
        <v>3908</v>
      </c>
      <c r="E2655" s="47" t="s">
        <v>616</v>
      </c>
      <c r="F2655" s="12">
        <v>1840.8</v>
      </c>
      <c r="G2655" s="47" t="s">
        <v>64</v>
      </c>
      <c r="H2655" s="12">
        <v>998399</v>
      </c>
      <c r="I2655" s="12">
        <v>140.4</v>
      </c>
      <c r="J2655" s="12">
        <v>140.4</v>
      </c>
      <c r="K2655" s="12">
        <v>0</v>
      </c>
      <c r="L2655" s="4">
        <v>0</v>
      </c>
      <c r="M2655" s="12" t="s">
        <v>19</v>
      </c>
      <c r="N2655" s="31">
        <f>SUM(I2655:K2655,)</f>
        <v>280.8</v>
      </c>
    </row>
    <row r="2656" spans="1:14">
      <c r="A2656" s="12">
        <v>2655</v>
      </c>
      <c r="B2656" s="12" t="s">
        <v>917</v>
      </c>
      <c r="C2656" s="47" t="s">
        <v>918</v>
      </c>
      <c r="D2656" s="47" t="s">
        <v>3909</v>
      </c>
      <c r="E2656" s="47" t="s">
        <v>616</v>
      </c>
      <c r="F2656" s="12">
        <v>1840.8</v>
      </c>
      <c r="G2656" s="47" t="s">
        <v>64</v>
      </c>
      <c r="H2656" s="12">
        <v>998399</v>
      </c>
      <c r="I2656" s="12">
        <v>140.4</v>
      </c>
      <c r="J2656" s="12">
        <v>140.4</v>
      </c>
      <c r="K2656" s="12">
        <v>0</v>
      </c>
      <c r="L2656" s="4">
        <v>0</v>
      </c>
      <c r="M2656" s="12" t="s">
        <v>19</v>
      </c>
      <c r="N2656" s="31">
        <f t="shared" ref="N2656:N2719" si="64">SUM(I2656:K2656,)</f>
        <v>280.8</v>
      </c>
    </row>
    <row r="2657" spans="1:14">
      <c r="A2657" s="12">
        <v>2656</v>
      </c>
      <c r="B2657" s="12" t="s">
        <v>917</v>
      </c>
      <c r="C2657" s="47" t="s">
        <v>918</v>
      </c>
      <c r="D2657" s="47" t="s">
        <v>3910</v>
      </c>
      <c r="E2657" s="47" t="s">
        <v>616</v>
      </c>
      <c r="F2657" s="12">
        <v>4602</v>
      </c>
      <c r="G2657" s="47" t="s">
        <v>64</v>
      </c>
      <c r="H2657" s="12">
        <v>998399</v>
      </c>
      <c r="I2657" s="12">
        <v>351</v>
      </c>
      <c r="J2657" s="12">
        <v>351</v>
      </c>
      <c r="K2657" s="12">
        <v>0</v>
      </c>
      <c r="L2657" s="4">
        <v>0</v>
      </c>
      <c r="M2657" s="12" t="s">
        <v>19</v>
      </c>
      <c r="N2657" s="31">
        <f t="shared" si="64"/>
        <v>702</v>
      </c>
    </row>
    <row r="2658" spans="1:14">
      <c r="A2658" s="12">
        <v>2657</v>
      </c>
      <c r="B2658" s="12" t="s">
        <v>917</v>
      </c>
      <c r="C2658" s="47" t="s">
        <v>918</v>
      </c>
      <c r="D2658" s="47" t="s">
        <v>3911</v>
      </c>
      <c r="E2658" s="47" t="s">
        <v>616</v>
      </c>
      <c r="F2658" s="12">
        <v>1840.8</v>
      </c>
      <c r="G2658" s="47" t="s">
        <v>64</v>
      </c>
      <c r="H2658" s="12">
        <v>998399</v>
      </c>
      <c r="I2658" s="12">
        <v>140.4</v>
      </c>
      <c r="J2658" s="12">
        <v>140.4</v>
      </c>
      <c r="K2658" s="12">
        <v>0</v>
      </c>
      <c r="L2658" s="4">
        <v>0</v>
      </c>
      <c r="M2658" s="12" t="s">
        <v>19</v>
      </c>
      <c r="N2658" s="31">
        <f t="shared" si="64"/>
        <v>280.8</v>
      </c>
    </row>
    <row r="2659" spans="1:14">
      <c r="A2659" s="12">
        <v>2658</v>
      </c>
      <c r="B2659" s="12" t="s">
        <v>917</v>
      </c>
      <c r="C2659" s="47" t="s">
        <v>918</v>
      </c>
      <c r="D2659" s="47" t="s">
        <v>3912</v>
      </c>
      <c r="E2659" s="47" t="s">
        <v>609</v>
      </c>
      <c r="F2659" s="12">
        <v>5284.51</v>
      </c>
      <c r="G2659" s="47" t="s">
        <v>64</v>
      </c>
      <c r="H2659" s="12">
        <v>998399</v>
      </c>
      <c r="I2659" s="12">
        <v>403.06</v>
      </c>
      <c r="J2659" s="12">
        <v>403.06</v>
      </c>
      <c r="K2659" s="12">
        <v>0</v>
      </c>
      <c r="L2659" s="4">
        <v>0</v>
      </c>
      <c r="M2659" s="12" t="s">
        <v>19</v>
      </c>
      <c r="N2659" s="31">
        <f t="shared" si="64"/>
        <v>806.12</v>
      </c>
    </row>
    <row r="2660" spans="1:14">
      <c r="A2660" s="12">
        <v>2659</v>
      </c>
      <c r="B2660" s="12" t="s">
        <v>917</v>
      </c>
      <c r="C2660" s="47" t="s">
        <v>918</v>
      </c>
      <c r="D2660" s="47" t="s">
        <v>3913</v>
      </c>
      <c r="E2660" s="47" t="s">
        <v>3914</v>
      </c>
      <c r="F2660" s="12">
        <v>70.8</v>
      </c>
      <c r="G2660" s="47" t="s">
        <v>64</v>
      </c>
      <c r="H2660" s="12">
        <v>998399</v>
      </c>
      <c r="I2660" s="12">
        <v>5.4</v>
      </c>
      <c r="J2660" s="12">
        <v>5.4</v>
      </c>
      <c r="K2660" s="12">
        <v>0</v>
      </c>
      <c r="L2660" s="4">
        <v>0</v>
      </c>
      <c r="M2660" s="12" t="s">
        <v>19</v>
      </c>
      <c r="N2660" s="31">
        <f t="shared" si="64"/>
        <v>10.8</v>
      </c>
    </row>
    <row r="2661" spans="1:14">
      <c r="A2661" s="12">
        <v>2660</v>
      </c>
      <c r="B2661" s="12" t="s">
        <v>3915</v>
      </c>
      <c r="C2661" s="47" t="s">
        <v>3916</v>
      </c>
      <c r="D2661" s="47" t="s">
        <v>3917</v>
      </c>
      <c r="E2661" s="47" t="s">
        <v>318</v>
      </c>
      <c r="F2661" s="12">
        <v>2829946</v>
      </c>
      <c r="G2661" s="47" t="s">
        <v>64</v>
      </c>
      <c r="H2661" s="12">
        <v>996713</v>
      </c>
      <c r="I2661" s="12">
        <v>55604.81</v>
      </c>
      <c r="J2661" s="12">
        <v>55604.81</v>
      </c>
      <c r="K2661" s="12">
        <v>0</v>
      </c>
      <c r="L2661" s="4">
        <v>0</v>
      </c>
      <c r="M2661" s="12" t="s">
        <v>19</v>
      </c>
      <c r="N2661" s="31">
        <f t="shared" si="64"/>
        <v>111209.62</v>
      </c>
    </row>
    <row r="2662" spans="1:14">
      <c r="A2662" s="12">
        <v>2661</v>
      </c>
      <c r="B2662" s="12" t="s">
        <v>3915</v>
      </c>
      <c r="C2662" s="47" t="s">
        <v>3916</v>
      </c>
      <c r="D2662" s="47" t="s">
        <v>3917</v>
      </c>
      <c r="E2662" s="47" t="s">
        <v>318</v>
      </c>
      <c r="F2662" s="12">
        <v>2829946</v>
      </c>
      <c r="G2662" s="47" t="s">
        <v>64</v>
      </c>
      <c r="H2662" s="12">
        <v>996713</v>
      </c>
      <c r="I2662" s="12">
        <v>20100.8</v>
      </c>
      <c r="J2662" s="12">
        <v>20100.8</v>
      </c>
      <c r="K2662" s="12">
        <v>0</v>
      </c>
      <c r="L2662" s="4">
        <v>0</v>
      </c>
      <c r="M2662" s="12" t="s">
        <v>19</v>
      </c>
      <c r="N2662" s="31">
        <f t="shared" si="64"/>
        <v>40201.599999999999</v>
      </c>
    </row>
    <row r="2663" spans="1:14">
      <c r="A2663" s="12">
        <v>2662</v>
      </c>
      <c r="B2663" s="12" t="s">
        <v>3915</v>
      </c>
      <c r="C2663" s="47" t="s">
        <v>3916</v>
      </c>
      <c r="D2663" s="47" t="s">
        <v>3917</v>
      </c>
      <c r="E2663" s="47" t="s">
        <v>318</v>
      </c>
      <c r="F2663" s="12">
        <v>2829946</v>
      </c>
      <c r="G2663" s="47" t="s">
        <v>64</v>
      </c>
      <c r="H2663" s="12">
        <v>996713</v>
      </c>
      <c r="I2663" s="12">
        <v>0</v>
      </c>
      <c r="J2663" s="12">
        <v>0</v>
      </c>
      <c r="K2663" s="12">
        <v>0</v>
      </c>
      <c r="L2663" s="4">
        <v>0</v>
      </c>
      <c r="M2663" s="12" t="s">
        <v>19</v>
      </c>
      <c r="N2663" s="31">
        <f t="shared" si="64"/>
        <v>0</v>
      </c>
    </row>
    <row r="2664" spans="1:14">
      <c r="A2664" s="12">
        <v>2663</v>
      </c>
      <c r="B2664" s="14" t="s">
        <v>3918</v>
      </c>
      <c r="C2664" s="45" t="s">
        <v>3919</v>
      </c>
      <c r="D2664" s="45" t="s">
        <v>3920</v>
      </c>
      <c r="E2664" s="45" t="s">
        <v>308</v>
      </c>
      <c r="F2664" s="23">
        <v>440026</v>
      </c>
      <c r="G2664" s="47" t="s">
        <v>64</v>
      </c>
      <c r="H2664" s="32" t="s">
        <v>103</v>
      </c>
      <c r="I2664" s="14">
        <v>0</v>
      </c>
      <c r="J2664" s="14">
        <v>0</v>
      </c>
      <c r="K2664" s="14">
        <v>684</v>
      </c>
      <c r="L2664" s="4">
        <v>0</v>
      </c>
      <c r="M2664" s="14" t="s">
        <v>19</v>
      </c>
      <c r="N2664" s="33">
        <f t="shared" si="64"/>
        <v>684</v>
      </c>
    </row>
    <row r="2665" spans="1:14">
      <c r="A2665" s="12">
        <v>2664</v>
      </c>
      <c r="B2665" s="12" t="s">
        <v>3921</v>
      </c>
      <c r="C2665" s="47" t="s">
        <v>3922</v>
      </c>
      <c r="D2665" s="47" t="s">
        <v>3923</v>
      </c>
      <c r="E2665" s="47" t="s">
        <v>3924</v>
      </c>
      <c r="F2665" s="12">
        <v>45996</v>
      </c>
      <c r="G2665" s="47" t="s">
        <v>64</v>
      </c>
      <c r="H2665" s="1">
        <v>996713</v>
      </c>
      <c r="I2665" s="12">
        <v>0</v>
      </c>
      <c r="J2665" s="12">
        <v>0</v>
      </c>
      <c r="K2665" s="12">
        <v>7016.4</v>
      </c>
      <c r="L2665" s="4">
        <v>0</v>
      </c>
      <c r="M2665" s="12" t="s">
        <v>3925</v>
      </c>
      <c r="N2665" s="31">
        <f t="shared" si="64"/>
        <v>7016.4</v>
      </c>
    </row>
    <row r="2666" spans="1:14">
      <c r="A2666" s="12">
        <v>2665</v>
      </c>
      <c r="B2666" s="12" t="s">
        <v>3921</v>
      </c>
      <c r="C2666" s="47" t="s">
        <v>3922</v>
      </c>
      <c r="D2666" s="47" t="s">
        <v>3926</v>
      </c>
      <c r="E2666" s="47" t="s">
        <v>638</v>
      </c>
      <c r="F2666" s="12">
        <v>150438</v>
      </c>
      <c r="G2666" s="47" t="s">
        <v>64</v>
      </c>
      <c r="H2666" s="1">
        <v>996713</v>
      </c>
      <c r="I2666" s="12">
        <v>0</v>
      </c>
      <c r="J2666" s="12">
        <v>0</v>
      </c>
      <c r="K2666" s="12">
        <v>22948.2</v>
      </c>
      <c r="L2666" s="4">
        <v>0</v>
      </c>
      <c r="M2666" s="12" t="s">
        <v>3925</v>
      </c>
      <c r="N2666" s="31">
        <f t="shared" si="64"/>
        <v>22948.2</v>
      </c>
    </row>
    <row r="2667" spans="1:14">
      <c r="A2667" s="12">
        <v>2666</v>
      </c>
      <c r="B2667" s="12" t="s">
        <v>3921</v>
      </c>
      <c r="C2667" s="47" t="s">
        <v>3922</v>
      </c>
      <c r="D2667" s="47" t="s">
        <v>3927</v>
      </c>
      <c r="E2667" s="47" t="s">
        <v>3928</v>
      </c>
      <c r="F2667" s="12">
        <v>4130</v>
      </c>
      <c r="G2667" s="47" t="s">
        <v>64</v>
      </c>
      <c r="H2667" s="1">
        <v>996713</v>
      </c>
      <c r="I2667" s="12">
        <v>0</v>
      </c>
      <c r="J2667" s="12">
        <v>0</v>
      </c>
      <c r="K2667" s="12">
        <v>630</v>
      </c>
      <c r="L2667" s="4">
        <v>0</v>
      </c>
      <c r="M2667" s="12" t="s">
        <v>3925</v>
      </c>
      <c r="N2667" s="31">
        <f t="shared" si="64"/>
        <v>630</v>
      </c>
    </row>
    <row r="2668" spans="1:14">
      <c r="A2668" s="12">
        <v>2667</v>
      </c>
      <c r="B2668" s="12" t="s">
        <v>3921</v>
      </c>
      <c r="C2668" s="47" t="s">
        <v>3922</v>
      </c>
      <c r="D2668" s="47" t="s">
        <v>3929</v>
      </c>
      <c r="E2668" s="47" t="s">
        <v>3924</v>
      </c>
      <c r="F2668" s="12">
        <v>321348</v>
      </c>
      <c r="G2668" s="47" t="s">
        <v>64</v>
      </c>
      <c r="H2668" s="1">
        <v>996713</v>
      </c>
      <c r="I2668" s="12">
        <v>0</v>
      </c>
      <c r="J2668" s="12">
        <v>0</v>
      </c>
      <c r="K2668" s="12">
        <v>15302.28</v>
      </c>
      <c r="L2668" s="4">
        <v>0</v>
      </c>
      <c r="M2668" s="12" t="s">
        <v>3925</v>
      </c>
      <c r="N2668" s="31">
        <f t="shared" si="64"/>
        <v>15302.28</v>
      </c>
    </row>
    <row r="2669" spans="1:14">
      <c r="A2669" s="12">
        <v>2668</v>
      </c>
      <c r="B2669" s="12" t="s">
        <v>3921</v>
      </c>
      <c r="C2669" s="47" t="s">
        <v>3922</v>
      </c>
      <c r="D2669" s="47" t="s">
        <v>3930</v>
      </c>
      <c r="E2669" s="47" t="s">
        <v>638</v>
      </c>
      <c r="F2669" s="12">
        <v>1321953</v>
      </c>
      <c r="G2669" s="47" t="s">
        <v>64</v>
      </c>
      <c r="H2669" s="1">
        <v>996713</v>
      </c>
      <c r="I2669" s="12">
        <v>0</v>
      </c>
      <c r="J2669" s="12">
        <v>0</v>
      </c>
      <c r="K2669" s="12">
        <v>62950.13</v>
      </c>
      <c r="L2669" s="4">
        <v>0</v>
      </c>
      <c r="M2669" s="12" t="s">
        <v>3925</v>
      </c>
      <c r="N2669" s="31">
        <f t="shared" si="64"/>
        <v>62950.13</v>
      </c>
    </row>
    <row r="2670" spans="1:14">
      <c r="A2670" s="12">
        <v>2669</v>
      </c>
      <c r="B2670" s="12" t="s">
        <v>3931</v>
      </c>
      <c r="C2670" s="47" t="s">
        <v>3932</v>
      </c>
      <c r="D2670" s="47" t="s">
        <v>3933</v>
      </c>
      <c r="E2670" s="47" t="s">
        <v>3934</v>
      </c>
      <c r="F2670" s="12">
        <v>11800</v>
      </c>
      <c r="G2670" s="47" t="s">
        <v>64</v>
      </c>
      <c r="H2670" s="12">
        <v>998349</v>
      </c>
      <c r="I2670" s="12">
        <v>0</v>
      </c>
      <c r="J2670" s="12">
        <v>0</v>
      </c>
      <c r="K2670" s="12">
        <v>1800</v>
      </c>
      <c r="L2670" s="4">
        <v>0</v>
      </c>
      <c r="M2670" s="12" t="s">
        <v>3925</v>
      </c>
      <c r="N2670" s="31">
        <f t="shared" si="64"/>
        <v>1800</v>
      </c>
    </row>
    <row r="2671" spans="1:14">
      <c r="A2671" s="12">
        <v>2670</v>
      </c>
      <c r="B2671" s="12" t="s">
        <v>3931</v>
      </c>
      <c r="C2671" s="47" t="s">
        <v>3932</v>
      </c>
      <c r="D2671" s="47" t="s">
        <v>3935</v>
      </c>
      <c r="E2671" s="47" t="s">
        <v>691</v>
      </c>
      <c r="F2671" s="12">
        <v>354</v>
      </c>
      <c r="G2671" s="47" t="s">
        <v>64</v>
      </c>
      <c r="H2671" s="12">
        <v>998349</v>
      </c>
      <c r="I2671" s="12">
        <v>0</v>
      </c>
      <c r="J2671" s="12">
        <v>0</v>
      </c>
      <c r="K2671" s="12">
        <v>54</v>
      </c>
      <c r="L2671" s="4">
        <v>0</v>
      </c>
      <c r="M2671" s="12" t="s">
        <v>3925</v>
      </c>
      <c r="N2671" s="31">
        <f t="shared" si="64"/>
        <v>54</v>
      </c>
    </row>
    <row r="2672" spans="1:14">
      <c r="A2672" s="12">
        <v>2671</v>
      </c>
      <c r="B2672" s="12" t="s">
        <v>3936</v>
      </c>
      <c r="C2672" s="47" t="s">
        <v>3937</v>
      </c>
      <c r="D2672" s="47" t="s">
        <v>3938</v>
      </c>
      <c r="E2672" s="47" t="s">
        <v>378</v>
      </c>
      <c r="F2672" s="12">
        <v>11725.33</v>
      </c>
      <c r="G2672" s="47" t="s">
        <v>64</v>
      </c>
      <c r="H2672" s="12">
        <v>9971</v>
      </c>
      <c r="I2672" s="12">
        <v>894.3</v>
      </c>
      <c r="J2672" s="12">
        <v>894.3</v>
      </c>
      <c r="K2672" s="12">
        <v>0</v>
      </c>
      <c r="L2672" s="4">
        <v>0</v>
      </c>
      <c r="M2672" s="12" t="s">
        <v>3925</v>
      </c>
      <c r="N2672" s="31">
        <f t="shared" si="64"/>
        <v>1788.6</v>
      </c>
    </row>
    <row r="2673" spans="1:14">
      <c r="A2673" s="12">
        <v>2672</v>
      </c>
      <c r="B2673" s="12" t="s">
        <v>3936</v>
      </c>
      <c r="C2673" s="47" t="s">
        <v>3937</v>
      </c>
      <c r="D2673" s="47" t="s">
        <v>3939</v>
      </c>
      <c r="E2673" s="47" t="s">
        <v>378</v>
      </c>
      <c r="F2673" s="12">
        <v>7878.73</v>
      </c>
      <c r="G2673" s="47" t="s">
        <v>64</v>
      </c>
      <c r="H2673" s="12">
        <v>9971</v>
      </c>
      <c r="I2673" s="12">
        <v>600.91999999999996</v>
      </c>
      <c r="J2673" s="12">
        <v>600.91999999999996</v>
      </c>
      <c r="K2673" s="12">
        <v>0</v>
      </c>
      <c r="L2673" s="4">
        <v>0</v>
      </c>
      <c r="M2673" s="12" t="s">
        <v>3925</v>
      </c>
      <c r="N2673" s="31">
        <f t="shared" si="64"/>
        <v>1201.8399999999999</v>
      </c>
    </row>
    <row r="2674" spans="1:14">
      <c r="A2674" s="12">
        <v>2673</v>
      </c>
      <c r="B2674" s="12" t="s">
        <v>3936</v>
      </c>
      <c r="C2674" s="47" t="s">
        <v>3937</v>
      </c>
      <c r="D2674" s="47" t="s">
        <v>3940</v>
      </c>
      <c r="E2674" s="47" t="s">
        <v>378</v>
      </c>
      <c r="F2674" s="12">
        <v>354</v>
      </c>
      <c r="G2674" s="47" t="s">
        <v>64</v>
      </c>
      <c r="H2674" s="12">
        <v>9971</v>
      </c>
      <c r="I2674" s="12">
        <v>27</v>
      </c>
      <c r="J2674" s="12">
        <v>27</v>
      </c>
      <c r="K2674" s="12">
        <v>0</v>
      </c>
      <c r="L2674" s="4">
        <v>0</v>
      </c>
      <c r="M2674" s="12" t="s">
        <v>3925</v>
      </c>
      <c r="N2674" s="31">
        <f t="shared" si="64"/>
        <v>54</v>
      </c>
    </row>
    <row r="2675" spans="1:14">
      <c r="A2675" s="12">
        <v>2674</v>
      </c>
      <c r="B2675" s="12" t="s">
        <v>3936</v>
      </c>
      <c r="C2675" s="47" t="s">
        <v>3937</v>
      </c>
      <c r="D2675" s="47" t="s">
        <v>3941</v>
      </c>
      <c r="E2675" s="47" t="s">
        <v>378</v>
      </c>
      <c r="F2675" s="12">
        <v>354</v>
      </c>
      <c r="G2675" s="47" t="s">
        <v>64</v>
      </c>
      <c r="H2675" s="12">
        <v>9971</v>
      </c>
      <c r="I2675" s="12">
        <v>27</v>
      </c>
      <c r="J2675" s="12">
        <v>27</v>
      </c>
      <c r="K2675" s="12">
        <v>0</v>
      </c>
      <c r="L2675" s="4">
        <v>0</v>
      </c>
      <c r="M2675" s="12" t="s">
        <v>3925</v>
      </c>
      <c r="N2675" s="31">
        <f t="shared" si="64"/>
        <v>54</v>
      </c>
    </row>
    <row r="2676" spans="1:14">
      <c r="A2676" s="12">
        <v>2675</v>
      </c>
      <c r="B2676" s="12" t="s">
        <v>3936</v>
      </c>
      <c r="C2676" s="47" t="s">
        <v>3937</v>
      </c>
      <c r="D2676" s="47" t="s">
        <v>3942</v>
      </c>
      <c r="E2676" s="47" t="s">
        <v>376</v>
      </c>
      <c r="F2676" s="12">
        <v>295</v>
      </c>
      <c r="G2676" s="47" t="s">
        <v>64</v>
      </c>
      <c r="H2676" s="12">
        <v>9971</v>
      </c>
      <c r="I2676" s="12">
        <v>22.5</v>
      </c>
      <c r="J2676" s="12">
        <v>22.5</v>
      </c>
      <c r="K2676" s="12">
        <v>0</v>
      </c>
      <c r="L2676" s="4">
        <v>0</v>
      </c>
      <c r="M2676" s="12" t="s">
        <v>3925</v>
      </c>
      <c r="N2676" s="31">
        <f t="shared" si="64"/>
        <v>45</v>
      </c>
    </row>
    <row r="2677" spans="1:14">
      <c r="A2677" s="12">
        <v>2676</v>
      </c>
      <c r="B2677" s="12" t="s">
        <v>3936</v>
      </c>
      <c r="C2677" s="47" t="s">
        <v>3937</v>
      </c>
      <c r="D2677" s="47" t="s">
        <v>3943</v>
      </c>
      <c r="E2677" s="47" t="s">
        <v>332</v>
      </c>
      <c r="F2677" s="12">
        <v>1180</v>
      </c>
      <c r="G2677" s="47" t="s">
        <v>64</v>
      </c>
      <c r="H2677" s="12">
        <v>9971</v>
      </c>
      <c r="I2677" s="12">
        <v>90</v>
      </c>
      <c r="J2677" s="12">
        <v>90</v>
      </c>
      <c r="K2677" s="12">
        <v>0</v>
      </c>
      <c r="L2677" s="4">
        <v>0</v>
      </c>
      <c r="M2677" s="12" t="s">
        <v>3925</v>
      </c>
      <c r="N2677" s="31">
        <f t="shared" si="64"/>
        <v>180</v>
      </c>
    </row>
    <row r="2678" spans="1:14">
      <c r="A2678" s="12">
        <v>2677</v>
      </c>
      <c r="B2678" s="12" t="s">
        <v>3936</v>
      </c>
      <c r="C2678" s="47" t="s">
        <v>3937</v>
      </c>
      <c r="D2678" s="47" t="s">
        <v>3944</v>
      </c>
      <c r="E2678" s="47" t="s">
        <v>332</v>
      </c>
      <c r="F2678" s="12">
        <v>1475</v>
      </c>
      <c r="G2678" s="47" t="s">
        <v>64</v>
      </c>
      <c r="H2678" s="12">
        <v>9971</v>
      </c>
      <c r="I2678" s="12">
        <v>112.5</v>
      </c>
      <c r="J2678" s="12">
        <v>112.5</v>
      </c>
      <c r="K2678" s="12">
        <v>0</v>
      </c>
      <c r="L2678" s="4">
        <v>0</v>
      </c>
      <c r="M2678" s="12" t="s">
        <v>3925</v>
      </c>
      <c r="N2678" s="31">
        <f t="shared" si="64"/>
        <v>225</v>
      </c>
    </row>
    <row r="2679" spans="1:14">
      <c r="A2679" s="12">
        <v>2678</v>
      </c>
      <c r="B2679" s="12" t="s">
        <v>3936</v>
      </c>
      <c r="C2679" s="47" t="s">
        <v>3937</v>
      </c>
      <c r="D2679" s="47" t="s">
        <v>3945</v>
      </c>
      <c r="E2679" s="47" t="s">
        <v>644</v>
      </c>
      <c r="F2679" s="12">
        <v>1475</v>
      </c>
      <c r="G2679" s="47" t="s">
        <v>64</v>
      </c>
      <c r="H2679" s="12">
        <v>9971</v>
      </c>
      <c r="I2679" s="12">
        <v>112.5</v>
      </c>
      <c r="J2679" s="12">
        <v>112.5</v>
      </c>
      <c r="K2679" s="12">
        <v>0</v>
      </c>
      <c r="L2679" s="4">
        <v>0</v>
      </c>
      <c r="M2679" s="12" t="s">
        <v>3925</v>
      </c>
      <c r="N2679" s="31">
        <f t="shared" si="64"/>
        <v>225</v>
      </c>
    </row>
    <row r="2680" spans="1:14">
      <c r="A2680" s="12">
        <v>2679</v>
      </c>
      <c r="B2680" s="12" t="s">
        <v>3936</v>
      </c>
      <c r="C2680" s="47" t="s">
        <v>3937</v>
      </c>
      <c r="D2680" s="47" t="s">
        <v>3946</v>
      </c>
      <c r="E2680" s="47" t="s">
        <v>3947</v>
      </c>
      <c r="F2680" s="12">
        <v>1475</v>
      </c>
      <c r="G2680" s="47" t="s">
        <v>64</v>
      </c>
      <c r="H2680" s="12">
        <v>9971</v>
      </c>
      <c r="I2680" s="12">
        <v>112.5</v>
      </c>
      <c r="J2680" s="12">
        <v>112.5</v>
      </c>
      <c r="K2680" s="12">
        <v>0</v>
      </c>
      <c r="L2680" s="4">
        <v>0</v>
      </c>
      <c r="M2680" s="12" t="s">
        <v>3925</v>
      </c>
      <c r="N2680" s="31">
        <f t="shared" si="64"/>
        <v>225</v>
      </c>
    </row>
    <row r="2681" spans="1:14">
      <c r="A2681" s="12">
        <v>2680</v>
      </c>
      <c r="B2681" s="12" t="s">
        <v>3936</v>
      </c>
      <c r="C2681" s="47" t="s">
        <v>3937</v>
      </c>
      <c r="D2681" s="47" t="s">
        <v>3948</v>
      </c>
      <c r="E2681" s="47" t="s">
        <v>638</v>
      </c>
      <c r="F2681" s="12">
        <v>16520.66</v>
      </c>
      <c r="G2681" s="47" t="s">
        <v>64</v>
      </c>
      <c r="H2681" s="12">
        <v>9971</v>
      </c>
      <c r="I2681" s="12">
        <v>1260.05</v>
      </c>
      <c r="J2681" s="12">
        <v>1260.05</v>
      </c>
      <c r="K2681" s="12">
        <v>0</v>
      </c>
      <c r="L2681" s="4">
        <v>0</v>
      </c>
      <c r="M2681" s="12" t="s">
        <v>3925</v>
      </c>
      <c r="N2681" s="31">
        <f t="shared" si="64"/>
        <v>2520.1</v>
      </c>
    </row>
    <row r="2682" spans="1:14">
      <c r="A2682" s="12">
        <v>2681</v>
      </c>
      <c r="B2682" s="12" t="s">
        <v>3936</v>
      </c>
      <c r="C2682" s="47" t="s">
        <v>3937</v>
      </c>
      <c r="D2682" s="47" t="s">
        <v>3949</v>
      </c>
      <c r="E2682" s="47" t="s">
        <v>638</v>
      </c>
      <c r="F2682" s="12">
        <v>354</v>
      </c>
      <c r="G2682" s="47" t="s">
        <v>64</v>
      </c>
      <c r="H2682" s="12">
        <v>9971</v>
      </c>
      <c r="I2682" s="12">
        <v>27</v>
      </c>
      <c r="J2682" s="12">
        <v>27</v>
      </c>
      <c r="K2682" s="12">
        <v>0</v>
      </c>
      <c r="L2682" s="4">
        <v>0</v>
      </c>
      <c r="M2682" s="12" t="s">
        <v>3925</v>
      </c>
      <c r="N2682" s="31">
        <f t="shared" si="64"/>
        <v>54</v>
      </c>
    </row>
    <row r="2683" spans="1:14">
      <c r="A2683" s="12">
        <v>2682</v>
      </c>
      <c r="B2683" s="12" t="s">
        <v>3936</v>
      </c>
      <c r="C2683" s="47" t="s">
        <v>3937</v>
      </c>
      <c r="D2683" s="47" t="s">
        <v>3950</v>
      </c>
      <c r="E2683" s="47" t="s">
        <v>3951</v>
      </c>
      <c r="F2683" s="12">
        <v>118</v>
      </c>
      <c r="G2683" s="47" t="s">
        <v>64</v>
      </c>
      <c r="H2683" s="12">
        <v>9971</v>
      </c>
      <c r="I2683" s="12">
        <v>9</v>
      </c>
      <c r="J2683" s="12">
        <v>9</v>
      </c>
      <c r="K2683" s="12">
        <v>0</v>
      </c>
      <c r="L2683" s="4">
        <v>0</v>
      </c>
      <c r="M2683" s="12" t="s">
        <v>3925</v>
      </c>
      <c r="N2683" s="31">
        <f t="shared" si="64"/>
        <v>18</v>
      </c>
    </row>
    <row r="2684" spans="1:14">
      <c r="A2684" s="12">
        <v>2683</v>
      </c>
      <c r="B2684" s="12" t="s">
        <v>3936</v>
      </c>
      <c r="C2684" s="47" t="s">
        <v>3937</v>
      </c>
      <c r="D2684" s="47" t="s">
        <v>3952</v>
      </c>
      <c r="E2684" s="47" t="s">
        <v>3928</v>
      </c>
      <c r="F2684" s="12">
        <v>1475</v>
      </c>
      <c r="G2684" s="47" t="s">
        <v>64</v>
      </c>
      <c r="H2684" s="12">
        <v>9971</v>
      </c>
      <c r="I2684" s="12">
        <v>112.5</v>
      </c>
      <c r="J2684" s="12">
        <v>112.5</v>
      </c>
      <c r="K2684" s="12">
        <v>0</v>
      </c>
      <c r="L2684" s="4">
        <v>0</v>
      </c>
      <c r="M2684" s="12" t="s">
        <v>3925</v>
      </c>
      <c r="N2684" s="31">
        <f t="shared" si="64"/>
        <v>225</v>
      </c>
    </row>
    <row r="2685" spans="1:14">
      <c r="A2685" s="12">
        <v>2684</v>
      </c>
      <c r="B2685" s="12" t="s">
        <v>3936</v>
      </c>
      <c r="C2685" s="47" t="s">
        <v>3937</v>
      </c>
      <c r="D2685" s="47" t="s">
        <v>3953</v>
      </c>
      <c r="E2685" s="47" t="s">
        <v>3954</v>
      </c>
      <c r="F2685" s="12">
        <v>1475</v>
      </c>
      <c r="G2685" s="47" t="s">
        <v>64</v>
      </c>
      <c r="H2685" s="12">
        <v>9971</v>
      </c>
      <c r="I2685" s="12">
        <v>112.5</v>
      </c>
      <c r="J2685" s="12">
        <v>112.5</v>
      </c>
      <c r="K2685" s="12">
        <v>0</v>
      </c>
      <c r="L2685" s="4">
        <v>0</v>
      </c>
      <c r="M2685" s="12" t="s">
        <v>3925</v>
      </c>
      <c r="N2685" s="31">
        <f t="shared" si="64"/>
        <v>225</v>
      </c>
    </row>
    <row r="2686" spans="1:14">
      <c r="A2686" s="12">
        <v>2685</v>
      </c>
      <c r="B2686" s="12" t="s">
        <v>3936</v>
      </c>
      <c r="C2686" s="47" t="s">
        <v>3937</v>
      </c>
      <c r="D2686" s="47" t="s">
        <v>3955</v>
      </c>
      <c r="E2686" s="47" t="s">
        <v>3954</v>
      </c>
      <c r="F2686" s="12">
        <v>2427.59</v>
      </c>
      <c r="G2686" s="47" t="s">
        <v>64</v>
      </c>
      <c r="H2686" s="12">
        <v>9971</v>
      </c>
      <c r="I2686" s="12">
        <v>185.16</v>
      </c>
      <c r="J2686" s="12">
        <v>185.16</v>
      </c>
      <c r="K2686" s="12">
        <v>0</v>
      </c>
      <c r="L2686" s="4">
        <v>0</v>
      </c>
      <c r="M2686" s="12" t="s">
        <v>3925</v>
      </c>
      <c r="N2686" s="31">
        <f t="shared" si="64"/>
        <v>370.32</v>
      </c>
    </row>
    <row r="2687" spans="1:14">
      <c r="A2687" s="12">
        <v>2686</v>
      </c>
      <c r="B2687" s="12" t="s">
        <v>3936</v>
      </c>
      <c r="C2687" s="47" t="s">
        <v>3937</v>
      </c>
      <c r="D2687" s="47" t="s">
        <v>3956</v>
      </c>
      <c r="E2687" s="47" t="s">
        <v>3954</v>
      </c>
      <c r="F2687" s="12">
        <v>1180</v>
      </c>
      <c r="G2687" s="47" t="s">
        <v>64</v>
      </c>
      <c r="H2687" s="12">
        <v>9971</v>
      </c>
      <c r="I2687" s="12">
        <v>90</v>
      </c>
      <c r="J2687" s="12">
        <v>90</v>
      </c>
      <c r="K2687" s="12">
        <v>0</v>
      </c>
      <c r="L2687" s="4">
        <v>0</v>
      </c>
      <c r="M2687" s="12" t="s">
        <v>3925</v>
      </c>
      <c r="N2687" s="31">
        <f t="shared" si="64"/>
        <v>180</v>
      </c>
    </row>
    <row r="2688" spans="1:14">
      <c r="A2688" s="12">
        <v>2687</v>
      </c>
      <c r="B2688" s="12" t="s">
        <v>3936</v>
      </c>
      <c r="C2688" s="47" t="s">
        <v>3937</v>
      </c>
      <c r="D2688" s="47" t="s">
        <v>3957</v>
      </c>
      <c r="E2688" s="47" t="s">
        <v>3954</v>
      </c>
      <c r="F2688" s="12">
        <v>472.12</v>
      </c>
      <c r="G2688" s="47" t="s">
        <v>64</v>
      </c>
      <c r="H2688" s="12">
        <v>9971</v>
      </c>
      <c r="I2688" s="12">
        <v>36.01</v>
      </c>
      <c r="J2688" s="12">
        <v>36.01</v>
      </c>
      <c r="K2688" s="12">
        <v>0</v>
      </c>
      <c r="L2688" s="4">
        <v>0</v>
      </c>
      <c r="M2688" s="12" t="s">
        <v>3925</v>
      </c>
      <c r="N2688" s="31">
        <f t="shared" si="64"/>
        <v>72.02</v>
      </c>
    </row>
    <row r="2689" spans="1:14">
      <c r="A2689" s="12">
        <v>2688</v>
      </c>
      <c r="B2689" s="12" t="s">
        <v>3936</v>
      </c>
      <c r="C2689" s="47" t="s">
        <v>3937</v>
      </c>
      <c r="D2689" s="47" t="s">
        <v>3958</v>
      </c>
      <c r="E2689" s="47" t="s">
        <v>3954</v>
      </c>
      <c r="F2689" s="12">
        <v>590</v>
      </c>
      <c r="G2689" s="47" t="s">
        <v>64</v>
      </c>
      <c r="H2689" s="12">
        <v>9971</v>
      </c>
      <c r="I2689" s="12">
        <v>45</v>
      </c>
      <c r="J2689" s="12">
        <v>45</v>
      </c>
      <c r="K2689" s="12">
        <v>0</v>
      </c>
      <c r="L2689" s="4">
        <v>0</v>
      </c>
      <c r="M2689" s="12" t="s">
        <v>3925</v>
      </c>
      <c r="N2689" s="31">
        <f t="shared" si="64"/>
        <v>90</v>
      </c>
    </row>
    <row r="2690" spans="1:14">
      <c r="A2690" s="12">
        <v>2689</v>
      </c>
      <c r="B2690" s="12" t="s">
        <v>3936</v>
      </c>
      <c r="C2690" s="47" t="s">
        <v>3937</v>
      </c>
      <c r="D2690" s="47" t="s">
        <v>3959</v>
      </c>
      <c r="E2690" s="47" t="s">
        <v>3960</v>
      </c>
      <c r="F2690" s="12">
        <v>25021.18</v>
      </c>
      <c r="G2690" s="47" t="s">
        <v>64</v>
      </c>
      <c r="H2690" s="12">
        <v>9971</v>
      </c>
      <c r="I2690" s="12">
        <v>1908.4</v>
      </c>
      <c r="J2690" s="12">
        <v>1908.4</v>
      </c>
      <c r="K2690" s="12">
        <v>0</v>
      </c>
      <c r="L2690" s="4">
        <v>0</v>
      </c>
      <c r="M2690" s="12" t="s">
        <v>3925</v>
      </c>
      <c r="N2690" s="31">
        <f t="shared" si="64"/>
        <v>3816.8</v>
      </c>
    </row>
    <row r="2691" spans="1:14">
      <c r="A2691" s="12">
        <v>2690</v>
      </c>
      <c r="B2691" s="12" t="s">
        <v>3936</v>
      </c>
      <c r="C2691" s="47" t="s">
        <v>3937</v>
      </c>
      <c r="D2691" s="47" t="s">
        <v>3961</v>
      </c>
      <c r="E2691" s="47" t="s">
        <v>325</v>
      </c>
      <c r="F2691" s="12">
        <v>590</v>
      </c>
      <c r="G2691" s="47" t="s">
        <v>64</v>
      </c>
      <c r="H2691" s="12">
        <v>9971</v>
      </c>
      <c r="I2691" s="12">
        <v>45</v>
      </c>
      <c r="J2691" s="12">
        <v>45</v>
      </c>
      <c r="K2691" s="12">
        <v>0</v>
      </c>
      <c r="L2691" s="4">
        <v>0</v>
      </c>
      <c r="M2691" s="12" t="s">
        <v>3925</v>
      </c>
      <c r="N2691" s="31">
        <f t="shared" si="64"/>
        <v>90</v>
      </c>
    </row>
    <row r="2692" spans="1:14">
      <c r="A2692" s="12">
        <v>2691</v>
      </c>
      <c r="B2692" s="12" t="s">
        <v>3936</v>
      </c>
      <c r="C2692" s="47" t="s">
        <v>3937</v>
      </c>
      <c r="D2692" s="47" t="s">
        <v>3962</v>
      </c>
      <c r="E2692" s="47" t="s">
        <v>325</v>
      </c>
      <c r="F2692" s="12">
        <v>3141.02</v>
      </c>
      <c r="G2692" s="47" t="s">
        <v>64</v>
      </c>
      <c r="H2692" s="12">
        <v>9971</v>
      </c>
      <c r="I2692" s="12">
        <v>239.57</v>
      </c>
      <c r="J2692" s="12">
        <v>239.57</v>
      </c>
      <c r="K2692" s="12">
        <v>0</v>
      </c>
      <c r="L2692" s="4">
        <v>0</v>
      </c>
      <c r="M2692" s="12" t="s">
        <v>3925</v>
      </c>
      <c r="N2692" s="31">
        <f t="shared" si="64"/>
        <v>479.14</v>
      </c>
    </row>
    <row r="2693" spans="1:14">
      <c r="A2693" s="12">
        <v>2692</v>
      </c>
      <c r="B2693" s="12" t="s">
        <v>3936</v>
      </c>
      <c r="C2693" s="47" t="s">
        <v>3937</v>
      </c>
      <c r="D2693" s="47" t="s">
        <v>3963</v>
      </c>
      <c r="E2693" s="47" t="s">
        <v>325</v>
      </c>
      <c r="F2693" s="12">
        <v>1180</v>
      </c>
      <c r="G2693" s="47" t="s">
        <v>64</v>
      </c>
      <c r="H2693" s="12">
        <v>9971</v>
      </c>
      <c r="I2693" s="12">
        <v>90</v>
      </c>
      <c r="J2693" s="12">
        <v>90</v>
      </c>
      <c r="K2693" s="12">
        <v>0</v>
      </c>
      <c r="L2693" s="4">
        <v>0</v>
      </c>
      <c r="M2693" s="12" t="s">
        <v>3925</v>
      </c>
      <c r="N2693" s="31">
        <f t="shared" si="64"/>
        <v>180</v>
      </c>
    </row>
    <row r="2694" spans="1:14">
      <c r="A2694" s="12">
        <v>2693</v>
      </c>
      <c r="B2694" s="14" t="s">
        <v>3964</v>
      </c>
      <c r="C2694" s="45" t="s">
        <v>3965</v>
      </c>
      <c r="D2694" s="45" t="s">
        <v>3966</v>
      </c>
      <c r="E2694" s="45" t="s">
        <v>376</v>
      </c>
      <c r="F2694" s="14">
        <v>708</v>
      </c>
      <c r="G2694" s="45" t="s">
        <v>64</v>
      </c>
      <c r="H2694" s="14">
        <v>998599</v>
      </c>
      <c r="I2694" s="14">
        <v>0</v>
      </c>
      <c r="J2694" s="14">
        <v>0</v>
      </c>
      <c r="K2694" s="14">
        <v>108</v>
      </c>
      <c r="L2694" s="4">
        <v>0</v>
      </c>
      <c r="M2694" s="14" t="s">
        <v>19</v>
      </c>
      <c r="N2694" s="33">
        <f t="shared" si="64"/>
        <v>108</v>
      </c>
    </row>
    <row r="2695" spans="1:14">
      <c r="A2695" s="12">
        <v>2694</v>
      </c>
      <c r="B2695" s="12" t="s">
        <v>3967</v>
      </c>
      <c r="C2695" s="47" t="s">
        <v>3968</v>
      </c>
      <c r="D2695" s="47" t="s">
        <v>3969</v>
      </c>
      <c r="E2695" s="47" t="s">
        <v>310</v>
      </c>
      <c r="F2695" s="12">
        <v>1888</v>
      </c>
      <c r="G2695" s="47" t="s">
        <v>64</v>
      </c>
      <c r="H2695" s="1">
        <v>998346</v>
      </c>
      <c r="I2695" s="12">
        <v>0</v>
      </c>
      <c r="J2695" s="12">
        <v>0</v>
      </c>
      <c r="K2695" s="12">
        <v>288</v>
      </c>
      <c r="L2695" s="4">
        <v>0</v>
      </c>
      <c r="M2695" s="12" t="s">
        <v>19</v>
      </c>
      <c r="N2695" s="31">
        <f t="shared" si="64"/>
        <v>288</v>
      </c>
    </row>
    <row r="2696" spans="1:14">
      <c r="A2696" s="12">
        <v>2695</v>
      </c>
      <c r="B2696" s="12" t="s">
        <v>3967</v>
      </c>
      <c r="C2696" s="47" t="s">
        <v>3968</v>
      </c>
      <c r="D2696" s="47" t="s">
        <v>3970</v>
      </c>
      <c r="E2696" s="47" t="s">
        <v>310</v>
      </c>
      <c r="F2696" s="12">
        <v>2360</v>
      </c>
      <c r="G2696" s="47" t="s">
        <v>64</v>
      </c>
      <c r="H2696" s="1">
        <v>998346</v>
      </c>
      <c r="I2696" s="12">
        <v>0</v>
      </c>
      <c r="J2696" s="12">
        <v>0</v>
      </c>
      <c r="K2696" s="12">
        <v>360</v>
      </c>
      <c r="L2696" s="4">
        <v>0</v>
      </c>
      <c r="M2696" s="12" t="s">
        <v>19</v>
      </c>
      <c r="N2696" s="31">
        <f t="shared" si="64"/>
        <v>360</v>
      </c>
    </row>
    <row r="2697" spans="1:14">
      <c r="A2697" s="12">
        <v>2696</v>
      </c>
      <c r="B2697" s="12" t="s">
        <v>3967</v>
      </c>
      <c r="C2697" s="47" t="s">
        <v>3968</v>
      </c>
      <c r="D2697" s="47" t="s">
        <v>3971</v>
      </c>
      <c r="E2697" s="47" t="s">
        <v>310</v>
      </c>
      <c r="F2697" s="12">
        <v>2360</v>
      </c>
      <c r="G2697" s="47" t="s">
        <v>64</v>
      </c>
      <c r="H2697" s="1">
        <v>998346</v>
      </c>
      <c r="I2697" s="12">
        <v>0</v>
      </c>
      <c r="J2697" s="12">
        <v>0</v>
      </c>
      <c r="K2697" s="12">
        <v>360</v>
      </c>
      <c r="L2697" s="4">
        <v>0</v>
      </c>
      <c r="M2697" s="12" t="s">
        <v>19</v>
      </c>
      <c r="N2697" s="31">
        <f t="shared" si="64"/>
        <v>360</v>
      </c>
    </row>
    <row r="2698" spans="1:14">
      <c r="A2698" s="12">
        <v>2697</v>
      </c>
      <c r="B2698" s="12" t="s">
        <v>3967</v>
      </c>
      <c r="C2698" s="47" t="s">
        <v>3968</v>
      </c>
      <c r="D2698" s="47" t="s">
        <v>3972</v>
      </c>
      <c r="E2698" s="47" t="s">
        <v>3973</v>
      </c>
      <c r="F2698" s="12">
        <v>6313</v>
      </c>
      <c r="G2698" s="47" t="s">
        <v>64</v>
      </c>
      <c r="H2698" s="1">
        <v>998346</v>
      </c>
      <c r="I2698" s="12">
        <v>0</v>
      </c>
      <c r="J2698" s="12">
        <v>0</v>
      </c>
      <c r="K2698" s="12">
        <v>963</v>
      </c>
      <c r="L2698" s="4">
        <v>0</v>
      </c>
      <c r="M2698" s="12" t="s">
        <v>19</v>
      </c>
      <c r="N2698" s="31">
        <f t="shared" si="64"/>
        <v>963</v>
      </c>
    </row>
    <row r="2699" spans="1:14">
      <c r="A2699" s="12">
        <v>2698</v>
      </c>
      <c r="B2699" s="12" t="s">
        <v>557</v>
      </c>
      <c r="C2699" s="47" t="s">
        <v>558</v>
      </c>
      <c r="D2699" s="47" t="s">
        <v>3974</v>
      </c>
      <c r="E2699" s="47" t="s">
        <v>376</v>
      </c>
      <c r="F2699" s="12">
        <v>292.89999999999998</v>
      </c>
      <c r="G2699" s="47" t="s">
        <v>64</v>
      </c>
      <c r="H2699" s="12">
        <v>998365</v>
      </c>
      <c r="I2699" s="12">
        <v>0</v>
      </c>
      <c r="J2699" s="12">
        <v>0</v>
      </c>
      <c r="K2699" s="12">
        <v>44.68</v>
      </c>
      <c r="L2699" s="4">
        <v>0</v>
      </c>
      <c r="M2699" s="12" t="s">
        <v>19</v>
      </c>
      <c r="N2699" s="31">
        <f t="shared" si="64"/>
        <v>44.68</v>
      </c>
    </row>
    <row r="2700" spans="1:14">
      <c r="A2700" s="12">
        <v>2699</v>
      </c>
      <c r="B2700" s="12" t="s">
        <v>1104</v>
      </c>
      <c r="C2700" s="47" t="s">
        <v>1105</v>
      </c>
      <c r="D2700" s="47" t="s">
        <v>3975</v>
      </c>
      <c r="E2700" s="47" t="s">
        <v>320</v>
      </c>
      <c r="F2700" s="12">
        <v>6903</v>
      </c>
      <c r="G2700" s="47" t="s">
        <v>64</v>
      </c>
      <c r="H2700" s="7" t="s">
        <v>992</v>
      </c>
      <c r="I2700" s="12">
        <v>526.5</v>
      </c>
      <c r="J2700" s="12">
        <v>526.5</v>
      </c>
      <c r="K2700" s="12">
        <v>0</v>
      </c>
      <c r="L2700" s="4">
        <v>0</v>
      </c>
      <c r="M2700" s="12" t="s">
        <v>19</v>
      </c>
      <c r="N2700" s="31">
        <f t="shared" si="64"/>
        <v>1053</v>
      </c>
    </row>
    <row r="2701" spans="1:14">
      <c r="A2701" s="12">
        <v>2700</v>
      </c>
      <c r="B2701" s="12" t="s">
        <v>3976</v>
      </c>
      <c r="C2701" s="47" t="s">
        <v>3977</v>
      </c>
      <c r="D2701" s="47" t="s">
        <v>3978</v>
      </c>
      <c r="E2701" s="47" t="s">
        <v>3924</v>
      </c>
      <c r="F2701" s="12">
        <v>23066</v>
      </c>
      <c r="G2701" s="47" t="s">
        <v>24</v>
      </c>
      <c r="H2701" s="12">
        <v>1006</v>
      </c>
      <c r="I2701" s="12">
        <v>549</v>
      </c>
      <c r="J2701" s="12">
        <v>549</v>
      </c>
      <c r="K2701" s="12">
        <v>0</v>
      </c>
      <c r="L2701" s="4">
        <v>0</v>
      </c>
      <c r="M2701" s="12" t="s">
        <v>19</v>
      </c>
      <c r="N2701" s="31">
        <f t="shared" si="64"/>
        <v>1098</v>
      </c>
    </row>
    <row r="2702" spans="1:14">
      <c r="A2702" s="12">
        <v>2701</v>
      </c>
      <c r="B2702" s="12" t="s">
        <v>3979</v>
      </c>
      <c r="C2702" s="47" t="s">
        <v>3980</v>
      </c>
      <c r="D2702" s="47" t="s">
        <v>3981</v>
      </c>
      <c r="E2702" s="47" t="s">
        <v>308</v>
      </c>
      <c r="F2702" s="12">
        <v>11210</v>
      </c>
      <c r="G2702" s="47" t="s">
        <v>64</v>
      </c>
      <c r="H2702" s="12">
        <v>9983</v>
      </c>
      <c r="I2702" s="12">
        <v>855</v>
      </c>
      <c r="J2702" s="12">
        <v>855</v>
      </c>
      <c r="K2702" s="12">
        <v>0</v>
      </c>
      <c r="L2702" s="4">
        <v>0</v>
      </c>
      <c r="M2702" s="12" t="s">
        <v>19</v>
      </c>
      <c r="N2702" s="31">
        <f t="shared" si="64"/>
        <v>1710</v>
      </c>
    </row>
    <row r="2703" spans="1:14">
      <c r="A2703" s="12">
        <v>2702</v>
      </c>
      <c r="B2703" s="12" t="s">
        <v>3982</v>
      </c>
      <c r="C2703" s="47" t="s">
        <v>3983</v>
      </c>
      <c r="D2703" s="47" t="s">
        <v>3984</v>
      </c>
      <c r="E2703" s="47" t="s">
        <v>308</v>
      </c>
      <c r="F2703" s="12">
        <v>19411</v>
      </c>
      <c r="G2703" s="47" t="s">
        <v>64</v>
      </c>
      <c r="H2703" s="7" t="s">
        <v>3985</v>
      </c>
      <c r="I2703" s="12">
        <v>0</v>
      </c>
      <c r="J2703" s="12">
        <v>0</v>
      </c>
      <c r="K2703" s="12">
        <v>2961</v>
      </c>
      <c r="L2703" s="4">
        <v>0</v>
      </c>
      <c r="M2703" s="12" t="s">
        <v>19</v>
      </c>
      <c r="N2703" s="31">
        <f t="shared" si="64"/>
        <v>2961</v>
      </c>
    </row>
    <row r="2704" spans="1:14">
      <c r="A2704" s="12">
        <v>2703</v>
      </c>
      <c r="B2704" s="12" t="s">
        <v>3982</v>
      </c>
      <c r="C2704" s="47" t="s">
        <v>3983</v>
      </c>
      <c r="D2704" s="47" t="s">
        <v>3986</v>
      </c>
      <c r="E2704" s="47" t="s">
        <v>378</v>
      </c>
      <c r="F2704" s="12">
        <v>5546</v>
      </c>
      <c r="G2704" s="47" t="s">
        <v>64</v>
      </c>
      <c r="H2704" s="7" t="s">
        <v>3985</v>
      </c>
      <c r="I2704" s="12">
        <v>0</v>
      </c>
      <c r="J2704" s="12">
        <v>0</v>
      </c>
      <c r="K2704" s="12">
        <v>846</v>
      </c>
      <c r="L2704" s="4">
        <v>0</v>
      </c>
      <c r="M2704" s="12" t="s">
        <v>19</v>
      </c>
      <c r="N2704" s="31">
        <f t="shared" si="64"/>
        <v>846</v>
      </c>
    </row>
    <row r="2705" spans="1:14">
      <c r="A2705" s="12">
        <v>2704</v>
      </c>
      <c r="B2705" s="12" t="s">
        <v>3982</v>
      </c>
      <c r="C2705" s="47" t="s">
        <v>3983</v>
      </c>
      <c r="D2705" s="47" t="s">
        <v>3987</v>
      </c>
      <c r="E2705" s="47" t="s">
        <v>3960</v>
      </c>
      <c r="F2705" s="12">
        <v>2773</v>
      </c>
      <c r="G2705" s="47" t="s">
        <v>64</v>
      </c>
      <c r="H2705" s="7" t="s">
        <v>3985</v>
      </c>
      <c r="I2705" s="12">
        <v>0</v>
      </c>
      <c r="J2705" s="12">
        <v>0</v>
      </c>
      <c r="K2705" s="12">
        <v>423</v>
      </c>
      <c r="L2705" s="4">
        <v>0</v>
      </c>
      <c r="M2705" s="12" t="s">
        <v>19</v>
      </c>
      <c r="N2705" s="31">
        <f t="shared" si="64"/>
        <v>423</v>
      </c>
    </row>
    <row r="2706" spans="1:14">
      <c r="A2706" s="12">
        <v>2705</v>
      </c>
      <c r="B2706" s="14" t="s">
        <v>3988</v>
      </c>
      <c r="C2706" s="45" t="s">
        <v>3989</v>
      </c>
      <c r="D2706" s="45" t="s">
        <v>3990</v>
      </c>
      <c r="E2706" s="45" t="s">
        <v>644</v>
      </c>
      <c r="F2706" s="14">
        <v>19820</v>
      </c>
      <c r="G2706" s="47" t="s">
        <v>64</v>
      </c>
      <c r="H2706" s="14">
        <v>9987</v>
      </c>
      <c r="I2706" s="14">
        <v>1511.69</v>
      </c>
      <c r="J2706" s="14">
        <v>1511.69</v>
      </c>
      <c r="K2706" s="14">
        <v>0</v>
      </c>
      <c r="L2706" s="4">
        <v>0</v>
      </c>
      <c r="M2706" s="14" t="s">
        <v>19</v>
      </c>
      <c r="N2706" s="33">
        <f t="shared" si="64"/>
        <v>3023.38</v>
      </c>
    </row>
    <row r="2707" spans="1:14">
      <c r="A2707" s="12">
        <v>2706</v>
      </c>
      <c r="B2707" s="14" t="s">
        <v>3991</v>
      </c>
      <c r="C2707" s="45" t="s">
        <v>3992</v>
      </c>
      <c r="D2707" s="45" t="s">
        <v>3993</v>
      </c>
      <c r="E2707" s="45" t="s">
        <v>308</v>
      </c>
      <c r="F2707" s="14">
        <v>12685</v>
      </c>
      <c r="G2707" s="45" t="s">
        <v>64</v>
      </c>
      <c r="H2707" s="14">
        <v>9987</v>
      </c>
      <c r="I2707" s="14">
        <v>967.47</v>
      </c>
      <c r="J2707" s="14">
        <v>967.47</v>
      </c>
      <c r="K2707" s="14">
        <v>0</v>
      </c>
      <c r="L2707" s="4">
        <v>0</v>
      </c>
      <c r="M2707" s="14" t="s">
        <v>19</v>
      </c>
      <c r="N2707" s="33">
        <f t="shared" si="64"/>
        <v>1934.94</v>
      </c>
    </row>
    <row r="2708" spans="1:14">
      <c r="A2708" s="12">
        <v>2707</v>
      </c>
      <c r="B2708" s="14" t="s">
        <v>3994</v>
      </c>
      <c r="C2708" s="45" t="s">
        <v>3995</v>
      </c>
      <c r="D2708" s="45" t="s">
        <v>3996</v>
      </c>
      <c r="E2708" s="55">
        <v>45512</v>
      </c>
      <c r="F2708" s="14">
        <v>2588</v>
      </c>
      <c r="G2708" s="47" t="s">
        <v>64</v>
      </c>
      <c r="H2708" s="14">
        <v>996819</v>
      </c>
      <c r="I2708" s="14">
        <v>0</v>
      </c>
      <c r="J2708" s="14">
        <v>0</v>
      </c>
      <c r="K2708" s="14">
        <v>395</v>
      </c>
      <c r="L2708" s="4">
        <v>0</v>
      </c>
      <c r="M2708" s="14" t="s">
        <v>157</v>
      </c>
      <c r="N2708" s="15" t="s">
        <v>202</v>
      </c>
    </row>
    <row r="2709" spans="1:14">
      <c r="A2709" s="12">
        <v>2708</v>
      </c>
      <c r="B2709" s="14" t="s">
        <v>3997</v>
      </c>
      <c r="C2709" s="45" t="s">
        <v>3998</v>
      </c>
      <c r="D2709" s="45" t="s">
        <v>3999</v>
      </c>
      <c r="E2709" s="45" t="s">
        <v>318</v>
      </c>
      <c r="F2709" s="14">
        <v>1180</v>
      </c>
      <c r="G2709" s="47" t="s">
        <v>64</v>
      </c>
      <c r="H2709" s="16" t="s">
        <v>3080</v>
      </c>
      <c r="I2709" s="14">
        <v>90</v>
      </c>
      <c r="J2709" s="14">
        <v>90</v>
      </c>
      <c r="K2709" s="14">
        <v>0</v>
      </c>
      <c r="L2709" s="4">
        <v>0</v>
      </c>
      <c r="M2709" s="14" t="s">
        <v>19</v>
      </c>
      <c r="N2709" s="33">
        <f t="shared" si="64"/>
        <v>180</v>
      </c>
    </row>
    <row r="2710" spans="1:14">
      <c r="A2710" s="12">
        <v>2709</v>
      </c>
      <c r="B2710" s="14" t="s">
        <v>4000</v>
      </c>
      <c r="C2710" s="45" t="s">
        <v>4001</v>
      </c>
      <c r="D2710" s="45" t="s">
        <v>4002</v>
      </c>
      <c r="E2710" s="45" t="s">
        <v>638</v>
      </c>
      <c r="F2710" s="14">
        <v>37500</v>
      </c>
      <c r="G2710" s="45" t="s">
        <v>156</v>
      </c>
      <c r="H2710" s="14">
        <v>84713010</v>
      </c>
      <c r="I2710" s="14">
        <v>2860.17</v>
      </c>
      <c r="J2710" s="14">
        <v>2860.17</v>
      </c>
      <c r="K2710" s="14">
        <v>0</v>
      </c>
      <c r="L2710" s="4">
        <v>0</v>
      </c>
      <c r="M2710" s="14" t="s">
        <v>157</v>
      </c>
      <c r="N2710" s="15" t="s">
        <v>202</v>
      </c>
    </row>
    <row r="2711" spans="1:14">
      <c r="A2711" s="12">
        <v>2710</v>
      </c>
      <c r="B2711" s="12" t="s">
        <v>4003</v>
      </c>
      <c r="C2711" s="47" t="s">
        <v>4004</v>
      </c>
      <c r="D2711" s="47" t="s">
        <v>4005</v>
      </c>
      <c r="E2711" s="47" t="s">
        <v>306</v>
      </c>
      <c r="F2711" s="12">
        <v>23625</v>
      </c>
      <c r="G2711" s="47" t="s">
        <v>64</v>
      </c>
      <c r="H2711" s="12">
        <v>996812</v>
      </c>
      <c r="I2711" s="12">
        <v>1801.91</v>
      </c>
      <c r="J2711" s="12">
        <v>1801.91</v>
      </c>
      <c r="K2711" s="12">
        <v>0</v>
      </c>
      <c r="L2711" s="4">
        <v>0</v>
      </c>
      <c r="M2711" s="12" t="s">
        <v>19</v>
      </c>
      <c r="N2711" s="31">
        <f t="shared" si="64"/>
        <v>3603.82</v>
      </c>
    </row>
    <row r="2712" spans="1:14">
      <c r="A2712" s="12">
        <v>2711</v>
      </c>
      <c r="B2712" s="12" t="s">
        <v>4006</v>
      </c>
      <c r="C2712" s="47" t="s">
        <v>4007</v>
      </c>
      <c r="D2712" s="47" t="s">
        <v>4008</v>
      </c>
      <c r="E2712" s="47" t="s">
        <v>320</v>
      </c>
      <c r="F2712" s="12">
        <v>4130</v>
      </c>
      <c r="G2712" s="47" t="s">
        <v>64</v>
      </c>
      <c r="H2712" s="7" t="s">
        <v>992</v>
      </c>
      <c r="I2712" s="12">
        <v>0</v>
      </c>
      <c r="J2712" s="12">
        <v>0</v>
      </c>
      <c r="K2712" s="12">
        <v>630</v>
      </c>
      <c r="L2712" s="4">
        <v>0</v>
      </c>
      <c r="M2712" s="12" t="s">
        <v>19</v>
      </c>
      <c r="N2712" s="31">
        <f t="shared" si="64"/>
        <v>630</v>
      </c>
    </row>
    <row r="2713" spans="1:14">
      <c r="A2713" s="12">
        <v>2712</v>
      </c>
      <c r="B2713" s="14" t="s">
        <v>4009</v>
      </c>
      <c r="C2713" s="45" t="s">
        <v>4010</v>
      </c>
      <c r="D2713" s="45" t="s">
        <v>4011</v>
      </c>
      <c r="E2713" s="45" t="s">
        <v>647</v>
      </c>
      <c r="F2713" s="14">
        <v>25945</v>
      </c>
      <c r="G2713" s="47" t="s">
        <v>24</v>
      </c>
      <c r="H2713" s="14">
        <v>4819</v>
      </c>
      <c r="I2713" s="14">
        <v>0</v>
      </c>
      <c r="J2713" s="14">
        <v>0</v>
      </c>
      <c r="K2713" s="14">
        <v>2779.8</v>
      </c>
      <c r="L2713" s="4">
        <v>0</v>
      </c>
      <c r="M2713" s="14" t="s">
        <v>19</v>
      </c>
      <c r="N2713" s="31">
        <f t="shared" si="64"/>
        <v>2779.8</v>
      </c>
    </row>
    <row r="2714" spans="1:14">
      <c r="A2714" s="12">
        <v>2713</v>
      </c>
      <c r="B2714" s="12" t="s">
        <v>4012</v>
      </c>
      <c r="C2714" s="47" t="s">
        <v>4013</v>
      </c>
      <c r="D2714" s="47" t="s">
        <v>4014</v>
      </c>
      <c r="E2714" s="47" t="s">
        <v>3947</v>
      </c>
      <c r="F2714" s="12">
        <v>1500</v>
      </c>
      <c r="G2714" s="47" t="s">
        <v>64</v>
      </c>
      <c r="H2714" s="8">
        <v>997139</v>
      </c>
      <c r="I2714" s="12">
        <v>114.41</v>
      </c>
      <c r="J2714" s="12">
        <v>114.41</v>
      </c>
      <c r="K2714" s="12">
        <v>0</v>
      </c>
      <c r="L2714" s="4">
        <v>0</v>
      </c>
      <c r="M2714" s="12" t="s">
        <v>19</v>
      </c>
      <c r="N2714" s="31">
        <f t="shared" si="64"/>
        <v>228.82</v>
      </c>
    </row>
    <row r="2715" spans="1:14">
      <c r="A2715" s="12">
        <v>2714</v>
      </c>
      <c r="B2715" s="12" t="s">
        <v>917</v>
      </c>
      <c r="C2715" s="47" t="s">
        <v>918</v>
      </c>
      <c r="D2715" s="47" t="s">
        <v>4015</v>
      </c>
      <c r="E2715" s="47" t="s">
        <v>318</v>
      </c>
      <c r="F2715" s="12">
        <v>920.4</v>
      </c>
      <c r="G2715" s="47" t="s">
        <v>64</v>
      </c>
      <c r="H2715" s="12">
        <v>998399</v>
      </c>
      <c r="I2715" s="12">
        <v>70.2</v>
      </c>
      <c r="J2715" s="12">
        <v>70.2</v>
      </c>
      <c r="K2715" s="12">
        <v>0</v>
      </c>
      <c r="L2715" s="4">
        <v>0</v>
      </c>
      <c r="M2715" s="12" t="s">
        <v>19</v>
      </c>
      <c r="N2715" s="31">
        <f t="shared" si="64"/>
        <v>140.4</v>
      </c>
    </row>
    <row r="2716" spans="1:14">
      <c r="A2716" s="12">
        <v>2715</v>
      </c>
      <c r="B2716" s="3" t="s">
        <v>4016</v>
      </c>
      <c r="C2716" s="43" t="s">
        <v>4017</v>
      </c>
      <c r="D2716" s="43" t="s">
        <v>4018</v>
      </c>
      <c r="E2716" s="43" t="s">
        <v>492</v>
      </c>
      <c r="F2716" s="6">
        <v>-31593.5</v>
      </c>
      <c r="G2716" s="47" t="s">
        <v>64</v>
      </c>
      <c r="H2716" s="14">
        <v>10061090</v>
      </c>
      <c r="I2716" s="14">
        <v>0</v>
      </c>
      <c r="J2716" s="14">
        <v>0</v>
      </c>
      <c r="K2716" s="14">
        <v>0</v>
      </c>
      <c r="L2716" s="4">
        <v>0</v>
      </c>
      <c r="M2716" s="12" t="s">
        <v>19</v>
      </c>
      <c r="N2716" s="33">
        <f t="shared" si="64"/>
        <v>0</v>
      </c>
    </row>
    <row r="2717" spans="1:14">
      <c r="A2717" s="12">
        <v>2716</v>
      </c>
      <c r="B2717" s="1" t="s">
        <v>3976</v>
      </c>
      <c r="C2717" s="42" t="s">
        <v>3977</v>
      </c>
      <c r="D2717" s="42" t="s">
        <v>4019</v>
      </c>
      <c r="E2717" s="42" t="s">
        <v>4020</v>
      </c>
      <c r="F2717" s="4">
        <v>142634</v>
      </c>
      <c r="G2717" s="47" t="s">
        <v>24</v>
      </c>
      <c r="H2717" s="12">
        <v>1006</v>
      </c>
      <c r="I2717" s="4">
        <v>3396</v>
      </c>
      <c r="J2717" s="4">
        <v>3396</v>
      </c>
      <c r="K2717" s="4">
        <v>0</v>
      </c>
      <c r="L2717" s="4">
        <v>0</v>
      </c>
      <c r="M2717" s="12" t="s">
        <v>19</v>
      </c>
      <c r="N2717" s="31">
        <f t="shared" si="64"/>
        <v>6792</v>
      </c>
    </row>
    <row r="2718" spans="1:14">
      <c r="A2718" s="12">
        <v>2717</v>
      </c>
      <c r="B2718" s="1" t="s">
        <v>4003</v>
      </c>
      <c r="C2718" s="42" t="s">
        <v>4004</v>
      </c>
      <c r="D2718" s="42" t="s">
        <v>4021</v>
      </c>
      <c r="E2718" s="42" t="s">
        <v>357</v>
      </c>
      <c r="F2718" s="4">
        <v>12006</v>
      </c>
      <c r="G2718" s="47" t="s">
        <v>64</v>
      </c>
      <c r="H2718" s="12">
        <v>996812</v>
      </c>
      <c r="I2718" s="4">
        <v>915.71</v>
      </c>
      <c r="J2718" s="4">
        <v>915.71</v>
      </c>
      <c r="K2718" s="4">
        <v>0</v>
      </c>
      <c r="L2718" s="4">
        <v>0</v>
      </c>
      <c r="M2718" s="12" t="s">
        <v>19</v>
      </c>
      <c r="N2718" s="31">
        <f t="shared" si="64"/>
        <v>1831.42</v>
      </c>
    </row>
    <row r="2719" spans="1:14">
      <c r="A2719" s="12">
        <v>2718</v>
      </c>
      <c r="B2719" s="1" t="s">
        <v>1104</v>
      </c>
      <c r="C2719" s="42" t="s">
        <v>1105</v>
      </c>
      <c r="D2719" s="42" t="s">
        <v>4022</v>
      </c>
      <c r="E2719" s="42" t="s">
        <v>4023</v>
      </c>
      <c r="F2719" s="4">
        <v>4366</v>
      </c>
      <c r="G2719" s="47" t="s">
        <v>64</v>
      </c>
      <c r="H2719" s="7" t="s">
        <v>992</v>
      </c>
      <c r="I2719" s="4">
        <v>333</v>
      </c>
      <c r="J2719" s="4">
        <v>333</v>
      </c>
      <c r="K2719" s="4">
        <v>0</v>
      </c>
      <c r="L2719" s="4">
        <v>0</v>
      </c>
      <c r="M2719" s="12" t="s">
        <v>19</v>
      </c>
      <c r="N2719" s="31">
        <f t="shared" si="64"/>
        <v>666</v>
      </c>
    </row>
    <row r="2720" spans="1:14">
      <c r="A2720" s="12">
        <v>2719</v>
      </c>
      <c r="B2720" s="1" t="s">
        <v>3982</v>
      </c>
      <c r="C2720" s="42" t="s">
        <v>3983</v>
      </c>
      <c r="D2720" s="42" t="s">
        <v>4024</v>
      </c>
      <c r="E2720" s="42" t="s">
        <v>357</v>
      </c>
      <c r="F2720" s="4">
        <v>19130</v>
      </c>
      <c r="G2720" s="47" t="s">
        <v>64</v>
      </c>
      <c r="H2720" s="7" t="s">
        <v>3985</v>
      </c>
      <c r="I2720" s="4">
        <v>0</v>
      </c>
      <c r="J2720" s="4">
        <v>0</v>
      </c>
      <c r="K2720" s="4">
        <v>2918</v>
      </c>
      <c r="L2720" s="4">
        <v>0</v>
      </c>
      <c r="M2720" s="12" t="s">
        <v>19</v>
      </c>
      <c r="N2720" s="31">
        <f t="shared" ref="N2720:N2783" si="65">SUM(I2720:K2720,)</f>
        <v>2918</v>
      </c>
    </row>
    <row r="2721" spans="1:14">
      <c r="A2721" s="12">
        <v>2720</v>
      </c>
      <c r="B2721" s="1" t="s">
        <v>917</v>
      </c>
      <c r="C2721" s="42" t="s">
        <v>918</v>
      </c>
      <c r="D2721" s="42" t="s">
        <v>4025</v>
      </c>
      <c r="E2721" s="42" t="s">
        <v>4023</v>
      </c>
      <c r="F2721" s="4">
        <v>5900</v>
      </c>
      <c r="G2721" s="47" t="s">
        <v>64</v>
      </c>
      <c r="H2721" s="12">
        <v>998399</v>
      </c>
      <c r="I2721" s="4">
        <v>450</v>
      </c>
      <c r="J2721" s="4">
        <v>450</v>
      </c>
      <c r="K2721" s="4">
        <v>0</v>
      </c>
      <c r="L2721" s="4">
        <v>0</v>
      </c>
      <c r="M2721" s="12" t="s">
        <v>19</v>
      </c>
      <c r="N2721" s="31">
        <f t="shared" si="65"/>
        <v>900</v>
      </c>
    </row>
    <row r="2722" spans="1:14">
      <c r="A2722" s="12">
        <v>2721</v>
      </c>
      <c r="B2722" s="1" t="s">
        <v>917</v>
      </c>
      <c r="C2722" s="42" t="s">
        <v>918</v>
      </c>
      <c r="D2722" s="42" t="s">
        <v>4026</v>
      </c>
      <c r="E2722" s="42" t="s">
        <v>371</v>
      </c>
      <c r="F2722" s="4">
        <v>3398.4</v>
      </c>
      <c r="G2722" s="47" t="s">
        <v>64</v>
      </c>
      <c r="H2722" s="12">
        <v>998399</v>
      </c>
      <c r="I2722" s="4">
        <v>259.2</v>
      </c>
      <c r="J2722" s="4">
        <v>259.2</v>
      </c>
      <c r="K2722" s="4">
        <v>0</v>
      </c>
      <c r="L2722" s="4">
        <v>0</v>
      </c>
      <c r="M2722" s="12" t="s">
        <v>19</v>
      </c>
      <c r="N2722" s="31">
        <f t="shared" si="65"/>
        <v>518.4</v>
      </c>
    </row>
    <row r="2723" spans="1:14">
      <c r="A2723" s="12">
        <v>2722</v>
      </c>
      <c r="B2723" s="1" t="s">
        <v>917</v>
      </c>
      <c r="C2723" s="42" t="s">
        <v>918</v>
      </c>
      <c r="D2723" s="42" t="s">
        <v>4027</v>
      </c>
      <c r="E2723" s="42" t="s">
        <v>371</v>
      </c>
      <c r="F2723" s="4">
        <v>8496</v>
      </c>
      <c r="G2723" s="47" t="s">
        <v>64</v>
      </c>
      <c r="H2723" s="12">
        <v>998399</v>
      </c>
      <c r="I2723" s="4">
        <v>648</v>
      </c>
      <c r="J2723" s="4">
        <v>648</v>
      </c>
      <c r="K2723" s="4">
        <v>0</v>
      </c>
      <c r="L2723" s="4">
        <v>0</v>
      </c>
      <c r="M2723" s="12" t="s">
        <v>19</v>
      </c>
      <c r="N2723" s="31">
        <f t="shared" si="65"/>
        <v>1296</v>
      </c>
    </row>
    <row r="2724" spans="1:14">
      <c r="A2724" s="12">
        <v>2723</v>
      </c>
      <c r="B2724" s="1" t="s">
        <v>4012</v>
      </c>
      <c r="C2724" s="42" t="s">
        <v>4013</v>
      </c>
      <c r="D2724" s="42" t="s">
        <v>4028</v>
      </c>
      <c r="E2724" s="42" t="s">
        <v>4029</v>
      </c>
      <c r="F2724" s="4">
        <v>500</v>
      </c>
      <c r="G2724" s="47" t="s">
        <v>64</v>
      </c>
      <c r="H2724" s="8">
        <v>997139</v>
      </c>
      <c r="I2724" s="4">
        <v>38.130000000000003</v>
      </c>
      <c r="J2724" s="4">
        <v>38.130000000000003</v>
      </c>
      <c r="K2724" s="4">
        <v>0</v>
      </c>
      <c r="L2724" s="4">
        <v>0</v>
      </c>
      <c r="M2724" s="12" t="s">
        <v>19</v>
      </c>
      <c r="N2724" s="31">
        <f t="shared" si="65"/>
        <v>76.260000000000005</v>
      </c>
    </row>
    <row r="2725" spans="1:14">
      <c r="A2725" s="12">
        <v>2724</v>
      </c>
      <c r="B2725" s="1" t="s">
        <v>4012</v>
      </c>
      <c r="C2725" s="42" t="s">
        <v>4013</v>
      </c>
      <c r="D2725" s="42" t="s">
        <v>4030</v>
      </c>
      <c r="E2725" s="42" t="s">
        <v>4029</v>
      </c>
      <c r="F2725" s="4">
        <v>500</v>
      </c>
      <c r="G2725" s="47" t="s">
        <v>64</v>
      </c>
      <c r="H2725" s="8">
        <v>997139</v>
      </c>
      <c r="I2725" s="4">
        <v>38.130000000000003</v>
      </c>
      <c r="J2725" s="4">
        <v>38.130000000000003</v>
      </c>
      <c r="K2725" s="4">
        <v>0</v>
      </c>
      <c r="L2725" s="4">
        <v>0</v>
      </c>
      <c r="M2725" s="12" t="s">
        <v>19</v>
      </c>
      <c r="N2725" s="31">
        <f t="shared" si="65"/>
        <v>76.260000000000005</v>
      </c>
    </row>
    <row r="2726" spans="1:14">
      <c r="A2726" s="12">
        <v>2725</v>
      </c>
      <c r="B2726" s="1" t="s">
        <v>1824</v>
      </c>
      <c r="C2726" s="42" t="s">
        <v>1825</v>
      </c>
      <c r="D2726" s="42" t="s">
        <v>4031</v>
      </c>
      <c r="E2726" s="42" t="s">
        <v>357</v>
      </c>
      <c r="F2726" s="4">
        <v>3135.6</v>
      </c>
      <c r="G2726" s="47" t="s">
        <v>64</v>
      </c>
      <c r="H2726" s="29" t="s">
        <v>847</v>
      </c>
      <c r="I2726" s="4">
        <v>0</v>
      </c>
      <c r="J2726" s="4">
        <v>0</v>
      </c>
      <c r="K2726" s="4">
        <v>478.3</v>
      </c>
      <c r="L2726" s="4">
        <v>0</v>
      </c>
      <c r="M2726" s="12" t="s">
        <v>19</v>
      </c>
      <c r="N2726" s="31">
        <f t="shared" si="65"/>
        <v>478.3</v>
      </c>
    </row>
    <row r="2727" spans="1:14">
      <c r="A2727" s="12">
        <v>2726</v>
      </c>
      <c r="B2727" s="1" t="s">
        <v>4032</v>
      </c>
      <c r="C2727" s="42" t="s">
        <v>4033</v>
      </c>
      <c r="D2727" s="42" t="s">
        <v>4034</v>
      </c>
      <c r="E2727" s="42" t="s">
        <v>4035</v>
      </c>
      <c r="F2727" s="4">
        <v>236</v>
      </c>
      <c r="G2727" s="47" t="s">
        <v>24</v>
      </c>
      <c r="H2727" s="12">
        <v>48021010</v>
      </c>
      <c r="I2727" s="4">
        <v>18</v>
      </c>
      <c r="J2727" s="4">
        <v>18</v>
      </c>
      <c r="K2727" s="4">
        <v>0</v>
      </c>
      <c r="L2727" s="4">
        <v>0</v>
      </c>
      <c r="M2727" s="12" t="s">
        <v>19</v>
      </c>
      <c r="N2727" s="31">
        <f t="shared" si="65"/>
        <v>36</v>
      </c>
    </row>
    <row r="2728" spans="1:14">
      <c r="A2728" s="12">
        <v>2727</v>
      </c>
      <c r="B2728" s="1" t="s">
        <v>3915</v>
      </c>
      <c r="C2728" s="42" t="s">
        <v>3916</v>
      </c>
      <c r="D2728" s="42" t="s">
        <v>4036</v>
      </c>
      <c r="E2728" s="42" t="s">
        <v>4023</v>
      </c>
      <c r="F2728" s="4">
        <v>1770</v>
      </c>
      <c r="G2728" s="47" t="s">
        <v>64</v>
      </c>
      <c r="H2728" s="12">
        <v>996713</v>
      </c>
      <c r="I2728" s="4">
        <v>135</v>
      </c>
      <c r="J2728" s="4">
        <v>135</v>
      </c>
      <c r="K2728" s="4">
        <v>0</v>
      </c>
      <c r="L2728" s="4">
        <v>0</v>
      </c>
      <c r="M2728" s="12" t="s">
        <v>19</v>
      </c>
      <c r="N2728" s="31">
        <f t="shared" si="65"/>
        <v>270</v>
      </c>
    </row>
    <row r="2729" spans="1:14">
      <c r="A2729" s="12">
        <v>2728</v>
      </c>
      <c r="B2729" s="1" t="s">
        <v>1479</v>
      </c>
      <c r="C2729" s="42" t="s">
        <v>1480</v>
      </c>
      <c r="D2729" s="42" t="s">
        <v>4037</v>
      </c>
      <c r="E2729" s="42" t="s">
        <v>351</v>
      </c>
      <c r="F2729" s="4">
        <v>318733</v>
      </c>
      <c r="G2729" s="47" t="s">
        <v>24</v>
      </c>
      <c r="H2729" s="12">
        <v>63053923</v>
      </c>
      <c r="I2729" s="4">
        <v>24310.13</v>
      </c>
      <c r="J2729" s="4">
        <v>24310.13</v>
      </c>
      <c r="K2729" s="4">
        <v>0</v>
      </c>
      <c r="L2729" s="4">
        <v>0</v>
      </c>
      <c r="M2729" s="12" t="s">
        <v>19</v>
      </c>
      <c r="N2729" s="31">
        <f t="shared" si="65"/>
        <v>48620.26</v>
      </c>
    </row>
    <row r="2730" spans="1:14">
      <c r="A2730" s="12">
        <v>2729</v>
      </c>
      <c r="B2730" s="1" t="s">
        <v>4038</v>
      </c>
      <c r="C2730" s="42" t="s">
        <v>4039</v>
      </c>
      <c r="D2730" s="42" t="s">
        <v>4040</v>
      </c>
      <c r="E2730" s="42" t="s">
        <v>349</v>
      </c>
      <c r="F2730" s="4">
        <v>29048</v>
      </c>
      <c r="G2730" s="47" t="s">
        <v>24</v>
      </c>
      <c r="H2730" s="12">
        <v>48191010</v>
      </c>
      <c r="I2730" s="4">
        <v>1556.14</v>
      </c>
      <c r="J2730" s="4">
        <v>1556.14</v>
      </c>
      <c r="K2730" s="4">
        <v>0</v>
      </c>
      <c r="L2730" s="4">
        <v>0</v>
      </c>
      <c r="M2730" s="12" t="s">
        <v>19</v>
      </c>
      <c r="N2730" s="31">
        <f t="shared" si="65"/>
        <v>3112.28</v>
      </c>
    </row>
    <row r="2731" spans="1:14">
      <c r="A2731" s="12">
        <v>2730</v>
      </c>
      <c r="B2731" s="1" t="s">
        <v>3936</v>
      </c>
      <c r="C2731" s="42" t="s">
        <v>3937</v>
      </c>
      <c r="D2731" s="42" t="s">
        <v>4041</v>
      </c>
      <c r="E2731" s="42" t="s">
        <v>347</v>
      </c>
      <c r="F2731" s="4">
        <v>354</v>
      </c>
      <c r="G2731" s="47" t="s">
        <v>64</v>
      </c>
      <c r="H2731" s="12">
        <v>9971</v>
      </c>
      <c r="I2731" s="4">
        <v>27</v>
      </c>
      <c r="J2731" s="4">
        <v>27</v>
      </c>
      <c r="K2731" s="4">
        <v>0</v>
      </c>
      <c r="L2731" s="4">
        <v>0</v>
      </c>
      <c r="M2731" s="12" t="s">
        <v>19</v>
      </c>
      <c r="N2731" s="31">
        <f t="shared" si="65"/>
        <v>54</v>
      </c>
    </row>
    <row r="2732" spans="1:14">
      <c r="A2732" s="12">
        <v>2731</v>
      </c>
      <c r="B2732" s="1" t="s">
        <v>3936</v>
      </c>
      <c r="C2732" s="42" t="s">
        <v>3937</v>
      </c>
      <c r="D2732" s="42" t="s">
        <v>4042</v>
      </c>
      <c r="E2732" s="42" t="s">
        <v>4043</v>
      </c>
      <c r="F2732" s="4">
        <v>590</v>
      </c>
      <c r="G2732" s="47" t="s">
        <v>64</v>
      </c>
      <c r="H2732" s="12">
        <v>9971</v>
      </c>
      <c r="I2732" s="4">
        <v>45</v>
      </c>
      <c r="J2732" s="4">
        <v>45</v>
      </c>
      <c r="K2732" s="4">
        <v>0</v>
      </c>
      <c r="L2732" s="4">
        <v>0</v>
      </c>
      <c r="M2732" s="12" t="s">
        <v>19</v>
      </c>
      <c r="N2732" s="31">
        <f t="shared" si="65"/>
        <v>90</v>
      </c>
    </row>
    <row r="2733" spans="1:14">
      <c r="A2733" s="12">
        <v>2732</v>
      </c>
      <c r="B2733" s="1" t="s">
        <v>3936</v>
      </c>
      <c r="C2733" s="42" t="s">
        <v>3937</v>
      </c>
      <c r="D2733" s="42" t="s">
        <v>4044</v>
      </c>
      <c r="E2733" s="42" t="s">
        <v>4043</v>
      </c>
      <c r="F2733" s="4">
        <v>1180</v>
      </c>
      <c r="G2733" s="47" t="s">
        <v>64</v>
      </c>
      <c r="H2733" s="12">
        <v>9971</v>
      </c>
      <c r="I2733" s="4">
        <v>90</v>
      </c>
      <c r="J2733" s="4">
        <v>90</v>
      </c>
      <c r="K2733" s="4">
        <v>0</v>
      </c>
      <c r="L2733" s="4">
        <v>0</v>
      </c>
      <c r="M2733" s="12" t="s">
        <v>19</v>
      </c>
      <c r="N2733" s="31">
        <f t="shared" si="65"/>
        <v>180</v>
      </c>
    </row>
    <row r="2734" spans="1:14">
      <c r="A2734" s="12">
        <v>2733</v>
      </c>
      <c r="B2734" s="1" t="s">
        <v>3936</v>
      </c>
      <c r="C2734" s="42" t="s">
        <v>3937</v>
      </c>
      <c r="D2734" s="42" t="s">
        <v>4045</v>
      </c>
      <c r="E2734" s="42" t="s">
        <v>4043</v>
      </c>
      <c r="F2734" s="4">
        <v>702.15</v>
      </c>
      <c r="G2734" s="47" t="s">
        <v>64</v>
      </c>
      <c r="H2734" s="12">
        <v>9971</v>
      </c>
      <c r="I2734" s="4">
        <v>53.55</v>
      </c>
      <c r="J2734" s="4">
        <v>53.55</v>
      </c>
      <c r="K2734" s="4">
        <v>0</v>
      </c>
      <c r="L2734" s="4">
        <v>0</v>
      </c>
      <c r="M2734" s="12" t="s">
        <v>19</v>
      </c>
      <c r="N2734" s="31">
        <f t="shared" si="65"/>
        <v>107.1</v>
      </c>
    </row>
    <row r="2735" spans="1:14">
      <c r="A2735" s="12">
        <v>2734</v>
      </c>
      <c r="B2735" s="1" t="s">
        <v>3936</v>
      </c>
      <c r="C2735" s="42" t="s">
        <v>3937</v>
      </c>
      <c r="D2735" s="42" t="s">
        <v>4046</v>
      </c>
      <c r="E2735" s="42" t="s">
        <v>4020</v>
      </c>
      <c r="F2735" s="4">
        <v>118</v>
      </c>
      <c r="G2735" s="47" t="s">
        <v>64</v>
      </c>
      <c r="H2735" s="12">
        <v>9971</v>
      </c>
      <c r="I2735" s="4">
        <v>9</v>
      </c>
      <c r="J2735" s="4">
        <v>9</v>
      </c>
      <c r="K2735" s="4">
        <v>0</v>
      </c>
      <c r="L2735" s="4">
        <v>0</v>
      </c>
      <c r="M2735" s="12" t="s">
        <v>19</v>
      </c>
      <c r="N2735" s="31">
        <f t="shared" si="65"/>
        <v>18</v>
      </c>
    </row>
    <row r="2736" spans="1:14">
      <c r="A2736" s="12">
        <v>2735</v>
      </c>
      <c r="B2736" s="1" t="s">
        <v>3936</v>
      </c>
      <c r="C2736" s="42" t="s">
        <v>3937</v>
      </c>
      <c r="D2736" s="42" t="s">
        <v>4047</v>
      </c>
      <c r="E2736" s="42" t="s">
        <v>343</v>
      </c>
      <c r="F2736" s="4">
        <v>1475</v>
      </c>
      <c r="G2736" s="47" t="s">
        <v>64</v>
      </c>
      <c r="H2736" s="12">
        <v>9971</v>
      </c>
      <c r="I2736" s="4">
        <v>112.5</v>
      </c>
      <c r="J2736" s="4">
        <v>112.5</v>
      </c>
      <c r="K2736" s="4">
        <v>0</v>
      </c>
      <c r="L2736" s="4">
        <v>0</v>
      </c>
      <c r="M2736" s="12" t="s">
        <v>19</v>
      </c>
      <c r="N2736" s="31">
        <f t="shared" si="65"/>
        <v>225</v>
      </c>
    </row>
    <row r="2737" spans="1:14">
      <c r="A2737" s="12">
        <v>2736</v>
      </c>
      <c r="B2737" s="1" t="s">
        <v>557</v>
      </c>
      <c r="C2737" s="42" t="s">
        <v>558</v>
      </c>
      <c r="D2737" s="42" t="s">
        <v>4048</v>
      </c>
      <c r="E2737" s="42" t="s">
        <v>343</v>
      </c>
      <c r="F2737" s="4">
        <v>193.52</v>
      </c>
      <c r="G2737" s="47" t="s">
        <v>64</v>
      </c>
      <c r="H2737" s="12">
        <v>998365</v>
      </c>
      <c r="I2737" s="4">
        <v>0</v>
      </c>
      <c r="J2737" s="4">
        <v>0</v>
      </c>
      <c r="K2737" s="4">
        <v>29.52</v>
      </c>
      <c r="L2737" s="4">
        <v>0</v>
      </c>
      <c r="M2737" s="12" t="s">
        <v>19</v>
      </c>
      <c r="N2737" s="31">
        <f t="shared" si="65"/>
        <v>29.52</v>
      </c>
    </row>
    <row r="2738" spans="1:14">
      <c r="A2738" s="12">
        <v>2737</v>
      </c>
      <c r="B2738" s="1" t="s">
        <v>557</v>
      </c>
      <c r="C2738" s="42" t="s">
        <v>558</v>
      </c>
      <c r="D2738" s="42" t="s">
        <v>4049</v>
      </c>
      <c r="E2738" s="42" t="s">
        <v>659</v>
      </c>
      <c r="F2738" s="4">
        <v>193.52</v>
      </c>
      <c r="G2738" s="47" t="s">
        <v>64</v>
      </c>
      <c r="H2738" s="12">
        <v>998365</v>
      </c>
      <c r="I2738" s="4">
        <v>0</v>
      </c>
      <c r="J2738" s="4">
        <v>0</v>
      </c>
      <c r="K2738" s="4">
        <v>29.52</v>
      </c>
      <c r="L2738" s="4">
        <v>0</v>
      </c>
      <c r="M2738" s="12" t="s">
        <v>19</v>
      </c>
      <c r="N2738" s="31">
        <f t="shared" si="65"/>
        <v>29.52</v>
      </c>
    </row>
    <row r="2739" spans="1:14">
      <c r="A2739" s="12">
        <v>2738</v>
      </c>
      <c r="B2739" s="1" t="s">
        <v>3967</v>
      </c>
      <c r="C2739" s="42" t="s">
        <v>3968</v>
      </c>
      <c r="D2739" s="42" t="s">
        <v>4050</v>
      </c>
      <c r="E2739" s="42" t="s">
        <v>4051</v>
      </c>
      <c r="F2739" s="4">
        <v>1829</v>
      </c>
      <c r="G2739" s="47" t="s">
        <v>64</v>
      </c>
      <c r="H2739" s="1">
        <v>998346</v>
      </c>
      <c r="I2739" s="4">
        <v>0</v>
      </c>
      <c r="J2739" s="4">
        <v>0</v>
      </c>
      <c r="K2739" s="4">
        <v>279</v>
      </c>
      <c r="L2739" s="4">
        <v>0</v>
      </c>
      <c r="M2739" s="12" t="s">
        <v>19</v>
      </c>
      <c r="N2739" s="31">
        <f t="shared" si="65"/>
        <v>279</v>
      </c>
    </row>
    <row r="2740" spans="1:14">
      <c r="A2740" s="12">
        <v>2739</v>
      </c>
      <c r="B2740" s="1" t="s">
        <v>3921</v>
      </c>
      <c r="C2740" s="42" t="s">
        <v>3922</v>
      </c>
      <c r="D2740" s="42" t="s">
        <v>4052</v>
      </c>
      <c r="E2740" s="42" t="s">
        <v>4023</v>
      </c>
      <c r="F2740" s="4">
        <v>19584</v>
      </c>
      <c r="G2740" s="47" t="s">
        <v>64</v>
      </c>
      <c r="H2740" s="1">
        <v>996713</v>
      </c>
      <c r="I2740" s="4">
        <v>0</v>
      </c>
      <c r="J2740" s="4">
        <v>0</v>
      </c>
      <c r="K2740" s="4">
        <v>2987.33</v>
      </c>
      <c r="L2740" s="4">
        <v>0</v>
      </c>
      <c r="M2740" s="12" t="s">
        <v>19</v>
      </c>
      <c r="N2740" s="31">
        <f t="shared" si="65"/>
        <v>2987.33</v>
      </c>
    </row>
    <row r="2741" spans="1:14">
      <c r="A2741" s="12">
        <v>2740</v>
      </c>
      <c r="B2741" s="1" t="s">
        <v>3921</v>
      </c>
      <c r="C2741" s="42" t="s">
        <v>3922</v>
      </c>
      <c r="D2741" s="42" t="s">
        <v>4053</v>
      </c>
      <c r="E2741" s="42" t="s">
        <v>4023</v>
      </c>
      <c r="F2741" s="4">
        <v>479125</v>
      </c>
      <c r="G2741" s="47" t="s">
        <v>64</v>
      </c>
      <c r="H2741" s="1">
        <v>996713</v>
      </c>
      <c r="I2741" s="4">
        <v>0</v>
      </c>
      <c r="J2741" s="4">
        <v>0</v>
      </c>
      <c r="K2741" s="4">
        <v>22815.46</v>
      </c>
      <c r="L2741" s="4">
        <v>0</v>
      </c>
      <c r="M2741" s="12" t="s">
        <v>19</v>
      </c>
      <c r="N2741" s="31">
        <f t="shared" si="65"/>
        <v>22815.46</v>
      </c>
    </row>
    <row r="2742" spans="1:14">
      <c r="A2742" s="12">
        <v>2741</v>
      </c>
      <c r="B2742" s="1" t="s">
        <v>1824</v>
      </c>
      <c r="C2742" s="42" t="s">
        <v>1825</v>
      </c>
      <c r="D2742" s="42" t="s">
        <v>4054</v>
      </c>
      <c r="E2742" s="42" t="s">
        <v>357</v>
      </c>
      <c r="F2742" s="12">
        <v>-283.79000000000002</v>
      </c>
      <c r="G2742" s="47" t="s">
        <v>64</v>
      </c>
      <c r="H2742" s="29" t="s">
        <v>847</v>
      </c>
      <c r="I2742" s="4">
        <v>0</v>
      </c>
      <c r="J2742" s="4">
        <v>0</v>
      </c>
      <c r="K2742" s="4">
        <v>-43.29</v>
      </c>
      <c r="L2742" s="4">
        <v>0</v>
      </c>
      <c r="M2742" s="12" t="s">
        <v>19</v>
      </c>
      <c r="N2742" s="31">
        <f t="shared" si="65"/>
        <v>-43.29</v>
      </c>
    </row>
    <row r="2743" spans="1:14">
      <c r="A2743" s="12">
        <v>2742</v>
      </c>
      <c r="B2743" s="1" t="s">
        <v>4003</v>
      </c>
      <c r="C2743" s="42" t="s">
        <v>4004</v>
      </c>
      <c r="D2743" s="42" t="s">
        <v>4055</v>
      </c>
      <c r="E2743" s="42" t="s">
        <v>385</v>
      </c>
      <c r="F2743" s="4">
        <v>36330</v>
      </c>
      <c r="G2743" s="47" t="s">
        <v>64</v>
      </c>
      <c r="H2743" s="12">
        <v>996812</v>
      </c>
      <c r="I2743" s="4">
        <v>2770.97</v>
      </c>
      <c r="J2743" s="4">
        <v>2770.97</v>
      </c>
      <c r="K2743" s="4">
        <v>0</v>
      </c>
      <c r="L2743" s="4">
        <v>0</v>
      </c>
      <c r="M2743" s="12" t="s">
        <v>19</v>
      </c>
      <c r="N2743" s="31">
        <f t="shared" si="65"/>
        <v>5541.94</v>
      </c>
    </row>
    <row r="2744" spans="1:14">
      <c r="A2744" s="12">
        <v>2743</v>
      </c>
      <c r="B2744" s="1" t="s">
        <v>4056</v>
      </c>
      <c r="C2744" s="42" t="s">
        <v>4057</v>
      </c>
      <c r="D2744" s="42" t="s">
        <v>4058</v>
      </c>
      <c r="E2744" s="42" t="s">
        <v>681</v>
      </c>
      <c r="F2744" s="4">
        <v>13800</v>
      </c>
      <c r="G2744" s="47" t="s">
        <v>24</v>
      </c>
      <c r="H2744" s="12">
        <v>1006</v>
      </c>
      <c r="I2744" s="4">
        <v>0</v>
      </c>
      <c r="J2744" s="4">
        <v>0</v>
      </c>
      <c r="K2744" s="4">
        <v>0</v>
      </c>
      <c r="L2744" s="4">
        <v>0</v>
      </c>
      <c r="M2744" s="12" t="s">
        <v>19</v>
      </c>
      <c r="N2744" s="31">
        <f t="shared" si="65"/>
        <v>0</v>
      </c>
    </row>
    <row r="2745" spans="1:14">
      <c r="A2745" s="12">
        <v>2744</v>
      </c>
      <c r="B2745" s="3" t="s">
        <v>4059</v>
      </c>
      <c r="C2745" s="43" t="s">
        <v>4060</v>
      </c>
      <c r="D2745" s="43" t="s">
        <v>4061</v>
      </c>
      <c r="E2745" s="43" t="s">
        <v>4062</v>
      </c>
      <c r="F2745" s="6">
        <v>61042</v>
      </c>
      <c r="G2745" s="45" t="s">
        <v>156</v>
      </c>
      <c r="H2745" s="14">
        <v>8711</v>
      </c>
      <c r="I2745" s="6">
        <v>6641.93</v>
      </c>
      <c r="J2745" s="6">
        <v>6641.93</v>
      </c>
      <c r="K2745" s="6">
        <v>0</v>
      </c>
      <c r="L2745" s="4">
        <v>0</v>
      </c>
      <c r="M2745" s="14" t="s">
        <v>157</v>
      </c>
      <c r="N2745" s="15" t="s">
        <v>202</v>
      </c>
    </row>
    <row r="2746" spans="1:14">
      <c r="A2746" s="12">
        <v>2745</v>
      </c>
      <c r="B2746" s="1" t="s">
        <v>4063</v>
      </c>
      <c r="C2746" s="42" t="s">
        <v>4064</v>
      </c>
      <c r="D2746" s="42" t="s">
        <v>4065</v>
      </c>
      <c r="E2746" s="42" t="s">
        <v>4066</v>
      </c>
      <c r="F2746" s="4">
        <v>27966</v>
      </c>
      <c r="G2746" s="47" t="s">
        <v>24</v>
      </c>
      <c r="H2746" s="12">
        <v>39231090</v>
      </c>
      <c r="I2746" s="4">
        <v>0</v>
      </c>
      <c r="J2746" s="4">
        <v>0</v>
      </c>
      <c r="K2746" s="4">
        <v>4266</v>
      </c>
      <c r="L2746" s="4">
        <v>0</v>
      </c>
      <c r="M2746" s="12" t="s">
        <v>19</v>
      </c>
      <c r="N2746" s="31">
        <f t="shared" si="65"/>
        <v>4266</v>
      </c>
    </row>
    <row r="2747" spans="1:14">
      <c r="A2747" s="12">
        <v>2746</v>
      </c>
      <c r="B2747" s="1" t="s">
        <v>3921</v>
      </c>
      <c r="C2747" s="42" t="s">
        <v>3922</v>
      </c>
      <c r="D2747" s="42" t="s">
        <v>4067</v>
      </c>
      <c r="E2747" s="42" t="s">
        <v>685</v>
      </c>
      <c r="F2747" s="4">
        <v>1792</v>
      </c>
      <c r="G2747" s="47" t="s">
        <v>64</v>
      </c>
      <c r="H2747" s="1">
        <v>996713</v>
      </c>
      <c r="I2747" s="4">
        <v>0</v>
      </c>
      <c r="J2747" s="4">
        <v>0</v>
      </c>
      <c r="K2747" s="4">
        <v>273.39</v>
      </c>
      <c r="L2747" s="4">
        <v>0</v>
      </c>
      <c r="M2747" s="12" t="s">
        <v>19</v>
      </c>
      <c r="N2747" s="31">
        <f t="shared" si="65"/>
        <v>273.39</v>
      </c>
    </row>
    <row r="2748" spans="1:14">
      <c r="A2748" s="12">
        <v>2747</v>
      </c>
      <c r="B2748" s="1" t="s">
        <v>1824</v>
      </c>
      <c r="C2748" s="42" t="s">
        <v>1825</v>
      </c>
      <c r="D2748" s="42" t="s">
        <v>4068</v>
      </c>
      <c r="E2748" s="42" t="s">
        <v>385</v>
      </c>
      <c r="F2748" s="4">
        <v>1023.37</v>
      </c>
      <c r="G2748" s="47" t="s">
        <v>64</v>
      </c>
      <c r="H2748" s="29" t="s">
        <v>847</v>
      </c>
      <c r="I2748" s="4">
        <v>0</v>
      </c>
      <c r="J2748" s="4">
        <v>0</v>
      </c>
      <c r="K2748" s="4">
        <v>156.09</v>
      </c>
      <c r="L2748" s="4">
        <v>0</v>
      </c>
      <c r="M2748" s="12" t="s">
        <v>19</v>
      </c>
      <c r="N2748" s="31">
        <f t="shared" si="65"/>
        <v>156.09</v>
      </c>
    </row>
    <row r="2749" spans="1:14">
      <c r="A2749" s="12">
        <v>2748</v>
      </c>
      <c r="B2749" s="1" t="s">
        <v>1824</v>
      </c>
      <c r="C2749" s="42" t="s">
        <v>1825</v>
      </c>
      <c r="D2749" s="42" t="s">
        <v>4069</v>
      </c>
      <c r="E2749" s="42" t="s">
        <v>385</v>
      </c>
      <c r="F2749" s="4">
        <v>2611.34</v>
      </c>
      <c r="G2749" s="47" t="s">
        <v>64</v>
      </c>
      <c r="H2749" s="29" t="s">
        <v>847</v>
      </c>
      <c r="I2749" s="4">
        <v>0</v>
      </c>
      <c r="J2749" s="4">
        <v>0</v>
      </c>
      <c r="K2749" s="4">
        <v>398.34</v>
      </c>
      <c r="L2749" s="4">
        <v>0</v>
      </c>
      <c r="M2749" s="12" t="s">
        <v>19</v>
      </c>
      <c r="N2749" s="31">
        <f t="shared" si="65"/>
        <v>398.34</v>
      </c>
    </row>
    <row r="2750" spans="1:14">
      <c r="A2750" s="12">
        <v>2749</v>
      </c>
      <c r="B2750" s="1" t="s">
        <v>3915</v>
      </c>
      <c r="C2750" s="42" t="s">
        <v>3916</v>
      </c>
      <c r="D2750" s="42" t="s">
        <v>4070</v>
      </c>
      <c r="E2750" s="42" t="s">
        <v>4071</v>
      </c>
      <c r="F2750" s="4">
        <v>1770</v>
      </c>
      <c r="G2750" s="47" t="s">
        <v>64</v>
      </c>
      <c r="H2750" s="12">
        <v>996713</v>
      </c>
      <c r="I2750" s="4">
        <v>135</v>
      </c>
      <c r="J2750" s="4">
        <v>135</v>
      </c>
      <c r="K2750" s="4">
        <v>0</v>
      </c>
      <c r="L2750" s="4">
        <v>0</v>
      </c>
      <c r="M2750" s="12" t="s">
        <v>19</v>
      </c>
      <c r="N2750" s="31">
        <f t="shared" si="65"/>
        <v>270</v>
      </c>
    </row>
    <row r="2751" spans="1:14">
      <c r="A2751" s="12">
        <v>2750</v>
      </c>
      <c r="B2751" s="1" t="s">
        <v>4072</v>
      </c>
      <c r="C2751" s="42" t="s">
        <v>4073</v>
      </c>
      <c r="D2751" s="42" t="s">
        <v>4074</v>
      </c>
      <c r="E2751" s="42" t="s">
        <v>681</v>
      </c>
      <c r="F2751" s="4">
        <v>11800</v>
      </c>
      <c r="G2751" s="47" t="s">
        <v>64</v>
      </c>
      <c r="H2751" s="12">
        <v>999520</v>
      </c>
      <c r="I2751" s="4">
        <v>900</v>
      </c>
      <c r="J2751" s="4">
        <v>900</v>
      </c>
      <c r="K2751" s="4">
        <v>0</v>
      </c>
      <c r="L2751" s="4">
        <v>0</v>
      </c>
      <c r="M2751" s="12" t="s">
        <v>19</v>
      </c>
      <c r="N2751" s="31">
        <f t="shared" si="65"/>
        <v>1800</v>
      </c>
    </row>
    <row r="2752" spans="1:14">
      <c r="A2752" s="12">
        <v>2751</v>
      </c>
      <c r="B2752" s="1" t="s">
        <v>4075</v>
      </c>
      <c r="C2752" s="42" t="s">
        <v>4076</v>
      </c>
      <c r="D2752" s="42" t="s">
        <v>4077</v>
      </c>
      <c r="E2752" s="42" t="s">
        <v>616</v>
      </c>
      <c r="F2752" s="4">
        <v>177</v>
      </c>
      <c r="G2752" s="47" t="s">
        <v>64</v>
      </c>
      <c r="H2752" s="30" t="s">
        <v>992</v>
      </c>
      <c r="I2752" s="4">
        <v>13.5</v>
      </c>
      <c r="J2752" s="4">
        <v>13.5</v>
      </c>
      <c r="K2752" s="4">
        <v>0</v>
      </c>
      <c r="L2752" s="4">
        <v>0</v>
      </c>
      <c r="M2752" s="12" t="s">
        <v>19</v>
      </c>
      <c r="N2752" s="31">
        <f t="shared" si="65"/>
        <v>27</v>
      </c>
    </row>
    <row r="2753" spans="1:14">
      <c r="A2753" s="12">
        <v>2752</v>
      </c>
      <c r="B2753" s="1" t="s">
        <v>4075</v>
      </c>
      <c r="C2753" s="42" t="s">
        <v>4076</v>
      </c>
      <c r="D2753" s="42" t="s">
        <v>4078</v>
      </c>
      <c r="E2753" s="42" t="s">
        <v>4079</v>
      </c>
      <c r="F2753" s="4">
        <v>177</v>
      </c>
      <c r="G2753" s="47" t="s">
        <v>64</v>
      </c>
      <c r="H2753" s="30" t="s">
        <v>992</v>
      </c>
      <c r="I2753" s="4">
        <v>13.5</v>
      </c>
      <c r="J2753" s="4">
        <v>13.5</v>
      </c>
      <c r="K2753" s="4">
        <v>0</v>
      </c>
      <c r="L2753" s="4">
        <v>0</v>
      </c>
      <c r="M2753" s="12" t="s">
        <v>19</v>
      </c>
      <c r="N2753" s="31">
        <f t="shared" si="65"/>
        <v>27</v>
      </c>
    </row>
    <row r="2754" spans="1:14">
      <c r="A2754" s="12">
        <v>2753</v>
      </c>
      <c r="B2754" s="1" t="s">
        <v>4075</v>
      </c>
      <c r="C2754" s="42" t="s">
        <v>4076</v>
      </c>
      <c r="D2754" s="42" t="s">
        <v>4080</v>
      </c>
      <c r="E2754" s="42" t="s">
        <v>376</v>
      </c>
      <c r="F2754" s="4">
        <v>177</v>
      </c>
      <c r="G2754" s="47" t="s">
        <v>64</v>
      </c>
      <c r="H2754" s="30" t="s">
        <v>992</v>
      </c>
      <c r="I2754" s="4">
        <v>13.5</v>
      </c>
      <c r="J2754" s="4">
        <v>13.5</v>
      </c>
      <c r="K2754" s="4">
        <v>0</v>
      </c>
      <c r="L2754" s="4">
        <v>0</v>
      </c>
      <c r="M2754" s="12" t="s">
        <v>19</v>
      </c>
      <c r="N2754" s="31">
        <f t="shared" si="65"/>
        <v>27</v>
      </c>
    </row>
    <row r="2755" spans="1:14">
      <c r="A2755" s="12">
        <v>2754</v>
      </c>
      <c r="B2755" s="1" t="s">
        <v>557</v>
      </c>
      <c r="C2755" s="42" t="s">
        <v>558</v>
      </c>
      <c r="D2755" s="42" t="s">
        <v>4081</v>
      </c>
      <c r="E2755" s="42" t="s">
        <v>734</v>
      </c>
      <c r="F2755" s="4">
        <v>193.52</v>
      </c>
      <c r="G2755" s="47" t="s">
        <v>64</v>
      </c>
      <c r="H2755" s="12">
        <v>998365</v>
      </c>
      <c r="I2755" s="4">
        <v>0</v>
      </c>
      <c r="J2755" s="4">
        <v>0</v>
      </c>
      <c r="K2755" s="4">
        <v>29.52</v>
      </c>
      <c r="L2755" s="4">
        <v>0</v>
      </c>
      <c r="M2755" s="12" t="s">
        <v>19</v>
      </c>
      <c r="N2755" s="31">
        <f t="shared" si="65"/>
        <v>29.52</v>
      </c>
    </row>
    <row r="2756" spans="1:14">
      <c r="A2756" s="12">
        <v>2755</v>
      </c>
      <c r="B2756" s="1" t="s">
        <v>3967</v>
      </c>
      <c r="C2756" s="42" t="s">
        <v>3968</v>
      </c>
      <c r="D2756" s="42" t="s">
        <v>4082</v>
      </c>
      <c r="E2756" s="42" t="s">
        <v>4083</v>
      </c>
      <c r="F2756" s="4">
        <v>3422</v>
      </c>
      <c r="G2756" s="47" t="s">
        <v>64</v>
      </c>
      <c r="H2756" s="1">
        <v>998346</v>
      </c>
      <c r="I2756" s="4">
        <v>0</v>
      </c>
      <c r="J2756" s="4">
        <v>0</v>
      </c>
      <c r="K2756" s="4">
        <v>522</v>
      </c>
      <c r="L2756" s="4">
        <v>0</v>
      </c>
      <c r="M2756" s="12" t="s">
        <v>19</v>
      </c>
      <c r="N2756" s="31">
        <f t="shared" si="65"/>
        <v>522</v>
      </c>
    </row>
    <row r="2757" spans="1:14">
      <c r="A2757" s="12">
        <v>2756</v>
      </c>
      <c r="B2757" s="1" t="s">
        <v>4084</v>
      </c>
      <c r="C2757" s="42" t="s">
        <v>4085</v>
      </c>
      <c r="D2757" s="42" t="s">
        <v>4086</v>
      </c>
      <c r="E2757" s="42" t="s">
        <v>4066</v>
      </c>
      <c r="F2757" s="4">
        <v>243870.85</v>
      </c>
      <c r="G2757" s="47" t="s">
        <v>64</v>
      </c>
      <c r="H2757" s="12">
        <v>997157</v>
      </c>
      <c r="I2757" s="4">
        <v>0</v>
      </c>
      <c r="J2757" s="4">
        <v>0</v>
      </c>
      <c r="K2757" s="4">
        <v>345.45</v>
      </c>
      <c r="L2757" s="4">
        <v>0</v>
      </c>
      <c r="M2757" s="12" t="s">
        <v>19</v>
      </c>
      <c r="N2757" s="31">
        <f t="shared" si="65"/>
        <v>345.45</v>
      </c>
    </row>
    <row r="2758" spans="1:14">
      <c r="A2758" s="12">
        <v>2757</v>
      </c>
      <c r="B2758" s="1" t="s">
        <v>4012</v>
      </c>
      <c r="C2758" s="42" t="s">
        <v>4013</v>
      </c>
      <c r="D2758" s="42" t="s">
        <v>4087</v>
      </c>
      <c r="E2758" s="42" t="s">
        <v>4071</v>
      </c>
      <c r="F2758" s="4">
        <v>500</v>
      </c>
      <c r="G2758" s="47" t="s">
        <v>64</v>
      </c>
      <c r="H2758" s="8">
        <v>997139</v>
      </c>
      <c r="I2758" s="4">
        <v>38.130000000000003</v>
      </c>
      <c r="J2758" s="4">
        <v>38.130000000000003</v>
      </c>
      <c r="K2758" s="4">
        <v>0</v>
      </c>
      <c r="L2758" s="4">
        <v>0</v>
      </c>
      <c r="M2758" s="12" t="s">
        <v>19</v>
      </c>
      <c r="N2758" s="31">
        <f t="shared" si="65"/>
        <v>76.260000000000005</v>
      </c>
    </row>
    <row r="2759" spans="1:14">
      <c r="A2759" s="12">
        <v>2758</v>
      </c>
      <c r="B2759" s="1" t="s">
        <v>4012</v>
      </c>
      <c r="C2759" s="42" t="s">
        <v>4013</v>
      </c>
      <c r="D2759" s="42" t="s">
        <v>4088</v>
      </c>
      <c r="E2759" s="42" t="s">
        <v>702</v>
      </c>
      <c r="F2759" s="4">
        <v>500</v>
      </c>
      <c r="G2759" s="47" t="s">
        <v>64</v>
      </c>
      <c r="H2759" s="8">
        <v>997139</v>
      </c>
      <c r="I2759" s="4">
        <v>38.130000000000003</v>
      </c>
      <c r="J2759" s="4">
        <v>38.130000000000003</v>
      </c>
      <c r="K2759" s="4">
        <v>0</v>
      </c>
      <c r="L2759" s="4">
        <v>0</v>
      </c>
      <c r="M2759" s="12" t="s">
        <v>19</v>
      </c>
      <c r="N2759" s="31">
        <f t="shared" si="65"/>
        <v>76.260000000000005</v>
      </c>
    </row>
    <row r="2760" spans="1:14">
      <c r="A2760" s="12">
        <v>2759</v>
      </c>
      <c r="B2760" s="1" t="s">
        <v>4012</v>
      </c>
      <c r="C2760" s="42" t="s">
        <v>4013</v>
      </c>
      <c r="D2760" s="42" t="s">
        <v>4089</v>
      </c>
      <c r="E2760" s="42" t="s">
        <v>4090</v>
      </c>
      <c r="F2760" s="4">
        <v>500</v>
      </c>
      <c r="G2760" s="47" t="s">
        <v>64</v>
      </c>
      <c r="H2760" s="8">
        <v>997139</v>
      </c>
      <c r="I2760" s="4">
        <v>38.130000000000003</v>
      </c>
      <c r="J2760" s="4">
        <v>38.130000000000003</v>
      </c>
      <c r="K2760" s="4">
        <v>0</v>
      </c>
      <c r="L2760" s="4">
        <v>0</v>
      </c>
      <c r="M2760" s="12" t="s">
        <v>19</v>
      </c>
      <c r="N2760" s="31">
        <f t="shared" si="65"/>
        <v>76.260000000000005</v>
      </c>
    </row>
    <row r="2761" spans="1:14">
      <c r="A2761" s="12">
        <v>2760</v>
      </c>
      <c r="B2761" s="1" t="s">
        <v>1479</v>
      </c>
      <c r="C2761" s="42" t="s">
        <v>1480</v>
      </c>
      <c r="D2761" s="42" t="s">
        <v>4091</v>
      </c>
      <c r="E2761" s="42" t="s">
        <v>4062</v>
      </c>
      <c r="F2761" s="4">
        <v>122478</v>
      </c>
      <c r="G2761" s="47" t="s">
        <v>24</v>
      </c>
      <c r="H2761" s="12">
        <v>63053923</v>
      </c>
      <c r="I2761" s="4">
        <v>9341.5499999999993</v>
      </c>
      <c r="J2761" s="4">
        <v>9341.5499999999993</v>
      </c>
      <c r="K2761" s="4">
        <v>0</v>
      </c>
      <c r="L2761" s="4">
        <v>0</v>
      </c>
      <c r="M2761" s="12" t="s">
        <v>19</v>
      </c>
      <c r="N2761" s="31">
        <f t="shared" si="65"/>
        <v>18683.099999999999</v>
      </c>
    </row>
    <row r="2762" spans="1:14">
      <c r="A2762" s="12">
        <v>2761</v>
      </c>
      <c r="B2762" s="1" t="s">
        <v>1479</v>
      </c>
      <c r="C2762" s="42" t="s">
        <v>1480</v>
      </c>
      <c r="D2762" s="42" t="s">
        <v>4092</v>
      </c>
      <c r="E2762" s="42" t="s">
        <v>685</v>
      </c>
      <c r="F2762" s="4">
        <v>122927</v>
      </c>
      <c r="G2762" s="47" t="s">
        <v>24</v>
      </c>
      <c r="H2762" s="12">
        <v>63053923</v>
      </c>
      <c r="I2762" s="4">
        <v>9375.75</v>
      </c>
      <c r="J2762" s="4">
        <v>9375.75</v>
      </c>
      <c r="K2762" s="4">
        <v>0</v>
      </c>
      <c r="L2762" s="4">
        <v>0</v>
      </c>
      <c r="M2762" s="12" t="s">
        <v>19</v>
      </c>
      <c r="N2762" s="31">
        <f t="shared" si="65"/>
        <v>18751.5</v>
      </c>
    </row>
    <row r="2763" spans="1:14">
      <c r="A2763" s="12">
        <v>2762</v>
      </c>
      <c r="B2763" s="1" t="s">
        <v>1479</v>
      </c>
      <c r="C2763" s="42" t="s">
        <v>1480</v>
      </c>
      <c r="D2763" s="42" t="s">
        <v>4093</v>
      </c>
      <c r="E2763" s="42" t="s">
        <v>687</v>
      </c>
      <c r="F2763" s="4">
        <v>525395</v>
      </c>
      <c r="G2763" s="47" t="s">
        <v>24</v>
      </c>
      <c r="H2763" s="12">
        <v>63053923</v>
      </c>
      <c r="I2763" s="4">
        <v>40072.5</v>
      </c>
      <c r="J2763" s="4">
        <v>40072.5</v>
      </c>
      <c r="K2763" s="4">
        <v>0</v>
      </c>
      <c r="L2763" s="4">
        <v>0</v>
      </c>
      <c r="M2763" s="12" t="s">
        <v>19</v>
      </c>
      <c r="N2763" s="31">
        <f t="shared" si="65"/>
        <v>80145</v>
      </c>
    </row>
    <row r="2764" spans="1:14">
      <c r="A2764" s="12">
        <v>2763</v>
      </c>
      <c r="B2764" s="1" t="s">
        <v>4094</v>
      </c>
      <c r="C2764" s="42" t="s">
        <v>4095</v>
      </c>
      <c r="D2764" s="42" t="s">
        <v>4096</v>
      </c>
      <c r="E2764" s="42" t="s">
        <v>4083</v>
      </c>
      <c r="F2764" s="4">
        <v>6425</v>
      </c>
      <c r="G2764" s="47" t="s">
        <v>64</v>
      </c>
      <c r="H2764" s="12">
        <v>997135</v>
      </c>
      <c r="I2764" s="4">
        <v>490</v>
      </c>
      <c r="J2764" s="4">
        <v>490</v>
      </c>
      <c r="K2764" s="4">
        <v>0</v>
      </c>
      <c r="L2764" s="4">
        <v>0</v>
      </c>
      <c r="M2764" s="14" t="s">
        <v>157</v>
      </c>
      <c r="N2764" s="15" t="s">
        <v>202</v>
      </c>
    </row>
    <row r="2765" spans="1:14">
      <c r="A2765" s="12">
        <v>2764</v>
      </c>
      <c r="B2765" s="1" t="s">
        <v>4097</v>
      </c>
      <c r="C2765" s="42" t="s">
        <v>4098</v>
      </c>
      <c r="D2765" s="42" t="s">
        <v>4099</v>
      </c>
      <c r="E2765" s="42" t="s">
        <v>681</v>
      </c>
      <c r="F2765" s="4">
        <v>11084.44</v>
      </c>
      <c r="G2765" s="47" t="s">
        <v>64</v>
      </c>
      <c r="H2765" s="12">
        <v>996713</v>
      </c>
      <c r="I2765" s="4">
        <v>0</v>
      </c>
      <c r="J2765" s="4">
        <v>0</v>
      </c>
      <c r="K2765" s="4">
        <v>1690.84</v>
      </c>
      <c r="L2765" s="4">
        <v>0</v>
      </c>
      <c r="M2765" s="12" t="s">
        <v>19</v>
      </c>
      <c r="N2765" s="31">
        <f t="shared" si="65"/>
        <v>1690.84</v>
      </c>
    </row>
    <row r="2766" spans="1:14">
      <c r="A2766" s="12">
        <v>2765</v>
      </c>
      <c r="B2766" s="1" t="s">
        <v>4097</v>
      </c>
      <c r="C2766" s="42" t="s">
        <v>4098</v>
      </c>
      <c r="D2766" s="42" t="s">
        <v>4100</v>
      </c>
      <c r="E2766" s="42" t="s">
        <v>4101</v>
      </c>
      <c r="F2766" s="4">
        <v>19778.330000000002</v>
      </c>
      <c r="G2766" s="47" t="s">
        <v>64</v>
      </c>
      <c r="H2766" s="12">
        <v>996713</v>
      </c>
      <c r="I2766" s="4">
        <v>0</v>
      </c>
      <c r="J2766" s="4">
        <v>0</v>
      </c>
      <c r="K2766" s="4">
        <v>3017.03</v>
      </c>
      <c r="L2766" s="4">
        <v>0</v>
      </c>
      <c r="M2766" s="12" t="s">
        <v>19</v>
      </c>
      <c r="N2766" s="31">
        <f t="shared" si="65"/>
        <v>3017.03</v>
      </c>
    </row>
    <row r="2767" spans="1:14">
      <c r="A2767" s="12">
        <v>2766</v>
      </c>
      <c r="B2767" s="1" t="s">
        <v>4097</v>
      </c>
      <c r="C2767" s="42" t="s">
        <v>4098</v>
      </c>
      <c r="D2767" s="42" t="s">
        <v>4102</v>
      </c>
      <c r="E2767" s="42" t="s">
        <v>4103</v>
      </c>
      <c r="F2767" s="4">
        <v>19778.330000000002</v>
      </c>
      <c r="G2767" s="47" t="s">
        <v>64</v>
      </c>
      <c r="H2767" s="12">
        <v>996713</v>
      </c>
      <c r="I2767" s="4">
        <v>0</v>
      </c>
      <c r="J2767" s="4">
        <v>0</v>
      </c>
      <c r="K2767" s="4">
        <v>3017.03</v>
      </c>
      <c r="L2767" s="4">
        <v>0</v>
      </c>
      <c r="M2767" s="12" t="s">
        <v>19</v>
      </c>
      <c r="N2767" s="31">
        <f t="shared" si="65"/>
        <v>3017.03</v>
      </c>
    </row>
    <row r="2768" spans="1:14">
      <c r="A2768" s="12">
        <v>2767</v>
      </c>
      <c r="B2768" s="1" t="s">
        <v>4097</v>
      </c>
      <c r="C2768" s="42" t="s">
        <v>4098</v>
      </c>
      <c r="D2768" s="42" t="s">
        <v>4104</v>
      </c>
      <c r="E2768" s="42" t="s">
        <v>681</v>
      </c>
      <c r="F2768" s="4">
        <v>56640</v>
      </c>
      <c r="G2768" s="47" t="s">
        <v>64</v>
      </c>
      <c r="H2768" s="12">
        <v>996713</v>
      </c>
      <c r="I2768" s="4">
        <v>0</v>
      </c>
      <c r="J2768" s="4">
        <v>0</v>
      </c>
      <c r="K2768" s="4">
        <v>8640</v>
      </c>
      <c r="L2768" s="4">
        <v>0</v>
      </c>
      <c r="M2768" s="12" t="s">
        <v>19</v>
      </c>
      <c r="N2768" s="31">
        <f t="shared" si="65"/>
        <v>8640</v>
      </c>
    </row>
    <row r="2769" spans="1:14">
      <c r="A2769" s="12">
        <v>2768</v>
      </c>
      <c r="B2769" s="1" t="s">
        <v>4097</v>
      </c>
      <c r="C2769" s="42" t="s">
        <v>4098</v>
      </c>
      <c r="D2769" s="42" t="s">
        <v>4105</v>
      </c>
      <c r="E2769" s="42" t="s">
        <v>4101</v>
      </c>
      <c r="F2769" s="4">
        <v>141600</v>
      </c>
      <c r="G2769" s="47" t="s">
        <v>64</v>
      </c>
      <c r="H2769" s="12">
        <v>996713</v>
      </c>
      <c r="I2769" s="4">
        <v>0</v>
      </c>
      <c r="J2769" s="4">
        <v>0</v>
      </c>
      <c r="K2769" s="4">
        <v>21600</v>
      </c>
      <c r="L2769" s="4">
        <v>0</v>
      </c>
      <c r="M2769" s="12" t="s">
        <v>19</v>
      </c>
      <c r="N2769" s="31">
        <f t="shared" si="65"/>
        <v>21600</v>
      </c>
    </row>
    <row r="2770" spans="1:14">
      <c r="A2770" s="12">
        <v>2769</v>
      </c>
      <c r="B2770" s="1" t="s">
        <v>4097</v>
      </c>
      <c r="C2770" s="42" t="s">
        <v>4098</v>
      </c>
      <c r="D2770" s="42" t="s">
        <v>4106</v>
      </c>
      <c r="E2770" s="42" t="s">
        <v>4103</v>
      </c>
      <c r="F2770" s="4">
        <v>141600</v>
      </c>
      <c r="G2770" s="47" t="s">
        <v>64</v>
      </c>
      <c r="H2770" s="12">
        <v>996713</v>
      </c>
      <c r="I2770" s="4">
        <v>0</v>
      </c>
      <c r="J2770" s="4">
        <v>0</v>
      </c>
      <c r="K2770" s="4">
        <v>21600</v>
      </c>
      <c r="L2770" s="4">
        <v>0</v>
      </c>
      <c r="M2770" s="12" t="s">
        <v>19</v>
      </c>
      <c r="N2770" s="31">
        <f t="shared" si="65"/>
        <v>21600</v>
      </c>
    </row>
    <row r="2771" spans="1:14">
      <c r="A2771" s="12">
        <v>2770</v>
      </c>
      <c r="B2771" s="1" t="s">
        <v>3976</v>
      </c>
      <c r="C2771" s="42" t="s">
        <v>3977</v>
      </c>
      <c r="D2771" s="42" t="s">
        <v>4107</v>
      </c>
      <c r="E2771" s="42" t="s">
        <v>685</v>
      </c>
      <c r="F2771" s="4">
        <v>316089</v>
      </c>
      <c r="G2771" s="47" t="s">
        <v>24</v>
      </c>
      <c r="H2771" s="12">
        <v>1006</v>
      </c>
      <c r="I2771" s="4">
        <v>7526</v>
      </c>
      <c r="J2771" s="4">
        <v>7526</v>
      </c>
      <c r="K2771" s="4">
        <v>0</v>
      </c>
      <c r="L2771" s="4">
        <v>0</v>
      </c>
      <c r="M2771" s="12" t="s">
        <v>19</v>
      </c>
      <c r="N2771" s="31">
        <f t="shared" si="65"/>
        <v>15052</v>
      </c>
    </row>
    <row r="2772" spans="1:14">
      <c r="A2772" s="12">
        <v>2771</v>
      </c>
      <c r="B2772" s="1" t="s">
        <v>3982</v>
      </c>
      <c r="C2772" s="42" t="s">
        <v>3983</v>
      </c>
      <c r="D2772" s="42" t="s">
        <v>4108</v>
      </c>
      <c r="E2772" s="42" t="s">
        <v>4101</v>
      </c>
      <c r="F2772" s="4">
        <v>21830</v>
      </c>
      <c r="G2772" s="47" t="s">
        <v>64</v>
      </c>
      <c r="H2772" s="7" t="s">
        <v>3985</v>
      </c>
      <c r="I2772" s="4">
        <v>0</v>
      </c>
      <c r="J2772" s="4">
        <v>0</v>
      </c>
      <c r="K2772" s="4">
        <v>3330</v>
      </c>
      <c r="L2772" s="4">
        <v>0</v>
      </c>
      <c r="M2772" s="12" t="s">
        <v>19</v>
      </c>
      <c r="N2772" s="31">
        <f t="shared" si="65"/>
        <v>3330</v>
      </c>
    </row>
    <row r="2773" spans="1:14">
      <c r="A2773" s="12">
        <v>2772</v>
      </c>
      <c r="B2773" s="1" t="s">
        <v>4097</v>
      </c>
      <c r="C2773" s="42" t="s">
        <v>4098</v>
      </c>
      <c r="D2773" s="42" t="s">
        <v>4109</v>
      </c>
      <c r="E2773" s="42" t="s">
        <v>4101</v>
      </c>
      <c r="F2773" s="12">
        <v>-141600</v>
      </c>
      <c r="G2773" s="47" t="s">
        <v>64</v>
      </c>
      <c r="H2773" s="12">
        <v>996713</v>
      </c>
      <c r="I2773" s="12">
        <v>0</v>
      </c>
      <c r="J2773" s="12">
        <v>0</v>
      </c>
      <c r="K2773" s="12">
        <v>-21600</v>
      </c>
      <c r="L2773" s="4">
        <v>0</v>
      </c>
      <c r="M2773" s="12" t="s">
        <v>19</v>
      </c>
      <c r="N2773" s="31">
        <f t="shared" si="65"/>
        <v>-21600</v>
      </c>
    </row>
    <row r="2774" spans="1:14">
      <c r="A2774" s="12">
        <v>2773</v>
      </c>
      <c r="B2774" s="1" t="s">
        <v>4097</v>
      </c>
      <c r="C2774" s="42" t="s">
        <v>4098</v>
      </c>
      <c r="D2774" s="42" t="s">
        <v>4110</v>
      </c>
      <c r="E2774" s="42" t="s">
        <v>4101</v>
      </c>
      <c r="F2774" s="12">
        <v>-19778.330000000002</v>
      </c>
      <c r="G2774" s="47" t="s">
        <v>64</v>
      </c>
      <c r="H2774" s="12">
        <v>996713</v>
      </c>
      <c r="I2774" s="12">
        <v>0</v>
      </c>
      <c r="J2774" s="12">
        <v>0</v>
      </c>
      <c r="K2774" s="12">
        <v>-3017.03</v>
      </c>
      <c r="L2774" s="4">
        <v>0</v>
      </c>
      <c r="M2774" s="12" t="s">
        <v>19</v>
      </c>
      <c r="N2774" s="31">
        <f t="shared" si="65"/>
        <v>-3017.03</v>
      </c>
    </row>
    <row r="2775" spans="1:14">
      <c r="A2775" s="12">
        <v>2774</v>
      </c>
      <c r="B2775" s="1" t="s">
        <v>3982</v>
      </c>
      <c r="C2775" s="42" t="s">
        <v>3983</v>
      </c>
      <c r="D2775" s="42" t="s">
        <v>4111</v>
      </c>
      <c r="E2775" s="42" t="s">
        <v>681</v>
      </c>
      <c r="F2775" s="12">
        <v>-10398</v>
      </c>
      <c r="G2775" s="47" t="s">
        <v>64</v>
      </c>
      <c r="H2775" s="7" t="s">
        <v>3985</v>
      </c>
      <c r="I2775" s="12">
        <v>0</v>
      </c>
      <c r="J2775" s="12">
        <v>0</v>
      </c>
      <c r="K2775" s="12">
        <v>-1586</v>
      </c>
      <c r="L2775" s="4">
        <v>0</v>
      </c>
      <c r="M2775" s="12" t="s">
        <v>19</v>
      </c>
      <c r="N2775" s="31">
        <f t="shared" si="65"/>
        <v>-1586</v>
      </c>
    </row>
    <row r="2776" spans="1:14">
      <c r="A2776" s="12">
        <v>2775</v>
      </c>
      <c r="B2776" s="1" t="s">
        <v>4012</v>
      </c>
      <c r="C2776" s="42" t="s">
        <v>4013</v>
      </c>
      <c r="D2776" s="42" t="s">
        <v>4112</v>
      </c>
      <c r="E2776" s="42" t="s">
        <v>4113</v>
      </c>
      <c r="F2776" s="4">
        <v>500</v>
      </c>
      <c r="G2776" s="47" t="s">
        <v>64</v>
      </c>
      <c r="H2776" s="8">
        <v>997139</v>
      </c>
      <c r="I2776" s="4">
        <v>38.130000000000003</v>
      </c>
      <c r="J2776" s="4">
        <v>38.130000000000003</v>
      </c>
      <c r="K2776" s="4">
        <v>0</v>
      </c>
      <c r="L2776" s="4">
        <v>0</v>
      </c>
      <c r="M2776" s="12" t="s">
        <v>19</v>
      </c>
      <c r="N2776" s="31">
        <f t="shared" si="65"/>
        <v>76.260000000000005</v>
      </c>
    </row>
    <row r="2777" spans="1:14">
      <c r="A2777" s="12">
        <v>2776</v>
      </c>
      <c r="B2777" s="1" t="s">
        <v>4012</v>
      </c>
      <c r="C2777" s="42" t="s">
        <v>4013</v>
      </c>
      <c r="D2777" s="42" t="s">
        <v>4114</v>
      </c>
      <c r="E2777" s="42" t="s">
        <v>715</v>
      </c>
      <c r="F2777" s="4">
        <v>500</v>
      </c>
      <c r="G2777" s="47" t="s">
        <v>64</v>
      </c>
      <c r="H2777" s="8">
        <v>997139</v>
      </c>
      <c r="I2777" s="4">
        <v>38.130000000000003</v>
      </c>
      <c r="J2777" s="4">
        <v>38.130000000000003</v>
      </c>
      <c r="K2777" s="4">
        <v>0</v>
      </c>
      <c r="L2777" s="4">
        <v>0</v>
      </c>
      <c r="M2777" s="12" t="s">
        <v>19</v>
      </c>
      <c r="N2777" s="31">
        <f t="shared" si="65"/>
        <v>76.260000000000005</v>
      </c>
    </row>
    <row r="2778" spans="1:14">
      <c r="A2778" s="12">
        <v>2777</v>
      </c>
      <c r="B2778" s="1" t="s">
        <v>4012</v>
      </c>
      <c r="C2778" s="42" t="s">
        <v>4013</v>
      </c>
      <c r="D2778" s="42" t="s">
        <v>4115</v>
      </c>
      <c r="E2778" s="42" t="s">
        <v>4116</v>
      </c>
      <c r="F2778" s="4">
        <v>500</v>
      </c>
      <c r="G2778" s="47" t="s">
        <v>64</v>
      </c>
      <c r="H2778" s="8">
        <v>997139</v>
      </c>
      <c r="I2778" s="4">
        <v>38.130000000000003</v>
      </c>
      <c r="J2778" s="4">
        <v>38.130000000000003</v>
      </c>
      <c r="K2778" s="4">
        <v>0</v>
      </c>
      <c r="L2778" s="4">
        <v>0</v>
      </c>
      <c r="M2778" s="12" t="s">
        <v>19</v>
      </c>
      <c r="N2778" s="31">
        <f t="shared" si="65"/>
        <v>76.260000000000005</v>
      </c>
    </row>
    <row r="2779" spans="1:14">
      <c r="A2779" s="12">
        <v>2778</v>
      </c>
      <c r="B2779" s="1" t="s">
        <v>1824</v>
      </c>
      <c r="C2779" s="42" t="s">
        <v>1825</v>
      </c>
      <c r="D2779" s="42" t="s">
        <v>4117</v>
      </c>
      <c r="E2779" s="42" t="s">
        <v>401</v>
      </c>
      <c r="F2779" s="4">
        <v>2705.17</v>
      </c>
      <c r="G2779" s="47" t="s">
        <v>64</v>
      </c>
      <c r="H2779" s="29" t="s">
        <v>847</v>
      </c>
      <c r="I2779" s="4">
        <v>0</v>
      </c>
      <c r="J2779" s="4">
        <v>0</v>
      </c>
      <c r="K2779" s="4">
        <v>412.65</v>
      </c>
      <c r="L2779" s="4">
        <v>0</v>
      </c>
      <c r="M2779" s="12" t="s">
        <v>19</v>
      </c>
      <c r="N2779" s="31">
        <f t="shared" si="65"/>
        <v>412.65</v>
      </c>
    </row>
    <row r="2780" spans="1:14">
      <c r="A2780" s="12">
        <v>2779</v>
      </c>
      <c r="B2780" s="1" t="s">
        <v>1824</v>
      </c>
      <c r="C2780" s="42" t="s">
        <v>1825</v>
      </c>
      <c r="D2780" s="42" t="s">
        <v>4118</v>
      </c>
      <c r="E2780" s="42" t="s">
        <v>401</v>
      </c>
      <c r="F2780" s="4">
        <v>6429.81</v>
      </c>
      <c r="G2780" s="47" t="s">
        <v>64</v>
      </c>
      <c r="H2780" s="29" t="s">
        <v>847</v>
      </c>
      <c r="I2780" s="4">
        <v>0</v>
      </c>
      <c r="J2780" s="4">
        <v>0</v>
      </c>
      <c r="K2780" s="4">
        <v>980.81</v>
      </c>
      <c r="L2780" s="4">
        <v>0</v>
      </c>
      <c r="M2780" s="12" t="s">
        <v>19</v>
      </c>
      <c r="N2780" s="31">
        <f t="shared" si="65"/>
        <v>980.81</v>
      </c>
    </row>
    <row r="2781" spans="1:14">
      <c r="A2781" s="12">
        <v>2780</v>
      </c>
      <c r="B2781" s="1" t="s">
        <v>1824</v>
      </c>
      <c r="C2781" s="42" t="s">
        <v>1825</v>
      </c>
      <c r="D2781" s="42" t="s">
        <v>4119</v>
      </c>
      <c r="E2781" s="42" t="s">
        <v>401</v>
      </c>
      <c r="F2781" s="4">
        <v>61.95</v>
      </c>
      <c r="G2781" s="47" t="s">
        <v>64</v>
      </c>
      <c r="H2781" s="29" t="s">
        <v>847</v>
      </c>
      <c r="I2781" s="4">
        <v>0</v>
      </c>
      <c r="J2781" s="4">
        <v>0</v>
      </c>
      <c r="K2781" s="4">
        <v>9.4499999999999993</v>
      </c>
      <c r="L2781" s="4">
        <v>0</v>
      </c>
      <c r="M2781" s="12" t="s">
        <v>19</v>
      </c>
      <c r="N2781" s="31">
        <f t="shared" si="65"/>
        <v>9.4499999999999993</v>
      </c>
    </row>
    <row r="2782" spans="1:14">
      <c r="A2782" s="12">
        <v>2781</v>
      </c>
      <c r="B2782" s="1" t="s">
        <v>656</v>
      </c>
      <c r="C2782" s="42" t="s">
        <v>657</v>
      </c>
      <c r="D2782" s="42" t="s">
        <v>4120</v>
      </c>
      <c r="E2782" s="42" t="s">
        <v>401</v>
      </c>
      <c r="F2782" s="4">
        <v>3064.52</v>
      </c>
      <c r="G2782" s="47" t="s">
        <v>64</v>
      </c>
      <c r="H2782" s="12" t="s">
        <v>847</v>
      </c>
      <c r="I2782" s="4">
        <v>0</v>
      </c>
      <c r="J2782" s="4">
        <v>0</v>
      </c>
      <c r="K2782" s="4">
        <v>467.47</v>
      </c>
      <c r="L2782" s="4">
        <v>0</v>
      </c>
      <c r="M2782" s="12" t="s">
        <v>19</v>
      </c>
      <c r="N2782" s="31">
        <f t="shared" si="65"/>
        <v>467.47</v>
      </c>
    </row>
    <row r="2783" spans="1:14">
      <c r="A2783" s="12">
        <v>2782</v>
      </c>
      <c r="B2783" s="1" t="s">
        <v>4121</v>
      </c>
      <c r="C2783" s="42" t="s">
        <v>4122</v>
      </c>
      <c r="D2783" s="42" t="s">
        <v>4123</v>
      </c>
      <c r="E2783" s="42" t="s">
        <v>4124</v>
      </c>
      <c r="F2783" s="4">
        <v>2700</v>
      </c>
      <c r="G2783" s="47" t="s">
        <v>64</v>
      </c>
      <c r="H2783" s="1">
        <v>998713</v>
      </c>
      <c r="I2783" s="4">
        <v>205.92</v>
      </c>
      <c r="J2783" s="4">
        <v>205.92</v>
      </c>
      <c r="K2783" s="4">
        <v>0</v>
      </c>
      <c r="L2783" s="4">
        <v>0</v>
      </c>
      <c r="M2783" s="12" t="s">
        <v>19</v>
      </c>
      <c r="N2783" s="31">
        <f t="shared" si="65"/>
        <v>411.84</v>
      </c>
    </row>
    <row r="2784" spans="1:14">
      <c r="A2784" s="12">
        <v>2783</v>
      </c>
      <c r="B2784" s="1" t="s">
        <v>3967</v>
      </c>
      <c r="C2784" s="42" t="s">
        <v>3968</v>
      </c>
      <c r="D2784" s="42" t="s">
        <v>4125</v>
      </c>
      <c r="E2784" s="42" t="s">
        <v>4126</v>
      </c>
      <c r="F2784" s="4">
        <v>6608</v>
      </c>
      <c r="G2784" s="47" t="s">
        <v>64</v>
      </c>
      <c r="H2784" s="1">
        <v>998346</v>
      </c>
      <c r="I2784" s="4">
        <v>0</v>
      </c>
      <c r="J2784" s="4">
        <v>0</v>
      </c>
      <c r="K2784" s="4">
        <v>1008</v>
      </c>
      <c r="L2784" s="4">
        <v>0</v>
      </c>
      <c r="M2784" s="12" t="s">
        <v>19</v>
      </c>
      <c r="N2784" s="31">
        <f t="shared" ref="N2784:N2833" si="66">SUM(I2784:K2784,)</f>
        <v>1008</v>
      </c>
    </row>
    <row r="2785" spans="1:14">
      <c r="A2785" s="12">
        <v>2784</v>
      </c>
      <c r="B2785" s="1" t="s">
        <v>3967</v>
      </c>
      <c r="C2785" s="42" t="s">
        <v>3968</v>
      </c>
      <c r="D2785" s="42" t="s">
        <v>4127</v>
      </c>
      <c r="E2785" s="42" t="s">
        <v>393</v>
      </c>
      <c r="F2785" s="4">
        <v>8024</v>
      </c>
      <c r="G2785" s="47" t="s">
        <v>64</v>
      </c>
      <c r="H2785" s="1">
        <v>998346</v>
      </c>
      <c r="I2785" s="4">
        <v>0</v>
      </c>
      <c r="J2785" s="4">
        <v>0</v>
      </c>
      <c r="K2785" s="4">
        <v>1224</v>
      </c>
      <c r="L2785" s="4">
        <v>0</v>
      </c>
      <c r="M2785" s="12" t="s">
        <v>19</v>
      </c>
      <c r="N2785" s="31">
        <f t="shared" si="66"/>
        <v>1224</v>
      </c>
    </row>
    <row r="2786" spans="1:14">
      <c r="A2786" s="12">
        <v>2785</v>
      </c>
      <c r="B2786" s="1" t="s">
        <v>917</v>
      </c>
      <c r="C2786" s="42" t="s">
        <v>918</v>
      </c>
      <c r="D2786" s="42" t="s">
        <v>4128</v>
      </c>
      <c r="E2786" s="42" t="s">
        <v>391</v>
      </c>
      <c r="F2786" s="4">
        <v>7080</v>
      </c>
      <c r="G2786" s="47" t="s">
        <v>64</v>
      </c>
      <c r="H2786" s="12">
        <v>998399</v>
      </c>
      <c r="I2786" s="4">
        <v>540</v>
      </c>
      <c r="J2786" s="4">
        <v>540</v>
      </c>
      <c r="K2786" s="4">
        <v>0</v>
      </c>
      <c r="L2786" s="4">
        <v>0</v>
      </c>
      <c r="M2786" s="12" t="s">
        <v>19</v>
      </c>
      <c r="N2786" s="31">
        <f t="shared" si="66"/>
        <v>1080</v>
      </c>
    </row>
    <row r="2787" spans="1:14">
      <c r="A2787" s="12">
        <v>2786</v>
      </c>
      <c r="B2787" s="1" t="s">
        <v>917</v>
      </c>
      <c r="C2787" s="42" t="s">
        <v>918</v>
      </c>
      <c r="D2787" s="42" t="s">
        <v>4129</v>
      </c>
      <c r="E2787" s="42" t="s">
        <v>4083</v>
      </c>
      <c r="F2787" s="4">
        <v>9204</v>
      </c>
      <c r="G2787" s="47" t="s">
        <v>64</v>
      </c>
      <c r="H2787" s="12">
        <v>998399</v>
      </c>
      <c r="I2787" s="4">
        <v>702</v>
      </c>
      <c r="J2787" s="4">
        <v>702</v>
      </c>
      <c r="K2787" s="4">
        <v>0</v>
      </c>
      <c r="L2787" s="4">
        <v>0</v>
      </c>
      <c r="M2787" s="12" t="s">
        <v>19</v>
      </c>
      <c r="N2787" s="31">
        <f t="shared" si="66"/>
        <v>1404</v>
      </c>
    </row>
    <row r="2788" spans="1:14">
      <c r="A2788" s="12">
        <v>2787</v>
      </c>
      <c r="B2788" s="1" t="s">
        <v>917</v>
      </c>
      <c r="C2788" s="42" t="s">
        <v>918</v>
      </c>
      <c r="D2788" s="42" t="s">
        <v>4130</v>
      </c>
      <c r="E2788" s="42" t="s">
        <v>4083</v>
      </c>
      <c r="F2788" s="4">
        <v>9204</v>
      </c>
      <c r="G2788" s="47" t="s">
        <v>64</v>
      </c>
      <c r="H2788" s="12">
        <v>998399</v>
      </c>
      <c r="I2788" s="4">
        <v>702</v>
      </c>
      <c r="J2788" s="4">
        <v>702</v>
      </c>
      <c r="K2788" s="4">
        <v>0</v>
      </c>
      <c r="L2788" s="4">
        <v>0</v>
      </c>
      <c r="M2788" s="12" t="s">
        <v>19</v>
      </c>
      <c r="N2788" s="31">
        <f t="shared" si="66"/>
        <v>1404</v>
      </c>
    </row>
    <row r="2789" spans="1:14">
      <c r="A2789" s="12">
        <v>2788</v>
      </c>
      <c r="B2789" s="1" t="s">
        <v>917</v>
      </c>
      <c r="C2789" s="42" t="s">
        <v>918</v>
      </c>
      <c r="D2789" s="42" t="s">
        <v>4131</v>
      </c>
      <c r="E2789" s="42" t="s">
        <v>4066</v>
      </c>
      <c r="F2789" s="4">
        <v>11894.4</v>
      </c>
      <c r="G2789" s="47" t="s">
        <v>64</v>
      </c>
      <c r="H2789" s="12">
        <v>998399</v>
      </c>
      <c r="I2789" s="4">
        <v>907.2</v>
      </c>
      <c r="J2789" s="4">
        <v>907.2</v>
      </c>
      <c r="K2789" s="4">
        <v>0</v>
      </c>
      <c r="L2789" s="4">
        <v>0</v>
      </c>
      <c r="M2789" s="12" t="s">
        <v>19</v>
      </c>
      <c r="N2789" s="31">
        <f t="shared" si="66"/>
        <v>1814.4</v>
      </c>
    </row>
    <row r="2790" spans="1:14">
      <c r="A2790" s="12">
        <v>2789</v>
      </c>
      <c r="B2790" s="1" t="s">
        <v>1166</v>
      </c>
      <c r="C2790" s="42" t="s">
        <v>1167</v>
      </c>
      <c r="D2790" s="42" t="s">
        <v>4132</v>
      </c>
      <c r="E2790" s="42" t="s">
        <v>401</v>
      </c>
      <c r="F2790" s="4">
        <v>118</v>
      </c>
      <c r="G2790" s="47" t="s">
        <v>64</v>
      </c>
      <c r="H2790" s="12">
        <v>997157</v>
      </c>
      <c r="I2790" s="4">
        <v>9</v>
      </c>
      <c r="J2790" s="4">
        <v>9</v>
      </c>
      <c r="K2790" s="4">
        <v>0</v>
      </c>
      <c r="L2790" s="4">
        <v>0</v>
      </c>
      <c r="M2790" s="12" t="s">
        <v>19</v>
      </c>
      <c r="N2790" s="31">
        <f t="shared" si="66"/>
        <v>18</v>
      </c>
    </row>
    <row r="2791" spans="1:14">
      <c r="A2791" s="12">
        <v>2790</v>
      </c>
      <c r="B2791" s="1" t="s">
        <v>3936</v>
      </c>
      <c r="C2791" s="42" t="s">
        <v>3937</v>
      </c>
      <c r="D2791" s="42" t="s">
        <v>4133</v>
      </c>
      <c r="E2791" s="42" t="s">
        <v>681</v>
      </c>
      <c r="F2791" s="4">
        <v>590</v>
      </c>
      <c r="G2791" s="47" t="s">
        <v>64</v>
      </c>
      <c r="H2791" s="12">
        <v>9971</v>
      </c>
      <c r="I2791" s="4">
        <v>45</v>
      </c>
      <c r="J2791" s="4">
        <v>45</v>
      </c>
      <c r="K2791" s="4">
        <v>0</v>
      </c>
      <c r="L2791" s="4">
        <v>0</v>
      </c>
      <c r="M2791" s="12" t="s">
        <v>19</v>
      </c>
      <c r="N2791" s="31">
        <f t="shared" si="66"/>
        <v>90</v>
      </c>
    </row>
    <row r="2792" spans="1:14">
      <c r="A2792" s="12">
        <v>2791</v>
      </c>
      <c r="B2792" s="1" t="s">
        <v>3936</v>
      </c>
      <c r="C2792" s="42" t="s">
        <v>3937</v>
      </c>
      <c r="D2792" s="42" t="s">
        <v>4134</v>
      </c>
      <c r="E2792" s="42" t="s">
        <v>681</v>
      </c>
      <c r="F2792" s="4">
        <v>590</v>
      </c>
      <c r="G2792" s="47" t="s">
        <v>64</v>
      </c>
      <c r="H2792" s="12">
        <v>9971</v>
      </c>
      <c r="I2792" s="4">
        <v>45</v>
      </c>
      <c r="J2792" s="4">
        <v>45</v>
      </c>
      <c r="K2792" s="4">
        <v>0</v>
      </c>
      <c r="L2792" s="4">
        <v>0</v>
      </c>
      <c r="M2792" s="12" t="s">
        <v>19</v>
      </c>
      <c r="N2792" s="31">
        <f t="shared" si="66"/>
        <v>90</v>
      </c>
    </row>
    <row r="2793" spans="1:14">
      <c r="A2793" s="12">
        <v>2792</v>
      </c>
      <c r="B2793" s="1" t="s">
        <v>3936</v>
      </c>
      <c r="C2793" s="42" t="s">
        <v>3937</v>
      </c>
      <c r="D2793" s="42" t="s">
        <v>4135</v>
      </c>
      <c r="E2793" s="42" t="s">
        <v>681</v>
      </c>
      <c r="F2793" s="4">
        <v>590</v>
      </c>
      <c r="G2793" s="47" t="s">
        <v>64</v>
      </c>
      <c r="H2793" s="12">
        <v>9971</v>
      </c>
      <c r="I2793" s="4">
        <v>45</v>
      </c>
      <c r="J2793" s="4">
        <v>45</v>
      </c>
      <c r="K2793" s="4">
        <v>0</v>
      </c>
      <c r="L2793" s="4">
        <v>0</v>
      </c>
      <c r="M2793" s="12" t="s">
        <v>19</v>
      </c>
      <c r="N2793" s="31">
        <f t="shared" si="66"/>
        <v>90</v>
      </c>
    </row>
    <row r="2794" spans="1:14">
      <c r="A2794" s="12">
        <v>2793</v>
      </c>
      <c r="B2794" s="1" t="s">
        <v>3936</v>
      </c>
      <c r="C2794" s="42" t="s">
        <v>3937</v>
      </c>
      <c r="D2794" s="42" t="s">
        <v>4136</v>
      </c>
      <c r="E2794" s="42" t="s">
        <v>4083</v>
      </c>
      <c r="F2794" s="4">
        <v>14709.03</v>
      </c>
      <c r="G2794" s="47" t="s">
        <v>64</v>
      </c>
      <c r="H2794" s="12">
        <v>9971</v>
      </c>
      <c r="I2794" s="4">
        <v>1121.8800000000001</v>
      </c>
      <c r="J2794" s="4">
        <v>1121.8800000000001</v>
      </c>
      <c r="K2794" s="4">
        <v>0</v>
      </c>
      <c r="L2794" s="4">
        <v>0</v>
      </c>
      <c r="M2794" s="12" t="s">
        <v>19</v>
      </c>
      <c r="N2794" s="31">
        <f t="shared" si="66"/>
        <v>2243.7600000000002</v>
      </c>
    </row>
    <row r="2795" spans="1:14">
      <c r="A2795" s="12">
        <v>2794</v>
      </c>
      <c r="B2795" s="1" t="s">
        <v>3936</v>
      </c>
      <c r="C2795" s="42" t="s">
        <v>3937</v>
      </c>
      <c r="D2795" s="42" t="s">
        <v>4137</v>
      </c>
      <c r="E2795" s="42" t="s">
        <v>4083</v>
      </c>
      <c r="F2795" s="4">
        <v>2781.59</v>
      </c>
      <c r="G2795" s="47" t="s">
        <v>64</v>
      </c>
      <c r="H2795" s="12">
        <v>9971</v>
      </c>
      <c r="I2795" s="4">
        <v>212.16</v>
      </c>
      <c r="J2795" s="4">
        <v>212.16</v>
      </c>
      <c r="K2795" s="4">
        <v>0</v>
      </c>
      <c r="L2795" s="4">
        <v>0</v>
      </c>
      <c r="M2795" s="12" t="s">
        <v>19</v>
      </c>
      <c r="N2795" s="31">
        <f t="shared" si="66"/>
        <v>424.32</v>
      </c>
    </row>
    <row r="2796" spans="1:14">
      <c r="A2796" s="12">
        <v>2795</v>
      </c>
      <c r="B2796" s="1" t="s">
        <v>3936</v>
      </c>
      <c r="C2796" s="42" t="s">
        <v>3937</v>
      </c>
      <c r="D2796" s="42" t="s">
        <v>4138</v>
      </c>
      <c r="E2796" s="42" t="s">
        <v>4083</v>
      </c>
      <c r="F2796" s="4">
        <v>590</v>
      </c>
      <c r="G2796" s="47" t="s">
        <v>64</v>
      </c>
      <c r="H2796" s="12">
        <v>9971</v>
      </c>
      <c r="I2796" s="4">
        <v>45</v>
      </c>
      <c r="J2796" s="4">
        <v>45</v>
      </c>
      <c r="K2796" s="4">
        <v>0</v>
      </c>
      <c r="L2796" s="4">
        <v>0</v>
      </c>
      <c r="M2796" s="12" t="s">
        <v>19</v>
      </c>
      <c r="N2796" s="31">
        <f t="shared" si="66"/>
        <v>90</v>
      </c>
    </row>
    <row r="2797" spans="1:14">
      <c r="A2797" s="12">
        <v>2796</v>
      </c>
      <c r="B2797" s="1" t="s">
        <v>3936</v>
      </c>
      <c r="C2797" s="42" t="s">
        <v>3937</v>
      </c>
      <c r="D2797" s="42" t="s">
        <v>4139</v>
      </c>
      <c r="E2797" s="42" t="s">
        <v>4083</v>
      </c>
      <c r="F2797" s="4">
        <v>590</v>
      </c>
      <c r="G2797" s="47" t="s">
        <v>64</v>
      </c>
      <c r="H2797" s="12">
        <v>9971</v>
      </c>
      <c r="I2797" s="4">
        <v>45</v>
      </c>
      <c r="J2797" s="4">
        <v>45</v>
      </c>
      <c r="K2797" s="4">
        <v>0</v>
      </c>
      <c r="L2797" s="4">
        <v>0</v>
      </c>
      <c r="M2797" s="12" t="s">
        <v>19</v>
      </c>
      <c r="N2797" s="31">
        <f t="shared" si="66"/>
        <v>90</v>
      </c>
    </row>
    <row r="2798" spans="1:14">
      <c r="A2798" s="12">
        <v>2797</v>
      </c>
      <c r="B2798" s="1" t="s">
        <v>3936</v>
      </c>
      <c r="C2798" s="42" t="s">
        <v>3937</v>
      </c>
      <c r="D2798" s="42" t="s">
        <v>4140</v>
      </c>
      <c r="E2798" s="42" t="s">
        <v>4083</v>
      </c>
      <c r="F2798" s="4">
        <v>590</v>
      </c>
      <c r="G2798" s="47" t="s">
        <v>64</v>
      </c>
      <c r="H2798" s="12">
        <v>9971</v>
      </c>
      <c r="I2798" s="4">
        <v>45</v>
      </c>
      <c r="J2798" s="4">
        <v>45</v>
      </c>
      <c r="K2798" s="4">
        <v>0</v>
      </c>
      <c r="L2798" s="4">
        <v>0</v>
      </c>
      <c r="M2798" s="12" t="s">
        <v>19</v>
      </c>
      <c r="N2798" s="31">
        <f t="shared" si="66"/>
        <v>90</v>
      </c>
    </row>
    <row r="2799" spans="1:14">
      <c r="A2799" s="12">
        <v>2798</v>
      </c>
      <c r="B2799" s="1" t="s">
        <v>3936</v>
      </c>
      <c r="C2799" s="42" t="s">
        <v>3937</v>
      </c>
      <c r="D2799" s="42" t="s">
        <v>4141</v>
      </c>
      <c r="E2799" s="42" t="s">
        <v>4083</v>
      </c>
      <c r="F2799" s="4">
        <v>354</v>
      </c>
      <c r="G2799" s="47" t="s">
        <v>64</v>
      </c>
      <c r="H2799" s="12">
        <v>9971</v>
      </c>
      <c r="I2799" s="4">
        <v>27</v>
      </c>
      <c r="J2799" s="4">
        <v>27</v>
      </c>
      <c r="K2799" s="4">
        <v>0</v>
      </c>
      <c r="L2799" s="4">
        <v>0</v>
      </c>
      <c r="M2799" s="12" t="s">
        <v>19</v>
      </c>
      <c r="N2799" s="31">
        <f t="shared" si="66"/>
        <v>54</v>
      </c>
    </row>
    <row r="2800" spans="1:14">
      <c r="A2800" s="12">
        <v>2799</v>
      </c>
      <c r="B2800" s="1" t="s">
        <v>3936</v>
      </c>
      <c r="C2800" s="42" t="s">
        <v>3937</v>
      </c>
      <c r="D2800" s="42" t="s">
        <v>4142</v>
      </c>
      <c r="E2800" s="42" t="s">
        <v>4143</v>
      </c>
      <c r="F2800" s="4">
        <v>590</v>
      </c>
      <c r="G2800" s="47" t="s">
        <v>64</v>
      </c>
      <c r="H2800" s="12">
        <v>9971</v>
      </c>
      <c r="I2800" s="4">
        <v>45</v>
      </c>
      <c r="J2800" s="4">
        <v>45</v>
      </c>
      <c r="K2800" s="4">
        <v>0</v>
      </c>
      <c r="L2800" s="4">
        <v>0</v>
      </c>
      <c r="M2800" s="12" t="s">
        <v>19</v>
      </c>
      <c r="N2800" s="31">
        <f t="shared" si="66"/>
        <v>90</v>
      </c>
    </row>
    <row r="2801" spans="1:14">
      <c r="A2801" s="12">
        <v>2800</v>
      </c>
      <c r="B2801" s="1" t="s">
        <v>3936</v>
      </c>
      <c r="C2801" s="42" t="s">
        <v>3937</v>
      </c>
      <c r="D2801" s="42" t="s">
        <v>4144</v>
      </c>
      <c r="E2801" s="42" t="s">
        <v>4071</v>
      </c>
      <c r="F2801" s="4">
        <v>590</v>
      </c>
      <c r="G2801" s="47" t="s">
        <v>64</v>
      </c>
      <c r="H2801" s="12">
        <v>9971</v>
      </c>
      <c r="I2801" s="4">
        <v>45</v>
      </c>
      <c r="J2801" s="4">
        <v>45</v>
      </c>
      <c r="K2801" s="4">
        <v>0</v>
      </c>
      <c r="L2801" s="4">
        <v>0</v>
      </c>
      <c r="M2801" s="12" t="s">
        <v>19</v>
      </c>
      <c r="N2801" s="31">
        <f t="shared" si="66"/>
        <v>90</v>
      </c>
    </row>
    <row r="2802" spans="1:14">
      <c r="A2802" s="12">
        <v>2801</v>
      </c>
      <c r="B2802" s="1" t="s">
        <v>3936</v>
      </c>
      <c r="C2802" s="42" t="s">
        <v>3937</v>
      </c>
      <c r="D2802" s="42" t="s">
        <v>4145</v>
      </c>
      <c r="E2802" s="42" t="s">
        <v>685</v>
      </c>
      <c r="F2802" s="4">
        <v>8281.7000000000007</v>
      </c>
      <c r="G2802" s="47" t="s">
        <v>64</v>
      </c>
      <c r="H2802" s="12">
        <v>9971</v>
      </c>
      <c r="I2802" s="4">
        <v>631.66</v>
      </c>
      <c r="J2802" s="4">
        <v>631.66</v>
      </c>
      <c r="K2802" s="4">
        <v>0</v>
      </c>
      <c r="L2802" s="4">
        <v>0</v>
      </c>
      <c r="M2802" s="12" t="s">
        <v>19</v>
      </c>
      <c r="N2802" s="31">
        <f t="shared" si="66"/>
        <v>1263.32</v>
      </c>
    </row>
    <row r="2803" spans="1:14">
      <c r="A2803" s="12">
        <v>2802</v>
      </c>
      <c r="B2803" s="1" t="s">
        <v>3936</v>
      </c>
      <c r="C2803" s="42" t="s">
        <v>3937</v>
      </c>
      <c r="D2803" s="42" t="s">
        <v>4146</v>
      </c>
      <c r="E2803" s="42" t="s">
        <v>685</v>
      </c>
      <c r="F2803" s="4">
        <v>3363.59</v>
      </c>
      <c r="G2803" s="47" t="s">
        <v>64</v>
      </c>
      <c r="H2803" s="12">
        <v>9971</v>
      </c>
      <c r="I2803" s="4">
        <v>256.55</v>
      </c>
      <c r="J2803" s="4">
        <v>256.55</v>
      </c>
      <c r="K2803" s="4">
        <v>0</v>
      </c>
      <c r="L2803" s="4">
        <v>0</v>
      </c>
      <c r="M2803" s="12" t="s">
        <v>19</v>
      </c>
      <c r="N2803" s="31">
        <f t="shared" si="66"/>
        <v>513.1</v>
      </c>
    </row>
    <row r="2804" spans="1:14">
      <c r="A2804" s="12">
        <v>2803</v>
      </c>
      <c r="B2804" s="1" t="s">
        <v>3936</v>
      </c>
      <c r="C2804" s="42" t="s">
        <v>3937</v>
      </c>
      <c r="D2804" s="42" t="s">
        <v>4147</v>
      </c>
      <c r="E2804" s="42" t="s">
        <v>685</v>
      </c>
      <c r="F2804" s="4">
        <v>354</v>
      </c>
      <c r="G2804" s="47" t="s">
        <v>64</v>
      </c>
      <c r="H2804" s="12">
        <v>9971</v>
      </c>
      <c r="I2804" s="4">
        <v>27</v>
      </c>
      <c r="J2804" s="4">
        <v>27</v>
      </c>
      <c r="K2804" s="4">
        <v>0</v>
      </c>
      <c r="L2804" s="4">
        <v>0</v>
      </c>
      <c r="M2804" s="12" t="s">
        <v>19</v>
      </c>
      <c r="N2804" s="31">
        <f t="shared" si="66"/>
        <v>54</v>
      </c>
    </row>
    <row r="2805" spans="1:14">
      <c r="A2805" s="12">
        <v>2804</v>
      </c>
      <c r="B2805" s="1" t="s">
        <v>3936</v>
      </c>
      <c r="C2805" s="42" t="s">
        <v>3937</v>
      </c>
      <c r="D2805" s="42" t="s">
        <v>4148</v>
      </c>
      <c r="E2805" s="42" t="s">
        <v>685</v>
      </c>
      <c r="F2805" s="4">
        <v>354</v>
      </c>
      <c r="G2805" s="47" t="s">
        <v>64</v>
      </c>
      <c r="H2805" s="12">
        <v>9971</v>
      </c>
      <c r="I2805" s="4">
        <v>27</v>
      </c>
      <c r="J2805" s="4">
        <v>27</v>
      </c>
      <c r="K2805" s="4">
        <v>0</v>
      </c>
      <c r="L2805" s="4">
        <v>0</v>
      </c>
      <c r="M2805" s="12" t="s">
        <v>19</v>
      </c>
      <c r="N2805" s="31">
        <f t="shared" si="66"/>
        <v>54</v>
      </c>
    </row>
    <row r="2806" spans="1:14">
      <c r="A2806" s="12">
        <v>2805</v>
      </c>
      <c r="B2806" s="1" t="s">
        <v>3936</v>
      </c>
      <c r="C2806" s="42" t="s">
        <v>3937</v>
      </c>
      <c r="D2806" s="42" t="s">
        <v>4149</v>
      </c>
      <c r="E2806" s="42" t="s">
        <v>4150</v>
      </c>
      <c r="F2806" s="4">
        <v>1475</v>
      </c>
      <c r="G2806" s="47" t="s">
        <v>64</v>
      </c>
      <c r="H2806" s="12">
        <v>9971</v>
      </c>
      <c r="I2806" s="4">
        <v>112.5</v>
      </c>
      <c r="J2806" s="4">
        <v>112.5</v>
      </c>
      <c r="K2806" s="4">
        <v>0</v>
      </c>
      <c r="L2806" s="4">
        <v>0</v>
      </c>
      <c r="M2806" s="12" t="s">
        <v>19</v>
      </c>
      <c r="N2806" s="31">
        <f t="shared" si="66"/>
        <v>225</v>
      </c>
    </row>
    <row r="2807" spans="1:14">
      <c r="A2807" s="12">
        <v>2806</v>
      </c>
      <c r="B2807" s="1" t="s">
        <v>3936</v>
      </c>
      <c r="C2807" s="42" t="s">
        <v>3937</v>
      </c>
      <c r="D2807" s="42" t="s">
        <v>4151</v>
      </c>
      <c r="E2807" s="42" t="s">
        <v>4152</v>
      </c>
      <c r="F2807" s="4">
        <v>118</v>
      </c>
      <c r="G2807" s="47" t="s">
        <v>64</v>
      </c>
      <c r="H2807" s="12">
        <v>9971</v>
      </c>
      <c r="I2807" s="4">
        <v>9</v>
      </c>
      <c r="J2807" s="4">
        <v>9</v>
      </c>
      <c r="K2807" s="4">
        <v>0</v>
      </c>
      <c r="L2807" s="4">
        <v>0</v>
      </c>
      <c r="M2807" s="12" t="s">
        <v>19</v>
      </c>
      <c r="N2807" s="31">
        <f t="shared" si="66"/>
        <v>18</v>
      </c>
    </row>
    <row r="2808" spans="1:14">
      <c r="A2808" s="12">
        <v>2807</v>
      </c>
      <c r="B2808" s="1" t="s">
        <v>4153</v>
      </c>
      <c r="C2808" s="42" t="s">
        <v>4154</v>
      </c>
      <c r="D2808" s="42" t="s">
        <v>4155</v>
      </c>
      <c r="E2808" s="42" t="s">
        <v>717</v>
      </c>
      <c r="F2808" s="4">
        <v>254203</v>
      </c>
      <c r="G2808" s="47" t="s">
        <v>24</v>
      </c>
      <c r="H2808" s="12">
        <v>3923</v>
      </c>
      <c r="I2808" s="4">
        <v>19388.34</v>
      </c>
      <c r="J2808" s="4">
        <v>19388.34</v>
      </c>
      <c r="K2808" s="4">
        <v>0</v>
      </c>
      <c r="L2808" s="4">
        <v>0</v>
      </c>
      <c r="M2808" s="12" t="s">
        <v>19</v>
      </c>
      <c r="N2808" s="31">
        <f t="shared" si="66"/>
        <v>38776.68</v>
      </c>
    </row>
    <row r="2809" spans="1:14">
      <c r="A2809" s="12">
        <v>2808</v>
      </c>
      <c r="B2809" s="1" t="s">
        <v>3982</v>
      </c>
      <c r="C2809" s="42" t="s">
        <v>3983</v>
      </c>
      <c r="D2809" s="42" t="s">
        <v>4156</v>
      </c>
      <c r="E2809" s="42" t="s">
        <v>736</v>
      </c>
      <c r="F2809" s="4">
        <v>23659</v>
      </c>
      <c r="G2809" s="47" t="s">
        <v>64</v>
      </c>
      <c r="H2809" s="7" t="s">
        <v>3985</v>
      </c>
      <c r="I2809" s="4">
        <v>0</v>
      </c>
      <c r="J2809" s="4">
        <v>0</v>
      </c>
      <c r="K2809" s="4">
        <v>3609</v>
      </c>
      <c r="L2809" s="4">
        <v>0</v>
      </c>
      <c r="M2809" s="12" t="s">
        <v>19</v>
      </c>
      <c r="N2809" s="31">
        <f t="shared" si="66"/>
        <v>3609</v>
      </c>
    </row>
    <row r="2810" spans="1:14">
      <c r="A2810" s="12">
        <v>2809</v>
      </c>
      <c r="B2810" s="1" t="s">
        <v>3982</v>
      </c>
      <c r="C2810" s="42" t="s">
        <v>3983</v>
      </c>
      <c r="D2810" s="42" t="s">
        <v>4157</v>
      </c>
      <c r="E2810" s="42" t="s">
        <v>401</v>
      </c>
      <c r="F2810" s="4">
        <v>51330</v>
      </c>
      <c r="G2810" s="47" t="s">
        <v>64</v>
      </c>
      <c r="H2810" s="7" t="s">
        <v>3985</v>
      </c>
      <c r="I2810" s="4">
        <v>0</v>
      </c>
      <c r="J2810" s="4">
        <v>0</v>
      </c>
      <c r="K2810" s="4">
        <v>7830</v>
      </c>
      <c r="L2810" s="4">
        <v>0</v>
      </c>
      <c r="M2810" s="12" t="s">
        <v>19</v>
      </c>
      <c r="N2810" s="31">
        <f t="shared" si="66"/>
        <v>7830</v>
      </c>
    </row>
    <row r="2811" spans="1:14">
      <c r="A2811" s="12">
        <v>2810</v>
      </c>
      <c r="B2811" s="1" t="s">
        <v>1479</v>
      </c>
      <c r="C2811" s="42" t="s">
        <v>1480</v>
      </c>
      <c r="D2811" s="42" t="s">
        <v>4158</v>
      </c>
      <c r="E2811" s="42" t="s">
        <v>414</v>
      </c>
      <c r="F2811" s="4">
        <v>556575</v>
      </c>
      <c r="G2811" s="47" t="s">
        <v>24</v>
      </c>
      <c r="H2811" s="12">
        <v>63053923</v>
      </c>
      <c r="I2811" s="4">
        <v>15631.26</v>
      </c>
      <c r="J2811" s="4">
        <v>15631.26</v>
      </c>
      <c r="K2811" s="4">
        <v>0</v>
      </c>
      <c r="L2811" s="4">
        <v>0</v>
      </c>
      <c r="M2811" s="12" t="s">
        <v>19</v>
      </c>
      <c r="N2811" s="31">
        <f t="shared" si="66"/>
        <v>31262.52</v>
      </c>
    </row>
    <row r="2812" spans="1:14">
      <c r="A2812" s="12">
        <v>2811</v>
      </c>
      <c r="B2812" s="1" t="s">
        <v>1479</v>
      </c>
      <c r="C2812" s="42" t="s">
        <v>1480</v>
      </c>
      <c r="D2812" s="42" t="s">
        <v>4159</v>
      </c>
      <c r="E2812" s="42" t="s">
        <v>401</v>
      </c>
      <c r="F2812" s="4">
        <v>736153</v>
      </c>
      <c r="G2812" s="47" t="s">
        <v>24</v>
      </c>
      <c r="H2812" s="12">
        <v>63053923</v>
      </c>
      <c r="I2812" s="4">
        <v>56147.27</v>
      </c>
      <c r="J2812" s="4">
        <v>56147.27</v>
      </c>
      <c r="K2812" s="4">
        <v>0</v>
      </c>
      <c r="L2812" s="4">
        <v>0</v>
      </c>
      <c r="M2812" s="12" t="s">
        <v>19</v>
      </c>
      <c r="N2812" s="31">
        <f t="shared" si="66"/>
        <v>112294.54</v>
      </c>
    </row>
    <row r="2813" spans="1:14">
      <c r="A2813" s="12">
        <v>2812</v>
      </c>
      <c r="B2813" s="1" t="s">
        <v>3979</v>
      </c>
      <c r="C2813" s="42" t="s">
        <v>3980</v>
      </c>
      <c r="D2813" s="42" t="s">
        <v>4160</v>
      </c>
      <c r="E2813" s="42" t="s">
        <v>4116</v>
      </c>
      <c r="F2813" s="4">
        <v>6608</v>
      </c>
      <c r="G2813" s="47" t="s">
        <v>64</v>
      </c>
      <c r="H2813" s="12">
        <v>9983</v>
      </c>
      <c r="I2813" s="4">
        <v>504</v>
      </c>
      <c r="J2813" s="4">
        <v>504</v>
      </c>
      <c r="K2813" s="4">
        <v>0</v>
      </c>
      <c r="L2813" s="4">
        <v>0</v>
      </c>
      <c r="M2813" s="12" t="s">
        <v>19</v>
      </c>
      <c r="N2813" s="31">
        <f t="shared" si="66"/>
        <v>1008</v>
      </c>
    </row>
    <row r="2814" spans="1:14">
      <c r="A2814" s="12">
        <v>2813</v>
      </c>
      <c r="B2814" s="1" t="s">
        <v>557</v>
      </c>
      <c r="C2814" s="42" t="s">
        <v>558</v>
      </c>
      <c r="D2814" s="42" t="s">
        <v>4161</v>
      </c>
      <c r="E2814" s="42" t="s">
        <v>4116</v>
      </c>
      <c r="F2814" s="4">
        <v>61.02</v>
      </c>
      <c r="G2814" s="47" t="s">
        <v>64</v>
      </c>
      <c r="H2814" s="12">
        <v>998365</v>
      </c>
      <c r="I2814" s="4">
        <v>0</v>
      </c>
      <c r="J2814" s="4">
        <v>0</v>
      </c>
      <c r="K2814" s="4">
        <v>9.31</v>
      </c>
      <c r="L2814" s="4">
        <v>0</v>
      </c>
      <c r="M2814" s="12" t="s">
        <v>19</v>
      </c>
      <c r="N2814" s="31">
        <f t="shared" si="66"/>
        <v>9.31</v>
      </c>
    </row>
    <row r="2815" spans="1:14">
      <c r="A2815" s="12">
        <v>2814</v>
      </c>
      <c r="B2815" s="1" t="s">
        <v>557</v>
      </c>
      <c r="C2815" s="42" t="s">
        <v>558</v>
      </c>
      <c r="D2815" s="42" t="s">
        <v>4162</v>
      </c>
      <c r="E2815" s="42" t="s">
        <v>395</v>
      </c>
      <c r="F2815" s="4">
        <v>889.44</v>
      </c>
      <c r="G2815" s="47" t="s">
        <v>64</v>
      </c>
      <c r="H2815" s="12">
        <v>998365</v>
      </c>
      <c r="I2815" s="4">
        <v>0</v>
      </c>
      <c r="J2815" s="4">
        <v>0</v>
      </c>
      <c r="K2815" s="4">
        <v>135.68</v>
      </c>
      <c r="L2815" s="4">
        <v>0</v>
      </c>
      <c r="M2815" s="12" t="s">
        <v>19</v>
      </c>
      <c r="N2815" s="31">
        <f t="shared" si="66"/>
        <v>135.68</v>
      </c>
    </row>
    <row r="2816" spans="1:14">
      <c r="A2816" s="12">
        <v>2815</v>
      </c>
      <c r="B2816" s="1" t="s">
        <v>3921</v>
      </c>
      <c r="C2816" s="42" t="s">
        <v>3922</v>
      </c>
      <c r="D2816" s="42" t="s">
        <v>4163</v>
      </c>
      <c r="E2816" s="42" t="s">
        <v>399</v>
      </c>
      <c r="F2816" s="4">
        <v>175733</v>
      </c>
      <c r="G2816" s="47" t="s">
        <v>64</v>
      </c>
      <c r="H2816" s="1">
        <v>996713</v>
      </c>
      <c r="I2816" s="4">
        <v>0</v>
      </c>
      <c r="J2816" s="4">
        <v>0</v>
      </c>
      <c r="K2816" s="4">
        <v>26806.68</v>
      </c>
      <c r="L2816" s="4">
        <v>0</v>
      </c>
      <c r="M2816" s="12" t="s">
        <v>19</v>
      </c>
      <c r="N2816" s="31">
        <f t="shared" si="66"/>
        <v>26806.68</v>
      </c>
    </row>
    <row r="2817" spans="1:14">
      <c r="A2817" s="12">
        <v>2816</v>
      </c>
      <c r="B2817" s="1" t="s">
        <v>3921</v>
      </c>
      <c r="C2817" s="42" t="s">
        <v>3922</v>
      </c>
      <c r="D2817" s="42" t="s">
        <v>4164</v>
      </c>
      <c r="E2817" s="42" t="s">
        <v>399</v>
      </c>
      <c r="F2817" s="4">
        <v>2355087</v>
      </c>
      <c r="G2817" s="47" t="s">
        <v>64</v>
      </c>
      <c r="H2817" s="1">
        <v>996713</v>
      </c>
      <c r="I2817" s="4">
        <v>0</v>
      </c>
      <c r="J2817" s="4">
        <v>0</v>
      </c>
      <c r="K2817" s="4">
        <v>112147</v>
      </c>
      <c r="L2817" s="4">
        <v>0</v>
      </c>
      <c r="M2817" s="12" t="s">
        <v>19</v>
      </c>
      <c r="N2817" s="31">
        <f t="shared" si="66"/>
        <v>112147</v>
      </c>
    </row>
    <row r="2818" spans="1:14">
      <c r="A2818" s="12">
        <v>2817</v>
      </c>
      <c r="B2818" s="1" t="s">
        <v>4165</v>
      </c>
      <c r="C2818" s="42" t="s">
        <v>4166</v>
      </c>
      <c r="D2818" s="42" t="s">
        <v>4167</v>
      </c>
      <c r="E2818" s="42" t="s">
        <v>399</v>
      </c>
      <c r="F2818" s="4">
        <v>9500</v>
      </c>
      <c r="G2818" s="45" t="s">
        <v>156</v>
      </c>
      <c r="H2818" s="12">
        <v>84184</v>
      </c>
      <c r="I2818" s="4">
        <v>724.58</v>
      </c>
      <c r="J2818" s="4">
        <v>724.58</v>
      </c>
      <c r="K2818" s="4">
        <v>0</v>
      </c>
      <c r="L2818" s="4">
        <v>0</v>
      </c>
      <c r="M2818" s="14" t="s">
        <v>157</v>
      </c>
      <c r="N2818" s="15" t="s">
        <v>202</v>
      </c>
    </row>
    <row r="2819" spans="1:14">
      <c r="A2819" s="12">
        <v>2818</v>
      </c>
      <c r="B2819" s="1" t="s">
        <v>4003</v>
      </c>
      <c r="C2819" s="42" t="s">
        <v>4004</v>
      </c>
      <c r="D2819" s="42" t="s">
        <v>4168</v>
      </c>
      <c r="E2819" s="42" t="s">
        <v>401</v>
      </c>
      <c r="F2819" s="4">
        <v>55057</v>
      </c>
      <c r="G2819" s="47" t="s">
        <v>64</v>
      </c>
      <c r="H2819" s="12">
        <v>996812</v>
      </c>
      <c r="I2819" s="4">
        <v>4199.2700000000004</v>
      </c>
      <c r="J2819" s="4">
        <v>4199.2700000000004</v>
      </c>
      <c r="K2819" s="4">
        <v>0</v>
      </c>
      <c r="L2819" s="4">
        <v>0</v>
      </c>
      <c r="M2819" s="12" t="s">
        <v>19</v>
      </c>
      <c r="N2819" s="31">
        <f t="shared" si="66"/>
        <v>8398.5400000000009</v>
      </c>
    </row>
    <row r="2820" spans="1:14">
      <c r="A2820" s="12">
        <v>2819</v>
      </c>
      <c r="B2820" s="1" t="s">
        <v>3936</v>
      </c>
      <c r="C2820" s="42" t="s">
        <v>3937</v>
      </c>
      <c r="D2820" s="42" t="s">
        <v>4169</v>
      </c>
      <c r="E2820" s="42" t="s">
        <v>4126</v>
      </c>
      <c r="F2820" s="4">
        <v>26470.94</v>
      </c>
      <c r="G2820" s="47" t="s">
        <v>64</v>
      </c>
      <c r="H2820" s="12">
        <v>9971</v>
      </c>
      <c r="I2820" s="4">
        <v>2018.97</v>
      </c>
      <c r="J2820" s="4">
        <v>2018.97</v>
      </c>
      <c r="K2820" s="4">
        <v>0</v>
      </c>
      <c r="L2820" s="4">
        <v>0</v>
      </c>
      <c r="M2820" s="12" t="s">
        <v>19</v>
      </c>
      <c r="N2820" s="31">
        <f t="shared" si="66"/>
        <v>4037.94</v>
      </c>
    </row>
    <row r="2821" spans="1:14">
      <c r="A2821" s="12">
        <v>2820</v>
      </c>
      <c r="B2821" s="1" t="s">
        <v>3936</v>
      </c>
      <c r="C2821" s="42" t="s">
        <v>3937</v>
      </c>
      <c r="D2821" s="42" t="s">
        <v>4170</v>
      </c>
      <c r="E2821" s="42" t="s">
        <v>4126</v>
      </c>
      <c r="F2821" s="4">
        <v>354</v>
      </c>
      <c r="G2821" s="47" t="s">
        <v>64</v>
      </c>
      <c r="H2821" s="12">
        <v>9971</v>
      </c>
      <c r="I2821" s="4">
        <v>27</v>
      </c>
      <c r="J2821" s="4">
        <v>27</v>
      </c>
      <c r="K2821" s="4">
        <v>0</v>
      </c>
      <c r="L2821" s="4">
        <v>0</v>
      </c>
      <c r="M2821" s="12" t="s">
        <v>19</v>
      </c>
      <c r="N2821" s="31">
        <f t="shared" si="66"/>
        <v>54</v>
      </c>
    </row>
    <row r="2822" spans="1:14">
      <c r="A2822" s="12">
        <v>2821</v>
      </c>
      <c r="B2822" s="1" t="s">
        <v>3936</v>
      </c>
      <c r="C2822" s="42" t="s">
        <v>3937</v>
      </c>
      <c r="D2822" s="42" t="s">
        <v>4171</v>
      </c>
      <c r="E2822" s="42" t="s">
        <v>395</v>
      </c>
      <c r="F2822" s="4">
        <v>7268.54</v>
      </c>
      <c r="G2822" s="47" t="s">
        <v>64</v>
      </c>
      <c r="H2822" s="12">
        <v>9971</v>
      </c>
      <c r="I2822" s="4">
        <v>554.38</v>
      </c>
      <c r="J2822" s="4">
        <v>554.38</v>
      </c>
      <c r="K2822" s="4">
        <v>0</v>
      </c>
      <c r="L2822" s="4">
        <v>0</v>
      </c>
      <c r="M2822" s="12" t="s">
        <v>19</v>
      </c>
      <c r="N2822" s="31">
        <f t="shared" si="66"/>
        <v>1108.76</v>
      </c>
    </row>
    <row r="2823" spans="1:14">
      <c r="A2823" s="12">
        <v>2822</v>
      </c>
      <c r="B2823" s="1" t="s">
        <v>3936</v>
      </c>
      <c r="C2823" s="42" t="s">
        <v>3937</v>
      </c>
      <c r="D2823" s="42" t="s">
        <v>4172</v>
      </c>
      <c r="E2823" s="42" t="s">
        <v>395</v>
      </c>
      <c r="F2823" s="4">
        <v>354</v>
      </c>
      <c r="G2823" s="47" t="s">
        <v>64</v>
      </c>
      <c r="H2823" s="12">
        <v>9971</v>
      </c>
      <c r="I2823" s="4">
        <v>27</v>
      </c>
      <c r="J2823" s="4">
        <v>27</v>
      </c>
      <c r="K2823" s="4">
        <v>0</v>
      </c>
      <c r="L2823" s="4">
        <v>0</v>
      </c>
      <c r="M2823" s="12" t="s">
        <v>19</v>
      </c>
      <c r="N2823" s="31">
        <f t="shared" si="66"/>
        <v>54</v>
      </c>
    </row>
    <row r="2824" spans="1:14">
      <c r="A2824" s="12">
        <v>2823</v>
      </c>
      <c r="B2824" s="1" t="s">
        <v>3936</v>
      </c>
      <c r="C2824" s="42" t="s">
        <v>3937</v>
      </c>
      <c r="D2824" s="42" t="s">
        <v>4173</v>
      </c>
      <c r="E2824" s="42" t="s">
        <v>391</v>
      </c>
      <c r="F2824" s="4">
        <v>1475</v>
      </c>
      <c r="G2824" s="47" t="s">
        <v>64</v>
      </c>
      <c r="H2824" s="12">
        <v>9971</v>
      </c>
      <c r="I2824" s="4">
        <v>112.5</v>
      </c>
      <c r="J2824" s="4">
        <v>112.5</v>
      </c>
      <c r="K2824" s="4">
        <v>0</v>
      </c>
      <c r="L2824" s="4">
        <v>0</v>
      </c>
      <c r="M2824" s="12" t="s">
        <v>19</v>
      </c>
      <c r="N2824" s="31">
        <f t="shared" si="66"/>
        <v>225</v>
      </c>
    </row>
    <row r="2825" spans="1:14">
      <c r="A2825" s="12">
        <v>2824</v>
      </c>
      <c r="B2825" s="1" t="s">
        <v>3936</v>
      </c>
      <c r="C2825" s="42" t="s">
        <v>3937</v>
      </c>
      <c r="D2825" s="42" t="s">
        <v>4174</v>
      </c>
      <c r="E2825" s="42" t="s">
        <v>414</v>
      </c>
      <c r="F2825" s="4">
        <v>7791.15</v>
      </c>
      <c r="G2825" s="47" t="s">
        <v>64</v>
      </c>
      <c r="H2825" s="12">
        <v>9971</v>
      </c>
      <c r="I2825" s="4">
        <v>594.24</v>
      </c>
      <c r="J2825" s="4">
        <v>594.24</v>
      </c>
      <c r="K2825" s="4">
        <v>0</v>
      </c>
      <c r="L2825" s="4">
        <v>0</v>
      </c>
      <c r="M2825" s="12" t="s">
        <v>19</v>
      </c>
      <c r="N2825" s="31">
        <f t="shared" si="66"/>
        <v>1188.48</v>
      </c>
    </row>
    <row r="2826" spans="1:14">
      <c r="A2826" s="12">
        <v>2825</v>
      </c>
      <c r="B2826" s="1" t="s">
        <v>3936</v>
      </c>
      <c r="C2826" s="42" t="s">
        <v>3937</v>
      </c>
      <c r="D2826" s="42" t="s">
        <v>4175</v>
      </c>
      <c r="E2826" s="42" t="s">
        <v>414</v>
      </c>
      <c r="F2826" s="4">
        <v>354</v>
      </c>
      <c r="G2826" s="47" t="s">
        <v>64</v>
      </c>
      <c r="H2826" s="12">
        <v>9971</v>
      </c>
      <c r="I2826" s="4">
        <v>27</v>
      </c>
      <c r="J2826" s="4">
        <v>27</v>
      </c>
      <c r="K2826" s="4">
        <v>0</v>
      </c>
      <c r="L2826" s="4">
        <v>0</v>
      </c>
      <c r="M2826" s="12" t="s">
        <v>19</v>
      </c>
      <c r="N2826" s="31">
        <f t="shared" si="66"/>
        <v>54</v>
      </c>
    </row>
    <row r="2827" spans="1:14">
      <c r="A2827" s="12">
        <v>2826</v>
      </c>
      <c r="B2827" s="1" t="s">
        <v>3936</v>
      </c>
      <c r="C2827" s="42" t="s">
        <v>3937</v>
      </c>
      <c r="D2827" s="42" t="s">
        <v>4176</v>
      </c>
      <c r="E2827" s="42" t="s">
        <v>717</v>
      </c>
      <c r="F2827" s="4">
        <v>118</v>
      </c>
      <c r="G2827" s="47" t="s">
        <v>64</v>
      </c>
      <c r="H2827" s="12">
        <v>9971</v>
      </c>
      <c r="I2827" s="4">
        <v>9</v>
      </c>
      <c r="J2827" s="4">
        <v>9</v>
      </c>
      <c r="K2827" s="4">
        <v>0</v>
      </c>
      <c r="L2827" s="4">
        <v>0</v>
      </c>
      <c r="M2827" s="12" t="s">
        <v>19</v>
      </c>
      <c r="N2827" s="31">
        <f t="shared" si="66"/>
        <v>18</v>
      </c>
    </row>
    <row r="2828" spans="1:14">
      <c r="A2828" s="12">
        <v>2827</v>
      </c>
      <c r="B2828" s="1" t="s">
        <v>3936</v>
      </c>
      <c r="C2828" s="42" t="s">
        <v>3937</v>
      </c>
      <c r="D2828" s="42" t="s">
        <v>4177</v>
      </c>
      <c r="E2828" s="42" t="s">
        <v>397</v>
      </c>
      <c r="F2828" s="4">
        <v>1180</v>
      </c>
      <c r="G2828" s="47" t="s">
        <v>64</v>
      </c>
      <c r="H2828" s="12">
        <v>9971</v>
      </c>
      <c r="I2828" s="4">
        <v>90</v>
      </c>
      <c r="J2828" s="4">
        <v>90</v>
      </c>
      <c r="K2828" s="4">
        <v>0</v>
      </c>
      <c r="L2828" s="4">
        <v>0</v>
      </c>
      <c r="M2828" s="12" t="s">
        <v>19</v>
      </c>
      <c r="N2828" s="31">
        <f t="shared" si="66"/>
        <v>180</v>
      </c>
    </row>
    <row r="2829" spans="1:14">
      <c r="A2829" s="12">
        <v>2828</v>
      </c>
      <c r="B2829" s="1" t="s">
        <v>3936</v>
      </c>
      <c r="C2829" s="42" t="s">
        <v>3937</v>
      </c>
      <c r="D2829" s="42" t="s">
        <v>4178</v>
      </c>
      <c r="E2829" s="42" t="s">
        <v>397</v>
      </c>
      <c r="F2829" s="4">
        <v>1475</v>
      </c>
      <c r="G2829" s="47" t="s">
        <v>64</v>
      </c>
      <c r="H2829" s="12">
        <v>9971</v>
      </c>
      <c r="I2829" s="4">
        <v>112.5</v>
      </c>
      <c r="J2829" s="4">
        <v>112.5</v>
      </c>
      <c r="K2829" s="4">
        <v>0</v>
      </c>
      <c r="L2829" s="4">
        <v>0</v>
      </c>
      <c r="M2829" s="12" t="s">
        <v>19</v>
      </c>
      <c r="N2829" s="31">
        <f t="shared" si="66"/>
        <v>225</v>
      </c>
    </row>
    <row r="2830" spans="1:14">
      <c r="A2830" s="12">
        <v>2829</v>
      </c>
      <c r="B2830" s="1" t="s">
        <v>4179</v>
      </c>
      <c r="C2830" s="42" t="s">
        <v>4180</v>
      </c>
      <c r="D2830" s="42" t="s">
        <v>4181</v>
      </c>
      <c r="E2830" s="42" t="s">
        <v>405</v>
      </c>
      <c r="F2830" s="4">
        <v>8174.46</v>
      </c>
      <c r="G2830" s="47" t="s">
        <v>64</v>
      </c>
      <c r="H2830" s="30" t="s">
        <v>992</v>
      </c>
      <c r="I2830" s="4">
        <v>0</v>
      </c>
      <c r="J2830" s="4">
        <v>0</v>
      </c>
      <c r="K2830" s="4">
        <v>1246.95</v>
      </c>
      <c r="L2830" s="4">
        <v>0</v>
      </c>
      <c r="M2830" s="12" t="s">
        <v>19</v>
      </c>
      <c r="N2830" s="31">
        <f t="shared" si="66"/>
        <v>1246.95</v>
      </c>
    </row>
    <row r="2831" spans="1:14">
      <c r="A2831" s="12">
        <v>2830</v>
      </c>
      <c r="B2831" s="1" t="s">
        <v>1824</v>
      </c>
      <c r="C2831" s="42" t="s">
        <v>1825</v>
      </c>
      <c r="D2831" s="42" t="s">
        <v>4182</v>
      </c>
      <c r="E2831" s="42" t="s">
        <v>401</v>
      </c>
      <c r="F2831" s="12">
        <v>-784.7</v>
      </c>
      <c r="G2831" s="47" t="s">
        <v>64</v>
      </c>
      <c r="H2831" s="29" t="s">
        <v>847</v>
      </c>
      <c r="I2831" s="12">
        <v>0</v>
      </c>
      <c r="J2831" s="12">
        <v>0</v>
      </c>
      <c r="K2831" s="12">
        <v>-119.7</v>
      </c>
      <c r="L2831" s="4">
        <v>0</v>
      </c>
      <c r="M2831" s="12" t="s">
        <v>19</v>
      </c>
      <c r="N2831" s="31">
        <f t="shared" si="66"/>
        <v>-119.7</v>
      </c>
    </row>
    <row r="2832" spans="1:14">
      <c r="A2832" s="12">
        <v>2831</v>
      </c>
      <c r="B2832" s="1" t="s">
        <v>3982</v>
      </c>
      <c r="C2832" s="42" t="s">
        <v>3983</v>
      </c>
      <c r="D2832" s="42" t="s">
        <v>4183</v>
      </c>
      <c r="E2832" s="42" t="s">
        <v>401</v>
      </c>
      <c r="F2832" s="12">
        <v>-29500</v>
      </c>
      <c r="G2832" s="47" t="s">
        <v>64</v>
      </c>
      <c r="H2832" s="7" t="s">
        <v>3985</v>
      </c>
      <c r="I2832" s="12">
        <v>0</v>
      </c>
      <c r="J2832" s="12">
        <v>0</v>
      </c>
      <c r="K2832" s="12">
        <v>-4500</v>
      </c>
      <c r="L2832" s="4">
        <v>0</v>
      </c>
      <c r="M2832" s="12" t="s">
        <v>19</v>
      </c>
      <c r="N2832" s="31">
        <f t="shared" si="66"/>
        <v>-4500</v>
      </c>
    </row>
    <row r="2833" spans="1:14">
      <c r="A2833" s="12">
        <v>2832</v>
      </c>
      <c r="B2833" s="1" t="s">
        <v>4184</v>
      </c>
      <c r="C2833" s="42" t="s">
        <v>4185</v>
      </c>
      <c r="D2833" s="42" t="s">
        <v>4186</v>
      </c>
      <c r="E2833" s="42" t="s">
        <v>717</v>
      </c>
      <c r="F2833" s="12">
        <v>-3540</v>
      </c>
      <c r="G2833" s="47" t="s">
        <v>64</v>
      </c>
      <c r="H2833" s="30" t="s">
        <v>1137</v>
      </c>
      <c r="I2833" s="12">
        <v>0</v>
      </c>
      <c r="J2833" s="12">
        <v>0</v>
      </c>
      <c r="K2833" s="12">
        <v>-540</v>
      </c>
      <c r="L2833" s="4">
        <v>0</v>
      </c>
      <c r="M2833" s="12" t="s">
        <v>19</v>
      </c>
      <c r="N2833" s="31">
        <f t="shared" si="66"/>
        <v>-540</v>
      </c>
    </row>
    <row r="2834" spans="1:14">
      <c r="A2834" s="12">
        <v>2833</v>
      </c>
      <c r="B2834" s="14" t="s">
        <v>4187</v>
      </c>
      <c r="C2834" s="45" t="s">
        <v>4188</v>
      </c>
      <c r="D2834" s="45" t="s">
        <v>4189</v>
      </c>
      <c r="E2834" s="45" t="s">
        <v>427</v>
      </c>
      <c r="F2834" s="14">
        <v>10700</v>
      </c>
      <c r="G2834" s="45" t="s">
        <v>64</v>
      </c>
      <c r="H2834" s="14">
        <v>996713</v>
      </c>
      <c r="I2834" s="14">
        <v>267.5</v>
      </c>
      <c r="J2834" s="14">
        <v>267.5</v>
      </c>
      <c r="K2834" s="14">
        <v>0</v>
      </c>
      <c r="L2834" s="4">
        <v>0</v>
      </c>
      <c r="M2834" s="14" t="s">
        <v>19</v>
      </c>
      <c r="N2834" s="35">
        <f>SUM(I2834:L2834)</f>
        <v>535</v>
      </c>
    </row>
    <row r="2835" spans="1:14">
      <c r="A2835" s="12">
        <v>2834</v>
      </c>
      <c r="B2835" s="14" t="s">
        <v>4063</v>
      </c>
      <c r="C2835" s="45" t="s">
        <v>4064</v>
      </c>
      <c r="D2835" s="45" t="s">
        <v>4190</v>
      </c>
      <c r="E2835" s="45" t="s">
        <v>742</v>
      </c>
      <c r="F2835" s="14">
        <v>257194</v>
      </c>
      <c r="G2835" s="45" t="s">
        <v>182</v>
      </c>
      <c r="H2835" s="14">
        <v>39231090</v>
      </c>
      <c r="I2835" s="14">
        <v>0</v>
      </c>
      <c r="J2835" s="14">
        <v>0</v>
      </c>
      <c r="K2835" s="14">
        <v>39232.980000000003</v>
      </c>
      <c r="L2835" s="4">
        <v>0</v>
      </c>
      <c r="M2835" s="14" t="s">
        <v>19</v>
      </c>
      <c r="N2835" s="35">
        <f t="shared" ref="N2835:N2898" si="67">SUM(I2835:L2835)</f>
        <v>39232.980000000003</v>
      </c>
    </row>
    <row r="2836" spans="1:14">
      <c r="A2836" s="12">
        <v>2835</v>
      </c>
      <c r="B2836" s="14" t="s">
        <v>4063</v>
      </c>
      <c r="C2836" s="45" t="s">
        <v>4064</v>
      </c>
      <c r="D2836" s="45" t="s">
        <v>4191</v>
      </c>
      <c r="E2836" s="45" t="s">
        <v>727</v>
      </c>
      <c r="F2836" s="14">
        <v>132493</v>
      </c>
      <c r="G2836" s="45" t="s">
        <v>182</v>
      </c>
      <c r="H2836" s="14">
        <v>39231090</v>
      </c>
      <c r="I2836" s="14">
        <v>0</v>
      </c>
      <c r="J2836" s="14">
        <v>0</v>
      </c>
      <c r="K2836" s="14">
        <v>20210.759999999998</v>
      </c>
      <c r="L2836" s="4">
        <v>0</v>
      </c>
      <c r="M2836" s="14" t="s">
        <v>19</v>
      </c>
      <c r="N2836" s="35">
        <f t="shared" si="67"/>
        <v>20210.759999999998</v>
      </c>
    </row>
    <row r="2837" spans="1:14">
      <c r="A2837" s="12">
        <v>2836</v>
      </c>
      <c r="B2837" s="14" t="s">
        <v>4063</v>
      </c>
      <c r="C2837" s="45" t="s">
        <v>4064</v>
      </c>
      <c r="D2837" s="45" t="s">
        <v>4192</v>
      </c>
      <c r="E2837" s="45" t="s">
        <v>727</v>
      </c>
      <c r="F2837" s="14">
        <v>4130</v>
      </c>
      <c r="G2837" s="45" t="s">
        <v>182</v>
      </c>
      <c r="H2837" s="14">
        <v>39231090</v>
      </c>
      <c r="I2837" s="14">
        <v>0</v>
      </c>
      <c r="J2837" s="14">
        <v>0</v>
      </c>
      <c r="K2837" s="14">
        <v>630</v>
      </c>
      <c r="L2837" s="4">
        <v>0</v>
      </c>
      <c r="M2837" s="14" t="s">
        <v>19</v>
      </c>
      <c r="N2837" s="35">
        <f t="shared" si="67"/>
        <v>630</v>
      </c>
    </row>
    <row r="2838" spans="1:14">
      <c r="A2838" s="12">
        <v>2837</v>
      </c>
      <c r="B2838" s="14" t="s">
        <v>4063</v>
      </c>
      <c r="C2838" s="45" t="s">
        <v>4064</v>
      </c>
      <c r="D2838" s="45" t="s">
        <v>4193</v>
      </c>
      <c r="E2838" s="45" t="s">
        <v>422</v>
      </c>
      <c r="F2838" s="14">
        <v>26886</v>
      </c>
      <c r="G2838" s="45" t="s">
        <v>182</v>
      </c>
      <c r="H2838" s="14">
        <v>39231090</v>
      </c>
      <c r="I2838" s="14">
        <v>0</v>
      </c>
      <c r="J2838" s="14">
        <v>0</v>
      </c>
      <c r="K2838" s="14">
        <v>4101.3</v>
      </c>
      <c r="L2838" s="4">
        <v>0</v>
      </c>
      <c r="M2838" s="14" t="s">
        <v>19</v>
      </c>
      <c r="N2838" s="35">
        <f t="shared" si="67"/>
        <v>4101.3</v>
      </c>
    </row>
    <row r="2839" spans="1:14">
      <c r="A2839" s="12">
        <v>2838</v>
      </c>
      <c r="B2839" s="14" t="s">
        <v>4063</v>
      </c>
      <c r="C2839" s="45" t="s">
        <v>4064</v>
      </c>
      <c r="D2839" s="45" t="s">
        <v>4194</v>
      </c>
      <c r="E2839" s="45" t="s">
        <v>4195</v>
      </c>
      <c r="F2839" s="14">
        <v>7646</v>
      </c>
      <c r="G2839" s="45" t="s">
        <v>182</v>
      </c>
      <c r="H2839" s="14">
        <v>39231090</v>
      </c>
      <c r="I2839" s="14">
        <v>0</v>
      </c>
      <c r="J2839" s="14">
        <v>0</v>
      </c>
      <c r="K2839" s="14">
        <v>1166.4000000000001</v>
      </c>
      <c r="L2839" s="4">
        <v>0</v>
      </c>
      <c r="M2839" s="14" t="s">
        <v>19</v>
      </c>
      <c r="N2839" s="35">
        <f t="shared" si="67"/>
        <v>1166.4000000000001</v>
      </c>
    </row>
    <row r="2840" spans="1:14">
      <c r="A2840" s="12">
        <v>2839</v>
      </c>
      <c r="B2840" s="14" t="s">
        <v>4003</v>
      </c>
      <c r="C2840" s="45" t="s">
        <v>4004</v>
      </c>
      <c r="D2840" s="45" t="s">
        <v>4196</v>
      </c>
      <c r="E2840" s="45" t="s">
        <v>432</v>
      </c>
      <c r="F2840" s="14">
        <v>15617</v>
      </c>
      <c r="G2840" s="45" t="s">
        <v>64</v>
      </c>
      <c r="H2840" s="14">
        <v>996812</v>
      </c>
      <c r="I2840" s="14">
        <v>1191.1099999999999</v>
      </c>
      <c r="J2840" s="14">
        <v>1191.1099999999999</v>
      </c>
      <c r="K2840" s="14">
        <v>0</v>
      </c>
      <c r="L2840" s="4">
        <v>0</v>
      </c>
      <c r="M2840" s="14" t="s">
        <v>19</v>
      </c>
      <c r="N2840" s="35">
        <f t="shared" si="67"/>
        <v>2382.2199999999998</v>
      </c>
    </row>
    <row r="2841" spans="1:14">
      <c r="A2841" s="12">
        <v>2840</v>
      </c>
      <c r="B2841" s="14" t="s">
        <v>3921</v>
      </c>
      <c r="C2841" s="45" t="s">
        <v>3922</v>
      </c>
      <c r="D2841" s="45" t="s">
        <v>4197</v>
      </c>
      <c r="E2841" s="45" t="s">
        <v>4198</v>
      </c>
      <c r="F2841" s="14">
        <v>169153</v>
      </c>
      <c r="G2841" s="45" t="s">
        <v>64</v>
      </c>
      <c r="H2841" s="14">
        <v>996713</v>
      </c>
      <c r="I2841" s="14">
        <v>0</v>
      </c>
      <c r="J2841" s="14">
        <v>0</v>
      </c>
      <c r="K2841" s="14">
        <v>25803</v>
      </c>
      <c r="L2841" s="4">
        <v>0</v>
      </c>
      <c r="M2841" s="14" t="s">
        <v>19</v>
      </c>
      <c r="N2841" s="35">
        <f t="shared" si="67"/>
        <v>25803</v>
      </c>
    </row>
    <row r="2842" spans="1:14">
      <c r="A2842" s="12">
        <v>2841</v>
      </c>
      <c r="B2842" s="14" t="s">
        <v>3921</v>
      </c>
      <c r="C2842" s="45" t="s">
        <v>3922</v>
      </c>
      <c r="D2842" s="45" t="s">
        <v>4199</v>
      </c>
      <c r="E2842" s="45" t="s">
        <v>4200</v>
      </c>
      <c r="F2842" s="14">
        <v>330547</v>
      </c>
      <c r="G2842" s="45" t="s">
        <v>64</v>
      </c>
      <c r="H2842" s="14">
        <v>996713</v>
      </c>
      <c r="I2842" s="14">
        <v>0</v>
      </c>
      <c r="J2842" s="14">
        <v>0</v>
      </c>
      <c r="K2842" s="14">
        <v>50422.39</v>
      </c>
      <c r="L2842" s="4">
        <v>0</v>
      </c>
      <c r="M2842" s="14" t="s">
        <v>19</v>
      </c>
      <c r="N2842" s="35">
        <f t="shared" si="67"/>
        <v>50422.39</v>
      </c>
    </row>
    <row r="2843" spans="1:14">
      <c r="A2843" s="12">
        <v>2842</v>
      </c>
      <c r="B2843" s="14" t="s">
        <v>3921</v>
      </c>
      <c r="C2843" s="45" t="s">
        <v>3922</v>
      </c>
      <c r="D2843" s="45" t="s">
        <v>4201</v>
      </c>
      <c r="E2843" s="45" t="s">
        <v>4200</v>
      </c>
      <c r="F2843" s="14">
        <v>172744</v>
      </c>
      <c r="G2843" s="45" t="s">
        <v>64</v>
      </c>
      <c r="H2843" s="14">
        <v>996713</v>
      </c>
      <c r="I2843" s="14">
        <v>0</v>
      </c>
      <c r="J2843" s="14">
        <v>0</v>
      </c>
      <c r="K2843" s="14">
        <v>26350.7</v>
      </c>
      <c r="L2843" s="4">
        <v>0</v>
      </c>
      <c r="M2843" s="14" t="s">
        <v>19</v>
      </c>
      <c r="N2843" s="35">
        <f t="shared" si="67"/>
        <v>26350.7</v>
      </c>
    </row>
    <row r="2844" spans="1:14">
      <c r="A2844" s="12">
        <v>2843</v>
      </c>
      <c r="B2844" s="14" t="s">
        <v>3921</v>
      </c>
      <c r="C2844" s="45" t="s">
        <v>3922</v>
      </c>
      <c r="D2844" s="45" t="s">
        <v>4202</v>
      </c>
      <c r="E2844" s="45" t="s">
        <v>4198</v>
      </c>
      <c r="F2844" s="14">
        <v>1803030</v>
      </c>
      <c r="G2844" s="45" t="s">
        <v>64</v>
      </c>
      <c r="H2844" s="14">
        <v>996713</v>
      </c>
      <c r="I2844" s="14">
        <v>0</v>
      </c>
      <c r="J2844" s="14">
        <v>0</v>
      </c>
      <c r="K2844" s="14">
        <v>85858.55</v>
      </c>
      <c r="L2844" s="4">
        <v>0</v>
      </c>
      <c r="M2844" s="14" t="s">
        <v>19</v>
      </c>
      <c r="N2844" s="35">
        <f t="shared" si="67"/>
        <v>85858.55</v>
      </c>
    </row>
    <row r="2845" spans="1:14">
      <c r="A2845" s="12">
        <v>2844</v>
      </c>
      <c r="B2845" s="14" t="s">
        <v>3921</v>
      </c>
      <c r="C2845" s="45" t="s">
        <v>3922</v>
      </c>
      <c r="D2845" s="45" t="s">
        <v>4203</v>
      </c>
      <c r="E2845" s="45" t="s">
        <v>4200</v>
      </c>
      <c r="F2845" s="14">
        <v>1606618</v>
      </c>
      <c r="G2845" s="45" t="s">
        <v>64</v>
      </c>
      <c r="H2845" s="14">
        <v>996713</v>
      </c>
      <c r="I2845" s="14">
        <v>0</v>
      </c>
      <c r="J2845" s="14">
        <v>0</v>
      </c>
      <c r="K2845" s="14">
        <v>76505.600000000006</v>
      </c>
      <c r="L2845" s="4">
        <v>0</v>
      </c>
      <c r="M2845" s="14" t="s">
        <v>19</v>
      </c>
      <c r="N2845" s="35">
        <f t="shared" si="67"/>
        <v>76505.600000000006</v>
      </c>
    </row>
    <row r="2846" spans="1:14">
      <c r="A2846" s="12">
        <v>2845</v>
      </c>
      <c r="B2846" s="14" t="s">
        <v>3921</v>
      </c>
      <c r="C2846" s="45" t="s">
        <v>3922</v>
      </c>
      <c r="D2846" s="45" t="s">
        <v>4204</v>
      </c>
      <c r="E2846" s="45" t="s">
        <v>4200</v>
      </c>
      <c r="F2846" s="14">
        <v>2340403</v>
      </c>
      <c r="G2846" s="45" t="s">
        <v>64</v>
      </c>
      <c r="H2846" s="14">
        <v>996713</v>
      </c>
      <c r="I2846" s="14">
        <v>0</v>
      </c>
      <c r="J2846" s="14">
        <v>0</v>
      </c>
      <c r="K2846" s="14">
        <v>111447.75</v>
      </c>
      <c r="L2846" s="4">
        <v>0</v>
      </c>
      <c r="M2846" s="14" t="s">
        <v>19</v>
      </c>
      <c r="N2846" s="35">
        <f t="shared" si="67"/>
        <v>111447.75</v>
      </c>
    </row>
    <row r="2847" spans="1:14">
      <c r="A2847" s="12">
        <v>2846</v>
      </c>
      <c r="B2847" s="14" t="s">
        <v>1104</v>
      </c>
      <c r="C2847" s="45" t="s">
        <v>1105</v>
      </c>
      <c r="D2847" s="45" t="s">
        <v>4205</v>
      </c>
      <c r="E2847" s="45" t="s">
        <v>738</v>
      </c>
      <c r="F2847" s="14">
        <v>2596</v>
      </c>
      <c r="G2847" s="45" t="s">
        <v>64</v>
      </c>
      <c r="H2847" s="18" t="s">
        <v>992</v>
      </c>
      <c r="I2847" s="14">
        <v>198</v>
      </c>
      <c r="J2847" s="14">
        <v>198</v>
      </c>
      <c r="K2847" s="14">
        <v>0</v>
      </c>
      <c r="L2847" s="4">
        <v>0</v>
      </c>
      <c r="M2847" s="14" t="s">
        <v>19</v>
      </c>
      <c r="N2847" s="35">
        <f t="shared" si="67"/>
        <v>396</v>
      </c>
    </row>
    <row r="2848" spans="1:14">
      <c r="A2848" s="12">
        <v>2847</v>
      </c>
      <c r="B2848" s="14" t="s">
        <v>4206</v>
      </c>
      <c r="C2848" s="45" t="s">
        <v>99</v>
      </c>
      <c r="D2848" s="45" t="s">
        <v>4207</v>
      </c>
      <c r="E2848" s="45" t="s">
        <v>744</v>
      </c>
      <c r="F2848" s="14">
        <v>6550</v>
      </c>
      <c r="G2848" s="45" t="s">
        <v>64</v>
      </c>
      <c r="H2848" s="14">
        <v>996713</v>
      </c>
      <c r="I2848" s="14">
        <v>0</v>
      </c>
      <c r="J2848" s="14">
        <v>0</v>
      </c>
      <c r="K2848" s="14">
        <v>327.5</v>
      </c>
      <c r="L2848" s="4">
        <v>0</v>
      </c>
      <c r="M2848" s="14" t="s">
        <v>19</v>
      </c>
      <c r="N2848" s="35">
        <f t="shared" si="67"/>
        <v>327.5</v>
      </c>
    </row>
    <row r="2849" spans="1:14">
      <c r="A2849" s="12">
        <v>2848</v>
      </c>
      <c r="B2849" s="14" t="s">
        <v>3936</v>
      </c>
      <c r="C2849" s="45" t="s">
        <v>3937</v>
      </c>
      <c r="D2849" s="45" t="s">
        <v>4208</v>
      </c>
      <c r="E2849" s="45" t="s">
        <v>4209</v>
      </c>
      <c r="F2849" s="14">
        <v>22386.3</v>
      </c>
      <c r="G2849" s="45" t="s">
        <v>64</v>
      </c>
      <c r="H2849" s="14">
        <v>9971</v>
      </c>
      <c r="I2849" s="14">
        <v>1707.43</v>
      </c>
      <c r="J2849" s="14">
        <v>1707.43</v>
      </c>
      <c r="K2849" s="14">
        <v>0</v>
      </c>
      <c r="L2849" s="4">
        <v>0</v>
      </c>
      <c r="M2849" s="14" t="s">
        <v>19</v>
      </c>
      <c r="N2849" s="35">
        <f t="shared" si="67"/>
        <v>3414.86</v>
      </c>
    </row>
    <row r="2850" spans="1:14">
      <c r="A2850" s="12">
        <v>2849</v>
      </c>
      <c r="B2850" s="14" t="s">
        <v>3936</v>
      </c>
      <c r="C2850" s="45" t="s">
        <v>3937</v>
      </c>
      <c r="D2850" s="45" t="s">
        <v>4210</v>
      </c>
      <c r="E2850" s="45" t="s">
        <v>4209</v>
      </c>
      <c r="F2850" s="14">
        <v>354</v>
      </c>
      <c r="G2850" s="45" t="s">
        <v>64</v>
      </c>
      <c r="H2850" s="14">
        <v>9971</v>
      </c>
      <c r="I2850" s="14">
        <v>27</v>
      </c>
      <c r="J2850" s="14">
        <v>27</v>
      </c>
      <c r="K2850" s="14">
        <v>0</v>
      </c>
      <c r="L2850" s="4">
        <v>0</v>
      </c>
      <c r="M2850" s="14" t="s">
        <v>19</v>
      </c>
      <c r="N2850" s="35">
        <f t="shared" si="67"/>
        <v>54</v>
      </c>
    </row>
    <row r="2851" spans="1:14">
      <c r="A2851" s="12">
        <v>2850</v>
      </c>
      <c r="B2851" s="14" t="s">
        <v>3936</v>
      </c>
      <c r="C2851" s="45" t="s">
        <v>3937</v>
      </c>
      <c r="D2851" s="45" t="s">
        <v>4211</v>
      </c>
      <c r="E2851" s="45" t="s">
        <v>4212</v>
      </c>
      <c r="F2851" s="14">
        <v>8361.41</v>
      </c>
      <c r="G2851" s="45" t="s">
        <v>64</v>
      </c>
      <c r="H2851" s="14">
        <v>9971</v>
      </c>
      <c r="I2851" s="14">
        <v>637.73</v>
      </c>
      <c r="J2851" s="14">
        <v>637.73</v>
      </c>
      <c r="K2851" s="14">
        <v>0</v>
      </c>
      <c r="L2851" s="4">
        <v>0</v>
      </c>
      <c r="M2851" s="14" t="s">
        <v>19</v>
      </c>
      <c r="N2851" s="35">
        <f t="shared" si="67"/>
        <v>1275.46</v>
      </c>
    </row>
    <row r="2852" spans="1:14">
      <c r="A2852" s="12">
        <v>2851</v>
      </c>
      <c r="B2852" s="14" t="s">
        <v>3936</v>
      </c>
      <c r="C2852" s="45" t="s">
        <v>3937</v>
      </c>
      <c r="D2852" s="45" t="s">
        <v>4213</v>
      </c>
      <c r="E2852" s="45" t="s">
        <v>4212</v>
      </c>
      <c r="F2852" s="14">
        <v>354</v>
      </c>
      <c r="G2852" s="45" t="s">
        <v>64</v>
      </c>
      <c r="H2852" s="14">
        <v>9971</v>
      </c>
      <c r="I2852" s="14">
        <v>27</v>
      </c>
      <c r="J2852" s="14">
        <v>27</v>
      </c>
      <c r="K2852" s="14">
        <v>0</v>
      </c>
      <c r="L2852" s="4">
        <v>0</v>
      </c>
      <c r="M2852" s="14" t="s">
        <v>19</v>
      </c>
      <c r="N2852" s="35">
        <f t="shared" si="67"/>
        <v>54</v>
      </c>
    </row>
    <row r="2853" spans="1:14">
      <c r="A2853" s="12">
        <v>2852</v>
      </c>
      <c r="B2853" s="14" t="s">
        <v>3936</v>
      </c>
      <c r="C2853" s="45" t="s">
        <v>3937</v>
      </c>
      <c r="D2853" s="45" t="s">
        <v>4214</v>
      </c>
      <c r="E2853" s="45" t="s">
        <v>4212</v>
      </c>
      <c r="F2853" s="14">
        <v>354</v>
      </c>
      <c r="G2853" s="45" t="s">
        <v>64</v>
      </c>
      <c r="H2853" s="14">
        <v>9971</v>
      </c>
      <c r="I2853" s="14">
        <v>27</v>
      </c>
      <c r="J2853" s="14">
        <v>27</v>
      </c>
      <c r="K2853" s="14">
        <v>0</v>
      </c>
      <c r="L2853" s="4">
        <v>0</v>
      </c>
      <c r="M2853" s="14" t="s">
        <v>19</v>
      </c>
      <c r="N2853" s="35">
        <f t="shared" si="67"/>
        <v>54</v>
      </c>
    </row>
    <row r="2854" spans="1:14">
      <c r="A2854" s="12">
        <v>2853</v>
      </c>
      <c r="B2854" s="14" t="s">
        <v>3936</v>
      </c>
      <c r="C2854" s="45" t="s">
        <v>3937</v>
      </c>
      <c r="D2854" s="45" t="s">
        <v>4215</v>
      </c>
      <c r="E2854" s="45" t="s">
        <v>4216</v>
      </c>
      <c r="F2854" s="14">
        <v>590</v>
      </c>
      <c r="G2854" s="45" t="s">
        <v>64</v>
      </c>
      <c r="H2854" s="14">
        <v>9971</v>
      </c>
      <c r="I2854" s="14">
        <v>45</v>
      </c>
      <c r="J2854" s="14">
        <v>45</v>
      </c>
      <c r="K2854" s="14">
        <v>0</v>
      </c>
      <c r="L2854" s="4">
        <v>0</v>
      </c>
      <c r="M2854" s="14" t="s">
        <v>19</v>
      </c>
      <c r="N2854" s="35">
        <f t="shared" si="67"/>
        <v>90</v>
      </c>
    </row>
    <row r="2855" spans="1:14">
      <c r="A2855" s="12">
        <v>2854</v>
      </c>
      <c r="B2855" s="14" t="s">
        <v>3936</v>
      </c>
      <c r="C2855" s="45" t="s">
        <v>3937</v>
      </c>
      <c r="D2855" s="45" t="s">
        <v>4217</v>
      </c>
      <c r="E2855" s="45" t="s">
        <v>4216</v>
      </c>
      <c r="F2855" s="14">
        <v>3444.97</v>
      </c>
      <c r="G2855" s="45" t="s">
        <v>64</v>
      </c>
      <c r="H2855" s="14">
        <v>9971</v>
      </c>
      <c r="I2855" s="14">
        <v>262.75</v>
      </c>
      <c r="J2855" s="14">
        <v>262.75</v>
      </c>
      <c r="K2855" s="14">
        <v>0</v>
      </c>
      <c r="L2855" s="4">
        <v>0</v>
      </c>
      <c r="M2855" s="14" t="s">
        <v>19</v>
      </c>
      <c r="N2855" s="35">
        <f t="shared" si="67"/>
        <v>525.5</v>
      </c>
    </row>
    <row r="2856" spans="1:14">
      <c r="A2856" s="12">
        <v>2855</v>
      </c>
      <c r="B2856" s="14" t="s">
        <v>3936</v>
      </c>
      <c r="C2856" s="45" t="s">
        <v>3937</v>
      </c>
      <c r="D2856" s="45" t="s">
        <v>4218</v>
      </c>
      <c r="E2856" s="45" t="s">
        <v>4216</v>
      </c>
      <c r="F2856" s="14">
        <v>1180</v>
      </c>
      <c r="G2856" s="45" t="s">
        <v>64</v>
      </c>
      <c r="H2856" s="14">
        <v>9971</v>
      </c>
      <c r="I2856" s="14">
        <v>90</v>
      </c>
      <c r="J2856" s="14">
        <v>90</v>
      </c>
      <c r="K2856" s="14">
        <v>0</v>
      </c>
      <c r="L2856" s="4">
        <v>0</v>
      </c>
      <c r="M2856" s="14" t="s">
        <v>19</v>
      </c>
      <c r="N2856" s="35">
        <f t="shared" si="67"/>
        <v>180</v>
      </c>
    </row>
    <row r="2857" spans="1:14">
      <c r="A2857" s="12">
        <v>2856</v>
      </c>
      <c r="B2857" s="14" t="s">
        <v>3936</v>
      </c>
      <c r="C2857" s="45" t="s">
        <v>3937</v>
      </c>
      <c r="D2857" s="45" t="s">
        <v>4219</v>
      </c>
      <c r="E2857" s="45" t="s">
        <v>744</v>
      </c>
      <c r="F2857" s="14">
        <v>1475</v>
      </c>
      <c r="G2857" s="45" t="s">
        <v>64</v>
      </c>
      <c r="H2857" s="14">
        <v>9971</v>
      </c>
      <c r="I2857" s="14">
        <v>112.5</v>
      </c>
      <c r="J2857" s="14">
        <v>112.5</v>
      </c>
      <c r="K2857" s="14">
        <v>0</v>
      </c>
      <c r="L2857" s="4">
        <v>0</v>
      </c>
      <c r="M2857" s="14" t="s">
        <v>19</v>
      </c>
      <c r="N2857" s="35">
        <f t="shared" si="67"/>
        <v>225</v>
      </c>
    </row>
    <row r="2858" spans="1:14">
      <c r="A2858" s="12">
        <v>2857</v>
      </c>
      <c r="B2858" s="14" t="s">
        <v>3936</v>
      </c>
      <c r="C2858" s="45" t="s">
        <v>3937</v>
      </c>
      <c r="D2858" s="45" t="s">
        <v>4220</v>
      </c>
      <c r="E2858" s="45" t="s">
        <v>4221</v>
      </c>
      <c r="F2858" s="14">
        <v>29766.22</v>
      </c>
      <c r="G2858" s="45" t="s">
        <v>64</v>
      </c>
      <c r="H2858" s="14">
        <v>9971</v>
      </c>
      <c r="I2858" s="14">
        <v>2270.3000000000002</v>
      </c>
      <c r="J2858" s="14">
        <v>2270.3000000000002</v>
      </c>
      <c r="K2858" s="14">
        <v>0</v>
      </c>
      <c r="L2858" s="4">
        <v>0</v>
      </c>
      <c r="M2858" s="14" t="s">
        <v>19</v>
      </c>
      <c r="N2858" s="35">
        <f t="shared" si="67"/>
        <v>4540.6000000000004</v>
      </c>
    </row>
    <row r="2859" spans="1:14">
      <c r="A2859" s="12">
        <v>2858</v>
      </c>
      <c r="B2859" s="14" t="s">
        <v>3936</v>
      </c>
      <c r="C2859" s="45" t="s">
        <v>3937</v>
      </c>
      <c r="D2859" s="45" t="s">
        <v>4222</v>
      </c>
      <c r="E2859" s="45" t="s">
        <v>4221</v>
      </c>
      <c r="F2859" s="14">
        <v>354</v>
      </c>
      <c r="G2859" s="45" t="s">
        <v>64</v>
      </c>
      <c r="H2859" s="14">
        <v>9971</v>
      </c>
      <c r="I2859" s="14">
        <v>27</v>
      </c>
      <c r="J2859" s="14">
        <v>27</v>
      </c>
      <c r="K2859" s="14">
        <v>0</v>
      </c>
      <c r="L2859" s="4">
        <v>0</v>
      </c>
      <c r="M2859" s="14" t="s">
        <v>19</v>
      </c>
      <c r="N2859" s="35">
        <f t="shared" si="67"/>
        <v>54</v>
      </c>
    </row>
    <row r="2860" spans="1:14">
      <c r="A2860" s="12">
        <v>2859</v>
      </c>
      <c r="B2860" s="14" t="s">
        <v>3936</v>
      </c>
      <c r="C2860" s="45" t="s">
        <v>3937</v>
      </c>
      <c r="D2860" s="45" t="s">
        <v>4223</v>
      </c>
      <c r="E2860" s="45" t="s">
        <v>422</v>
      </c>
      <c r="F2860" s="14">
        <v>590</v>
      </c>
      <c r="G2860" s="45" t="s">
        <v>64</v>
      </c>
      <c r="H2860" s="14">
        <v>9971</v>
      </c>
      <c r="I2860" s="14">
        <v>45</v>
      </c>
      <c r="J2860" s="14">
        <v>45</v>
      </c>
      <c r="K2860" s="14">
        <v>0</v>
      </c>
      <c r="L2860" s="4">
        <v>0</v>
      </c>
      <c r="M2860" s="14" t="s">
        <v>19</v>
      </c>
      <c r="N2860" s="35">
        <f t="shared" si="67"/>
        <v>90</v>
      </c>
    </row>
    <row r="2861" spans="1:14">
      <c r="A2861" s="12">
        <v>2860</v>
      </c>
      <c r="B2861" s="14" t="s">
        <v>3936</v>
      </c>
      <c r="C2861" s="45" t="s">
        <v>3937</v>
      </c>
      <c r="D2861" s="45" t="s">
        <v>4224</v>
      </c>
      <c r="E2861" s="45" t="s">
        <v>422</v>
      </c>
      <c r="F2861" s="14">
        <v>1180</v>
      </c>
      <c r="G2861" s="45" t="s">
        <v>64</v>
      </c>
      <c r="H2861" s="14">
        <v>9971</v>
      </c>
      <c r="I2861" s="14">
        <v>90</v>
      </c>
      <c r="J2861" s="14">
        <v>90</v>
      </c>
      <c r="K2861" s="14">
        <v>0</v>
      </c>
      <c r="L2861" s="4">
        <v>0</v>
      </c>
      <c r="M2861" s="14" t="s">
        <v>19</v>
      </c>
      <c r="N2861" s="35">
        <f t="shared" si="67"/>
        <v>180</v>
      </c>
    </row>
    <row r="2862" spans="1:14">
      <c r="A2862" s="12">
        <v>2861</v>
      </c>
      <c r="B2862" s="14" t="s">
        <v>3936</v>
      </c>
      <c r="C2862" s="45" t="s">
        <v>3937</v>
      </c>
      <c r="D2862" s="45" t="s">
        <v>4225</v>
      </c>
      <c r="E2862" s="45" t="s">
        <v>422</v>
      </c>
      <c r="F2862" s="14">
        <v>2651.67</v>
      </c>
      <c r="G2862" s="45" t="s">
        <v>64</v>
      </c>
      <c r="H2862" s="14">
        <v>9971</v>
      </c>
      <c r="I2862" s="14">
        <v>202.25</v>
      </c>
      <c r="J2862" s="14">
        <v>202.25</v>
      </c>
      <c r="K2862" s="14">
        <v>0</v>
      </c>
      <c r="L2862" s="4">
        <v>0</v>
      </c>
      <c r="M2862" s="14" t="s">
        <v>19</v>
      </c>
      <c r="N2862" s="35">
        <f t="shared" si="67"/>
        <v>404.5</v>
      </c>
    </row>
    <row r="2863" spans="1:14">
      <c r="A2863" s="12">
        <v>2862</v>
      </c>
      <c r="B2863" s="14" t="s">
        <v>3936</v>
      </c>
      <c r="C2863" s="45" t="s">
        <v>3937</v>
      </c>
      <c r="D2863" s="45" t="s">
        <v>4226</v>
      </c>
      <c r="E2863" s="45" t="s">
        <v>4227</v>
      </c>
      <c r="F2863" s="14">
        <v>354</v>
      </c>
      <c r="G2863" s="45" t="s">
        <v>64</v>
      </c>
      <c r="H2863" s="14">
        <v>9971</v>
      </c>
      <c r="I2863" s="14">
        <v>27</v>
      </c>
      <c r="J2863" s="14">
        <v>27</v>
      </c>
      <c r="K2863" s="14">
        <v>0</v>
      </c>
      <c r="L2863" s="4">
        <v>0</v>
      </c>
      <c r="M2863" s="14" t="s">
        <v>19</v>
      </c>
      <c r="N2863" s="35">
        <f t="shared" si="67"/>
        <v>54</v>
      </c>
    </row>
    <row r="2864" spans="1:14">
      <c r="A2864" s="12">
        <v>2863</v>
      </c>
      <c r="B2864" s="14" t="s">
        <v>3936</v>
      </c>
      <c r="C2864" s="45" t="s">
        <v>3937</v>
      </c>
      <c r="D2864" s="45" t="s">
        <v>4228</v>
      </c>
      <c r="E2864" s="45" t="s">
        <v>4227</v>
      </c>
      <c r="F2864" s="14">
        <v>8989.17</v>
      </c>
      <c r="G2864" s="45" t="s">
        <v>64</v>
      </c>
      <c r="H2864" s="14">
        <v>9971</v>
      </c>
      <c r="I2864" s="14">
        <v>685.61</v>
      </c>
      <c r="J2864" s="14">
        <v>685.61</v>
      </c>
      <c r="K2864" s="14">
        <v>0</v>
      </c>
      <c r="L2864" s="4">
        <v>0</v>
      </c>
      <c r="M2864" s="14" t="s">
        <v>19</v>
      </c>
      <c r="N2864" s="35">
        <f t="shared" si="67"/>
        <v>1371.22</v>
      </c>
    </row>
    <row r="2865" spans="1:14">
      <c r="A2865" s="12">
        <v>2864</v>
      </c>
      <c r="B2865" s="14" t="s">
        <v>3936</v>
      </c>
      <c r="C2865" s="45" t="s">
        <v>3937</v>
      </c>
      <c r="D2865" s="45" t="s">
        <v>4229</v>
      </c>
      <c r="E2865" s="45" t="s">
        <v>4230</v>
      </c>
      <c r="F2865" s="14">
        <v>118</v>
      </c>
      <c r="G2865" s="45" t="s">
        <v>64</v>
      </c>
      <c r="H2865" s="14">
        <v>9971</v>
      </c>
      <c r="I2865" s="14">
        <v>9</v>
      </c>
      <c r="J2865" s="14">
        <v>9</v>
      </c>
      <c r="K2865" s="14">
        <v>0</v>
      </c>
      <c r="L2865" s="4">
        <v>0</v>
      </c>
      <c r="M2865" s="14" t="s">
        <v>19</v>
      </c>
      <c r="N2865" s="35">
        <f t="shared" si="67"/>
        <v>18</v>
      </c>
    </row>
    <row r="2866" spans="1:14">
      <c r="A2866" s="12">
        <v>2865</v>
      </c>
      <c r="B2866" s="14" t="s">
        <v>1432</v>
      </c>
      <c r="C2866" s="45" t="s">
        <v>1433</v>
      </c>
      <c r="D2866" s="45" t="s">
        <v>4231</v>
      </c>
      <c r="E2866" s="45" t="s">
        <v>4232</v>
      </c>
      <c r="F2866" s="14">
        <v>332288</v>
      </c>
      <c r="G2866" s="45" t="s">
        <v>182</v>
      </c>
      <c r="H2866" s="3">
        <v>39232990</v>
      </c>
      <c r="I2866" s="14">
        <v>0</v>
      </c>
      <c r="J2866" s="14">
        <v>0</v>
      </c>
      <c r="K2866" s="14">
        <v>50688</v>
      </c>
      <c r="L2866" s="4">
        <v>0</v>
      </c>
      <c r="M2866" s="14" t="s">
        <v>19</v>
      </c>
      <c r="N2866" s="35">
        <f t="shared" si="67"/>
        <v>50688</v>
      </c>
    </row>
    <row r="2867" spans="1:14">
      <c r="A2867" s="12">
        <v>2866</v>
      </c>
      <c r="B2867" s="14" t="s">
        <v>1432</v>
      </c>
      <c r="C2867" s="45" t="s">
        <v>1433</v>
      </c>
      <c r="D2867" s="45" t="s">
        <v>4233</v>
      </c>
      <c r="E2867" s="45" t="s">
        <v>4232</v>
      </c>
      <c r="F2867" s="14">
        <v>330022</v>
      </c>
      <c r="G2867" s="45" t="s">
        <v>182</v>
      </c>
      <c r="H2867" s="3">
        <v>39232990</v>
      </c>
      <c r="I2867" s="14">
        <v>0</v>
      </c>
      <c r="J2867" s="14">
        <v>0</v>
      </c>
      <c r="K2867" s="14">
        <v>50342.400000000001</v>
      </c>
      <c r="L2867" s="4">
        <v>0</v>
      </c>
      <c r="M2867" s="14" t="s">
        <v>19</v>
      </c>
      <c r="N2867" s="35">
        <f t="shared" si="67"/>
        <v>50342.400000000001</v>
      </c>
    </row>
    <row r="2868" spans="1:14">
      <c r="A2868" s="12">
        <v>2867</v>
      </c>
      <c r="B2868" s="14" t="s">
        <v>1432</v>
      </c>
      <c r="C2868" s="45" t="s">
        <v>1433</v>
      </c>
      <c r="D2868" s="45" t="s">
        <v>4234</v>
      </c>
      <c r="E2868" s="45" t="s">
        <v>4232</v>
      </c>
      <c r="F2868" s="14">
        <v>25016</v>
      </c>
      <c r="G2868" s="45" t="s">
        <v>182</v>
      </c>
      <c r="H2868" s="3">
        <v>39232990</v>
      </c>
      <c r="I2868" s="14">
        <v>0</v>
      </c>
      <c r="J2868" s="14">
        <v>0</v>
      </c>
      <c r="K2868" s="14">
        <v>3816</v>
      </c>
      <c r="L2868" s="4">
        <v>0</v>
      </c>
      <c r="M2868" s="14" t="s">
        <v>19</v>
      </c>
      <c r="N2868" s="35">
        <f t="shared" si="67"/>
        <v>3816</v>
      </c>
    </row>
    <row r="2869" spans="1:14">
      <c r="A2869" s="12">
        <v>2868</v>
      </c>
      <c r="B2869" s="14" t="s">
        <v>1824</v>
      </c>
      <c r="C2869" s="45" t="s">
        <v>1825</v>
      </c>
      <c r="D2869" s="45" t="s">
        <v>4235</v>
      </c>
      <c r="E2869" s="45" t="s">
        <v>432</v>
      </c>
      <c r="F2869" s="14">
        <v>533.41</v>
      </c>
      <c r="G2869" s="45" t="s">
        <v>64</v>
      </c>
      <c r="H2869" s="16" t="s">
        <v>847</v>
      </c>
      <c r="I2869" s="14">
        <v>0</v>
      </c>
      <c r="J2869" s="14">
        <v>0</v>
      </c>
      <c r="K2869" s="14">
        <v>81.36</v>
      </c>
      <c r="L2869" s="4">
        <v>0</v>
      </c>
      <c r="M2869" s="14" t="s">
        <v>19</v>
      </c>
      <c r="N2869" s="35">
        <f t="shared" si="67"/>
        <v>81.36</v>
      </c>
    </row>
    <row r="2870" spans="1:14">
      <c r="A2870" s="12">
        <v>2869</v>
      </c>
      <c r="B2870" s="14" t="s">
        <v>1824</v>
      </c>
      <c r="C2870" s="45" t="s">
        <v>1825</v>
      </c>
      <c r="D2870" s="45" t="s">
        <v>4236</v>
      </c>
      <c r="E2870" s="45" t="s">
        <v>432</v>
      </c>
      <c r="F2870" s="14">
        <v>1460.84</v>
      </c>
      <c r="G2870" s="45" t="s">
        <v>64</v>
      </c>
      <c r="H2870" s="16" t="s">
        <v>847</v>
      </c>
      <c r="I2870" s="14">
        <v>0</v>
      </c>
      <c r="J2870" s="14">
        <v>0</v>
      </c>
      <c r="K2870" s="14">
        <v>222.84</v>
      </c>
      <c r="L2870" s="4">
        <v>0</v>
      </c>
      <c r="M2870" s="14" t="s">
        <v>19</v>
      </c>
      <c r="N2870" s="35">
        <f t="shared" si="67"/>
        <v>222.84</v>
      </c>
    </row>
    <row r="2871" spans="1:14">
      <c r="A2871" s="12">
        <v>2870</v>
      </c>
      <c r="B2871" s="14" t="s">
        <v>4237</v>
      </c>
      <c r="C2871" s="45" t="s">
        <v>4238</v>
      </c>
      <c r="D2871" s="45" t="s">
        <v>4239</v>
      </c>
      <c r="E2871" s="45" t="s">
        <v>424</v>
      </c>
      <c r="F2871" s="14">
        <v>1534</v>
      </c>
      <c r="G2871" s="45" t="s">
        <v>182</v>
      </c>
      <c r="H2871" s="3">
        <v>3923</v>
      </c>
      <c r="I2871" s="14">
        <v>117</v>
      </c>
      <c r="J2871" s="14">
        <v>117</v>
      </c>
      <c r="K2871" s="14">
        <v>0</v>
      </c>
      <c r="L2871" s="4">
        <v>0</v>
      </c>
      <c r="M2871" s="14" t="s">
        <v>19</v>
      </c>
      <c r="N2871" s="35">
        <f t="shared" si="67"/>
        <v>234</v>
      </c>
    </row>
    <row r="2872" spans="1:14">
      <c r="A2872" s="12">
        <v>2871</v>
      </c>
      <c r="B2872" s="14" t="s">
        <v>4237</v>
      </c>
      <c r="C2872" s="45" t="s">
        <v>4238</v>
      </c>
      <c r="D2872" s="45" t="s">
        <v>4240</v>
      </c>
      <c r="E2872" s="45" t="s">
        <v>4241</v>
      </c>
      <c r="F2872" s="14">
        <v>7670</v>
      </c>
      <c r="G2872" s="45" t="s">
        <v>182</v>
      </c>
      <c r="H2872" s="3">
        <v>3923</v>
      </c>
      <c r="I2872" s="14">
        <v>585</v>
      </c>
      <c r="J2872" s="14">
        <v>585</v>
      </c>
      <c r="K2872" s="14">
        <v>0</v>
      </c>
      <c r="L2872" s="4">
        <v>0</v>
      </c>
      <c r="M2872" s="14" t="s">
        <v>19</v>
      </c>
      <c r="N2872" s="35">
        <f t="shared" si="67"/>
        <v>1170</v>
      </c>
    </row>
    <row r="2873" spans="1:14">
      <c r="A2873" s="12">
        <v>2872</v>
      </c>
      <c r="B2873" s="14" t="s">
        <v>4242</v>
      </c>
      <c r="C2873" s="45" t="s">
        <v>4243</v>
      </c>
      <c r="D2873" s="45" t="s">
        <v>4244</v>
      </c>
      <c r="E2873" s="45" t="s">
        <v>4221</v>
      </c>
      <c r="F2873" s="14">
        <v>2050</v>
      </c>
      <c r="G2873" s="45" t="s">
        <v>156</v>
      </c>
      <c r="H2873" s="14">
        <v>84713010</v>
      </c>
      <c r="I2873" s="14">
        <v>156.36000000000001</v>
      </c>
      <c r="J2873" s="14">
        <v>156.36000000000001</v>
      </c>
      <c r="K2873" s="14">
        <v>0</v>
      </c>
      <c r="L2873" s="4">
        <v>0</v>
      </c>
      <c r="M2873" s="14" t="s">
        <v>157</v>
      </c>
      <c r="N2873" s="15" t="s">
        <v>202</v>
      </c>
    </row>
    <row r="2874" spans="1:14">
      <c r="A2874" s="12">
        <v>2873</v>
      </c>
      <c r="B2874" s="14" t="s">
        <v>3967</v>
      </c>
      <c r="C2874" s="45" t="s">
        <v>3968</v>
      </c>
      <c r="D2874" s="45" t="s">
        <v>4245</v>
      </c>
      <c r="E2874" s="45" t="s">
        <v>4212</v>
      </c>
      <c r="F2874" s="14">
        <v>10266</v>
      </c>
      <c r="G2874" s="45" t="s">
        <v>64</v>
      </c>
      <c r="H2874" s="14">
        <v>998346</v>
      </c>
      <c r="I2874" s="14">
        <v>0</v>
      </c>
      <c r="J2874" s="14">
        <v>0</v>
      </c>
      <c r="K2874" s="14">
        <v>1566</v>
      </c>
      <c r="L2874" s="4">
        <v>0</v>
      </c>
      <c r="M2874" s="14" t="s">
        <v>19</v>
      </c>
      <c r="N2874" s="35">
        <f t="shared" si="67"/>
        <v>1566</v>
      </c>
    </row>
    <row r="2875" spans="1:14">
      <c r="A2875" s="12">
        <v>2874</v>
      </c>
      <c r="B2875" s="14" t="s">
        <v>3967</v>
      </c>
      <c r="C2875" s="45" t="s">
        <v>3968</v>
      </c>
      <c r="D2875" s="45" t="s">
        <v>4246</v>
      </c>
      <c r="E2875" s="45" t="s">
        <v>1175</v>
      </c>
      <c r="F2875" s="14">
        <v>12036</v>
      </c>
      <c r="G2875" s="45" t="s">
        <v>64</v>
      </c>
      <c r="H2875" s="14">
        <v>998346</v>
      </c>
      <c r="I2875" s="14">
        <v>0</v>
      </c>
      <c r="J2875" s="14">
        <v>0</v>
      </c>
      <c r="K2875" s="14">
        <v>1836</v>
      </c>
      <c r="L2875" s="4">
        <v>0</v>
      </c>
      <c r="M2875" s="14" t="s">
        <v>19</v>
      </c>
      <c r="N2875" s="35">
        <f t="shared" si="67"/>
        <v>1836</v>
      </c>
    </row>
    <row r="2876" spans="1:14">
      <c r="A2876" s="12">
        <v>2875</v>
      </c>
      <c r="B2876" s="14" t="s">
        <v>3967</v>
      </c>
      <c r="C2876" s="45" t="s">
        <v>3968</v>
      </c>
      <c r="D2876" s="45" t="s">
        <v>4247</v>
      </c>
      <c r="E2876" s="45" t="s">
        <v>4248</v>
      </c>
      <c r="F2876" s="14">
        <v>30208</v>
      </c>
      <c r="G2876" s="45" t="s">
        <v>64</v>
      </c>
      <c r="H2876" s="14">
        <v>998346</v>
      </c>
      <c r="I2876" s="14">
        <v>0</v>
      </c>
      <c r="J2876" s="14">
        <v>0</v>
      </c>
      <c r="K2876" s="14">
        <v>4608</v>
      </c>
      <c r="L2876" s="4">
        <v>0</v>
      </c>
      <c r="M2876" s="14" t="s">
        <v>19</v>
      </c>
      <c r="N2876" s="35">
        <f t="shared" si="67"/>
        <v>4608</v>
      </c>
    </row>
    <row r="2877" spans="1:14">
      <c r="A2877" s="12">
        <v>2876</v>
      </c>
      <c r="B2877" s="14" t="s">
        <v>3967</v>
      </c>
      <c r="C2877" s="45" t="s">
        <v>3968</v>
      </c>
      <c r="D2877" s="45" t="s">
        <v>4249</v>
      </c>
      <c r="E2877" s="45" t="s">
        <v>4248</v>
      </c>
      <c r="F2877" s="14">
        <v>16355</v>
      </c>
      <c r="G2877" s="45" t="s">
        <v>64</v>
      </c>
      <c r="H2877" s="14">
        <v>998346</v>
      </c>
      <c r="I2877" s="14">
        <v>0</v>
      </c>
      <c r="J2877" s="14">
        <v>0</v>
      </c>
      <c r="K2877" s="14">
        <v>2494.8000000000002</v>
      </c>
      <c r="L2877" s="4">
        <v>0</v>
      </c>
      <c r="M2877" s="14" t="s">
        <v>19</v>
      </c>
      <c r="N2877" s="35">
        <f t="shared" si="67"/>
        <v>2494.8000000000002</v>
      </c>
    </row>
    <row r="2878" spans="1:14">
      <c r="A2878" s="12">
        <v>2877</v>
      </c>
      <c r="B2878" s="14" t="s">
        <v>3967</v>
      </c>
      <c r="C2878" s="45" t="s">
        <v>3968</v>
      </c>
      <c r="D2878" s="45" t="s">
        <v>4250</v>
      </c>
      <c r="E2878" s="45" t="s">
        <v>4248</v>
      </c>
      <c r="F2878" s="14">
        <v>8968</v>
      </c>
      <c r="G2878" s="45" t="s">
        <v>64</v>
      </c>
      <c r="H2878" s="14">
        <v>998346</v>
      </c>
      <c r="I2878" s="14">
        <v>0</v>
      </c>
      <c r="J2878" s="14">
        <v>0</v>
      </c>
      <c r="K2878" s="14">
        <v>1368</v>
      </c>
      <c r="L2878" s="4">
        <v>0</v>
      </c>
      <c r="M2878" s="14" t="s">
        <v>19</v>
      </c>
      <c r="N2878" s="35">
        <f t="shared" si="67"/>
        <v>1368</v>
      </c>
    </row>
    <row r="2879" spans="1:14">
      <c r="A2879" s="12">
        <v>2878</v>
      </c>
      <c r="B2879" s="14" t="s">
        <v>4006</v>
      </c>
      <c r="C2879" s="45" t="s">
        <v>4007</v>
      </c>
      <c r="D2879" s="45" t="s">
        <v>4251</v>
      </c>
      <c r="E2879" s="45" t="s">
        <v>4216</v>
      </c>
      <c r="F2879" s="14">
        <v>29500</v>
      </c>
      <c r="G2879" s="45" t="s">
        <v>64</v>
      </c>
      <c r="H2879" s="18" t="s">
        <v>992</v>
      </c>
      <c r="I2879" s="14">
        <v>0</v>
      </c>
      <c r="J2879" s="14">
        <v>0</v>
      </c>
      <c r="K2879" s="14">
        <v>4500</v>
      </c>
      <c r="L2879" s="4">
        <v>0</v>
      </c>
      <c r="M2879" s="14" t="s">
        <v>19</v>
      </c>
      <c r="N2879" s="35">
        <f t="shared" si="67"/>
        <v>4500</v>
      </c>
    </row>
    <row r="2880" spans="1:14">
      <c r="A2880" s="12">
        <v>2879</v>
      </c>
      <c r="B2880" s="14" t="s">
        <v>4006</v>
      </c>
      <c r="C2880" s="45" t="s">
        <v>4007</v>
      </c>
      <c r="D2880" s="45" t="s">
        <v>4252</v>
      </c>
      <c r="E2880" s="45" t="s">
        <v>4253</v>
      </c>
      <c r="F2880" s="14">
        <v>29500</v>
      </c>
      <c r="G2880" s="45" t="s">
        <v>64</v>
      </c>
      <c r="H2880" s="18" t="s">
        <v>992</v>
      </c>
      <c r="I2880" s="14">
        <v>0</v>
      </c>
      <c r="J2880" s="14">
        <v>0</v>
      </c>
      <c r="K2880" s="14">
        <v>4500</v>
      </c>
      <c r="L2880" s="4">
        <v>0</v>
      </c>
      <c r="M2880" s="14" t="s">
        <v>19</v>
      </c>
      <c r="N2880" s="35">
        <f t="shared" si="67"/>
        <v>4500</v>
      </c>
    </row>
    <row r="2881" spans="1:14">
      <c r="A2881" s="12">
        <v>2880</v>
      </c>
      <c r="B2881" s="14" t="s">
        <v>1479</v>
      </c>
      <c r="C2881" s="45" t="s">
        <v>1480</v>
      </c>
      <c r="D2881" s="45" t="s">
        <v>4254</v>
      </c>
      <c r="E2881" s="45" t="s">
        <v>17</v>
      </c>
      <c r="F2881" s="14">
        <v>191944.12</v>
      </c>
      <c r="G2881" s="45" t="s">
        <v>182</v>
      </c>
      <c r="H2881" s="14">
        <v>63053923</v>
      </c>
      <c r="I2881" s="14">
        <v>14639.81</v>
      </c>
      <c r="J2881" s="14">
        <v>14639.81</v>
      </c>
      <c r="K2881" s="14">
        <v>0</v>
      </c>
      <c r="L2881" s="4">
        <v>0</v>
      </c>
      <c r="M2881" s="14" t="s">
        <v>19</v>
      </c>
      <c r="N2881" s="35">
        <f t="shared" si="67"/>
        <v>29279.62</v>
      </c>
    </row>
    <row r="2882" spans="1:14">
      <c r="A2882" s="12">
        <v>2881</v>
      </c>
      <c r="B2882" s="14" t="s">
        <v>1479</v>
      </c>
      <c r="C2882" s="45" t="s">
        <v>1480</v>
      </c>
      <c r="D2882" s="45" t="s">
        <v>4255</v>
      </c>
      <c r="E2882" s="45" t="s">
        <v>4248</v>
      </c>
      <c r="F2882" s="14">
        <v>101528</v>
      </c>
      <c r="G2882" s="45" t="s">
        <v>182</v>
      </c>
      <c r="H2882" s="14">
        <v>63053923</v>
      </c>
      <c r="I2882" s="14">
        <v>2665.13</v>
      </c>
      <c r="J2882" s="14">
        <v>2665.13</v>
      </c>
      <c r="K2882" s="14">
        <v>0</v>
      </c>
      <c r="L2882" s="4">
        <v>0</v>
      </c>
      <c r="M2882" s="14" t="s">
        <v>19</v>
      </c>
      <c r="N2882" s="35">
        <f t="shared" si="67"/>
        <v>5330.26</v>
      </c>
    </row>
    <row r="2883" spans="1:14">
      <c r="A2883" s="12">
        <v>2882</v>
      </c>
      <c r="B2883" s="14" t="s">
        <v>4256</v>
      </c>
      <c r="C2883" s="45" t="s">
        <v>4257</v>
      </c>
      <c r="D2883" s="45" t="s">
        <v>4258</v>
      </c>
      <c r="E2883" s="45" t="s">
        <v>1175</v>
      </c>
      <c r="F2883" s="14">
        <v>19348</v>
      </c>
      <c r="G2883" s="45" t="s">
        <v>64</v>
      </c>
      <c r="H2883" s="14">
        <v>9987</v>
      </c>
      <c r="I2883" s="14">
        <v>1475.73</v>
      </c>
      <c r="J2883" s="14">
        <v>1475.73</v>
      </c>
      <c r="K2883" s="14">
        <v>0</v>
      </c>
      <c r="L2883" s="4">
        <v>0</v>
      </c>
      <c r="M2883" s="14" t="s">
        <v>19</v>
      </c>
      <c r="N2883" s="35">
        <f t="shared" si="67"/>
        <v>2951.46</v>
      </c>
    </row>
    <row r="2884" spans="1:14">
      <c r="A2884" s="12">
        <v>2883</v>
      </c>
      <c r="B2884" s="14" t="s">
        <v>4012</v>
      </c>
      <c r="C2884" s="45" t="s">
        <v>4013</v>
      </c>
      <c r="D2884" s="45" t="s">
        <v>4259</v>
      </c>
      <c r="E2884" s="45" t="s">
        <v>4195</v>
      </c>
      <c r="F2884" s="14">
        <v>500</v>
      </c>
      <c r="G2884" s="45" t="s">
        <v>64</v>
      </c>
      <c r="H2884" s="3">
        <v>997139</v>
      </c>
      <c r="I2884" s="14">
        <v>38.130000000000003</v>
      </c>
      <c r="J2884" s="14">
        <v>38.130000000000003</v>
      </c>
      <c r="K2884" s="14">
        <v>0</v>
      </c>
      <c r="L2884" s="4">
        <v>0</v>
      </c>
      <c r="M2884" s="14" t="s">
        <v>19</v>
      </c>
      <c r="N2884" s="35">
        <f t="shared" si="67"/>
        <v>76.260000000000005</v>
      </c>
    </row>
    <row r="2885" spans="1:14">
      <c r="A2885" s="12">
        <v>2884</v>
      </c>
      <c r="B2885" s="14" t="s">
        <v>4012</v>
      </c>
      <c r="C2885" s="45" t="s">
        <v>4013</v>
      </c>
      <c r="D2885" s="45" t="s">
        <v>4260</v>
      </c>
      <c r="E2885" s="45" t="s">
        <v>4195</v>
      </c>
      <c r="F2885" s="14">
        <v>500</v>
      </c>
      <c r="G2885" s="45" t="s">
        <v>64</v>
      </c>
      <c r="H2885" s="3">
        <v>997139</v>
      </c>
      <c r="I2885" s="14">
        <v>38.130000000000003</v>
      </c>
      <c r="J2885" s="14">
        <v>38.130000000000003</v>
      </c>
      <c r="K2885" s="14">
        <v>0</v>
      </c>
      <c r="L2885" s="4">
        <v>0</v>
      </c>
      <c r="M2885" s="14" t="s">
        <v>19</v>
      </c>
      <c r="N2885" s="35">
        <f t="shared" si="67"/>
        <v>76.260000000000005</v>
      </c>
    </row>
    <row r="2886" spans="1:14">
      <c r="A2886" s="12">
        <v>2885</v>
      </c>
      <c r="B2886" s="14" t="s">
        <v>4261</v>
      </c>
      <c r="C2886" s="45" t="s">
        <v>4262</v>
      </c>
      <c r="D2886" s="45" t="s">
        <v>4263</v>
      </c>
      <c r="E2886" s="45" t="s">
        <v>4198</v>
      </c>
      <c r="F2886" s="14">
        <v>13500</v>
      </c>
      <c r="G2886" s="45" t="s">
        <v>64</v>
      </c>
      <c r="H2886" s="23">
        <v>998346</v>
      </c>
      <c r="I2886" s="14">
        <v>0</v>
      </c>
      <c r="J2886" s="14">
        <v>0</v>
      </c>
      <c r="K2886" s="14">
        <v>2059.3200000000002</v>
      </c>
      <c r="L2886" s="4">
        <v>0</v>
      </c>
      <c r="M2886" s="14" t="s">
        <v>19</v>
      </c>
      <c r="N2886" s="35">
        <f t="shared" si="67"/>
        <v>2059.3200000000002</v>
      </c>
    </row>
    <row r="2887" spans="1:14">
      <c r="A2887" s="12">
        <v>2886</v>
      </c>
      <c r="B2887" s="14" t="s">
        <v>4084</v>
      </c>
      <c r="C2887" s="45" t="s">
        <v>4085</v>
      </c>
      <c r="D2887" s="45" t="s">
        <v>4264</v>
      </c>
      <c r="E2887" s="45" t="s">
        <v>725</v>
      </c>
      <c r="F2887" s="14">
        <v>149743.12</v>
      </c>
      <c r="G2887" s="45" t="s">
        <v>64</v>
      </c>
      <c r="H2887" s="14">
        <v>997157</v>
      </c>
      <c r="I2887" s="14">
        <v>0</v>
      </c>
      <c r="J2887" s="14">
        <v>0</v>
      </c>
      <c r="K2887" s="14">
        <v>256.49</v>
      </c>
      <c r="L2887" s="4">
        <v>0</v>
      </c>
      <c r="M2887" s="14" t="s">
        <v>19</v>
      </c>
      <c r="N2887" s="35">
        <f t="shared" si="67"/>
        <v>256.49</v>
      </c>
    </row>
    <row r="2888" spans="1:14">
      <c r="A2888" s="12">
        <v>2887</v>
      </c>
      <c r="B2888" s="14" t="s">
        <v>4084</v>
      </c>
      <c r="C2888" s="45" t="s">
        <v>4085</v>
      </c>
      <c r="D2888" s="45" t="s">
        <v>4265</v>
      </c>
      <c r="E2888" s="45" t="s">
        <v>725</v>
      </c>
      <c r="F2888" s="14">
        <v>149743.12</v>
      </c>
      <c r="G2888" s="45" t="s">
        <v>64</v>
      </c>
      <c r="H2888" s="14">
        <v>997157</v>
      </c>
      <c r="I2888" s="14">
        <v>0</v>
      </c>
      <c r="J2888" s="14">
        <v>0</v>
      </c>
      <c r="K2888" s="14">
        <v>256.49</v>
      </c>
      <c r="L2888" s="4">
        <v>0</v>
      </c>
      <c r="M2888" s="14" t="s">
        <v>19</v>
      </c>
      <c r="N2888" s="35">
        <f t="shared" si="67"/>
        <v>256.49</v>
      </c>
    </row>
    <row r="2889" spans="1:14">
      <c r="A2889" s="12">
        <v>2888</v>
      </c>
      <c r="B2889" s="14" t="s">
        <v>4153</v>
      </c>
      <c r="C2889" s="45" t="s">
        <v>4154</v>
      </c>
      <c r="D2889" s="45" t="s">
        <v>4266</v>
      </c>
      <c r="E2889" s="45" t="s">
        <v>725</v>
      </c>
      <c r="F2889" s="14">
        <v>31848</v>
      </c>
      <c r="G2889" s="45" t="s">
        <v>182</v>
      </c>
      <c r="H2889" s="14">
        <v>3923</v>
      </c>
      <c r="I2889" s="14">
        <v>2429.1</v>
      </c>
      <c r="J2889" s="14">
        <v>2429.1</v>
      </c>
      <c r="K2889" s="14">
        <v>0</v>
      </c>
      <c r="L2889" s="4">
        <v>0</v>
      </c>
      <c r="M2889" s="14" t="s">
        <v>19</v>
      </c>
      <c r="N2889" s="35">
        <f t="shared" si="67"/>
        <v>4858.2</v>
      </c>
    </row>
    <row r="2890" spans="1:14">
      <c r="A2890" s="12">
        <v>2889</v>
      </c>
      <c r="B2890" s="14" t="s">
        <v>4153</v>
      </c>
      <c r="C2890" s="45" t="s">
        <v>4154</v>
      </c>
      <c r="D2890" s="45" t="s">
        <v>4267</v>
      </c>
      <c r="E2890" s="45" t="s">
        <v>4268</v>
      </c>
      <c r="F2890" s="14">
        <v>117941</v>
      </c>
      <c r="G2890" s="45" t="s">
        <v>182</v>
      </c>
      <c r="H2890" s="14">
        <v>3923</v>
      </c>
      <c r="I2890" s="14">
        <v>8995.5</v>
      </c>
      <c r="J2890" s="14">
        <v>8995.5</v>
      </c>
      <c r="K2890" s="14">
        <v>0</v>
      </c>
      <c r="L2890" s="4">
        <v>0</v>
      </c>
      <c r="M2890" s="14" t="s">
        <v>19</v>
      </c>
      <c r="N2890" s="35">
        <f t="shared" si="67"/>
        <v>17991</v>
      </c>
    </row>
    <row r="2891" spans="1:14">
      <c r="A2891" s="12">
        <v>2890</v>
      </c>
      <c r="B2891" s="14" t="s">
        <v>4153</v>
      </c>
      <c r="C2891" s="45" t="s">
        <v>4154</v>
      </c>
      <c r="D2891" s="45" t="s">
        <v>4269</v>
      </c>
      <c r="E2891" s="45" t="s">
        <v>432</v>
      </c>
      <c r="F2891" s="14">
        <v>245322</v>
      </c>
      <c r="G2891" s="45" t="s">
        <v>182</v>
      </c>
      <c r="H2891" s="14">
        <v>3923</v>
      </c>
      <c r="I2891" s="14">
        <v>18711</v>
      </c>
      <c r="J2891" s="14">
        <v>18711</v>
      </c>
      <c r="K2891" s="14">
        <v>0</v>
      </c>
      <c r="L2891" s="4">
        <v>0</v>
      </c>
      <c r="M2891" s="14" t="s">
        <v>19</v>
      </c>
      <c r="N2891" s="35">
        <f t="shared" si="67"/>
        <v>37422</v>
      </c>
    </row>
    <row r="2892" spans="1:14">
      <c r="A2892" s="12">
        <v>2891</v>
      </c>
      <c r="B2892" s="14" t="s">
        <v>4270</v>
      </c>
      <c r="C2892" s="45" t="s">
        <v>4271</v>
      </c>
      <c r="D2892" s="45" t="s">
        <v>4272</v>
      </c>
      <c r="E2892" s="45" t="s">
        <v>4216</v>
      </c>
      <c r="F2892" s="14">
        <v>122425</v>
      </c>
      <c r="G2892" s="45" t="s">
        <v>64</v>
      </c>
      <c r="H2892" s="23">
        <v>998349</v>
      </c>
      <c r="I2892" s="14">
        <v>0</v>
      </c>
      <c r="J2892" s="14">
        <v>0</v>
      </c>
      <c r="K2892" s="14">
        <v>18675</v>
      </c>
      <c r="L2892" s="4">
        <v>0</v>
      </c>
      <c r="M2892" s="14" t="s">
        <v>19</v>
      </c>
      <c r="N2892" s="35">
        <f t="shared" si="67"/>
        <v>18675</v>
      </c>
    </row>
    <row r="2893" spans="1:14">
      <c r="A2893" s="12">
        <v>2892</v>
      </c>
      <c r="B2893" s="14" t="s">
        <v>3979</v>
      </c>
      <c r="C2893" s="45" t="s">
        <v>3980</v>
      </c>
      <c r="D2893" s="45" t="s">
        <v>4273</v>
      </c>
      <c r="E2893" s="45" t="s">
        <v>4227</v>
      </c>
      <c r="F2893" s="14">
        <v>8850</v>
      </c>
      <c r="G2893" s="45" t="s">
        <v>64</v>
      </c>
      <c r="H2893" s="14">
        <v>9983</v>
      </c>
      <c r="I2893" s="14">
        <v>675</v>
      </c>
      <c r="J2893" s="14">
        <v>675</v>
      </c>
      <c r="K2893" s="14">
        <v>0</v>
      </c>
      <c r="L2893" s="4">
        <v>0</v>
      </c>
      <c r="M2893" s="14" t="s">
        <v>19</v>
      </c>
      <c r="N2893" s="35">
        <f t="shared" si="67"/>
        <v>1350</v>
      </c>
    </row>
    <row r="2894" spans="1:14">
      <c r="A2894" s="12">
        <v>2893</v>
      </c>
      <c r="B2894" s="14" t="s">
        <v>4274</v>
      </c>
      <c r="C2894" s="45" t="s">
        <v>4275</v>
      </c>
      <c r="D2894" s="45" t="s">
        <v>4276</v>
      </c>
      <c r="E2894" s="45" t="s">
        <v>4241</v>
      </c>
      <c r="F2894" s="14">
        <v>11208.99</v>
      </c>
      <c r="G2894" s="45" t="s">
        <v>64</v>
      </c>
      <c r="H2894" s="14">
        <v>998349</v>
      </c>
      <c r="I2894" s="14">
        <v>854.92</v>
      </c>
      <c r="J2894" s="14">
        <v>854.92</v>
      </c>
      <c r="K2894" s="14">
        <v>0</v>
      </c>
      <c r="L2894" s="4">
        <v>0</v>
      </c>
      <c r="M2894" s="14" t="s">
        <v>19</v>
      </c>
      <c r="N2894" s="35">
        <f t="shared" si="67"/>
        <v>1709.84</v>
      </c>
    </row>
    <row r="2895" spans="1:14">
      <c r="A2895" s="12">
        <v>2894</v>
      </c>
      <c r="B2895" s="14" t="s">
        <v>3982</v>
      </c>
      <c r="C2895" s="45" t="s">
        <v>3983</v>
      </c>
      <c r="D2895" s="45" t="s">
        <v>4277</v>
      </c>
      <c r="E2895" s="45" t="s">
        <v>4212</v>
      </c>
      <c r="F2895" s="14">
        <v>31152</v>
      </c>
      <c r="G2895" s="45" t="s">
        <v>64</v>
      </c>
      <c r="H2895" s="18" t="s">
        <v>3985</v>
      </c>
      <c r="I2895" s="14">
        <v>0</v>
      </c>
      <c r="J2895" s="14">
        <v>0</v>
      </c>
      <c r="K2895" s="14">
        <v>4752</v>
      </c>
      <c r="L2895" s="4">
        <v>0</v>
      </c>
      <c r="M2895" s="14" t="s">
        <v>19</v>
      </c>
      <c r="N2895" s="35">
        <f t="shared" si="67"/>
        <v>4752</v>
      </c>
    </row>
    <row r="2896" spans="1:14">
      <c r="A2896" s="12">
        <v>2895</v>
      </c>
      <c r="B2896" s="14" t="s">
        <v>3982</v>
      </c>
      <c r="C2896" s="45" t="s">
        <v>3983</v>
      </c>
      <c r="D2896" s="45" t="s">
        <v>4278</v>
      </c>
      <c r="E2896" s="45" t="s">
        <v>4279</v>
      </c>
      <c r="F2896" s="14">
        <v>33630</v>
      </c>
      <c r="G2896" s="45" t="s">
        <v>64</v>
      </c>
      <c r="H2896" s="18" t="s">
        <v>3985</v>
      </c>
      <c r="I2896" s="14">
        <v>0</v>
      </c>
      <c r="J2896" s="14">
        <v>0</v>
      </c>
      <c r="K2896" s="14">
        <v>5130</v>
      </c>
      <c r="L2896" s="4">
        <v>0</v>
      </c>
      <c r="M2896" s="14" t="s">
        <v>19</v>
      </c>
      <c r="N2896" s="35">
        <f t="shared" si="67"/>
        <v>5130</v>
      </c>
    </row>
    <row r="2897" spans="1:14">
      <c r="A2897" s="12">
        <v>2896</v>
      </c>
      <c r="B2897" s="14" t="s">
        <v>3982</v>
      </c>
      <c r="C2897" s="45" t="s">
        <v>3983</v>
      </c>
      <c r="D2897" s="45" t="s">
        <v>4280</v>
      </c>
      <c r="E2897" s="45" t="s">
        <v>4230</v>
      </c>
      <c r="F2897" s="14">
        <v>41890</v>
      </c>
      <c r="G2897" s="45" t="s">
        <v>64</v>
      </c>
      <c r="H2897" s="18" t="s">
        <v>3985</v>
      </c>
      <c r="I2897" s="14">
        <v>0</v>
      </c>
      <c r="J2897" s="14">
        <v>0</v>
      </c>
      <c r="K2897" s="14">
        <v>6390</v>
      </c>
      <c r="L2897" s="4">
        <v>0</v>
      </c>
      <c r="M2897" s="14" t="s">
        <v>19</v>
      </c>
      <c r="N2897" s="35">
        <f t="shared" si="67"/>
        <v>6390</v>
      </c>
    </row>
    <row r="2898" spans="1:14">
      <c r="A2898" s="12">
        <v>2897</v>
      </c>
      <c r="B2898" s="14" t="s">
        <v>3982</v>
      </c>
      <c r="C2898" s="45" t="s">
        <v>3983</v>
      </c>
      <c r="D2898" s="45" t="s">
        <v>4281</v>
      </c>
      <c r="E2898" s="45" t="s">
        <v>725</v>
      </c>
      <c r="F2898" s="14">
        <v>223881</v>
      </c>
      <c r="G2898" s="45" t="s">
        <v>64</v>
      </c>
      <c r="H2898" s="18" t="s">
        <v>3985</v>
      </c>
      <c r="I2898" s="14">
        <v>0</v>
      </c>
      <c r="J2898" s="14">
        <v>0</v>
      </c>
      <c r="K2898" s="14">
        <v>34151</v>
      </c>
      <c r="L2898" s="4">
        <v>0</v>
      </c>
      <c r="M2898" s="14" t="s">
        <v>19</v>
      </c>
      <c r="N2898" s="35">
        <f t="shared" si="67"/>
        <v>34151</v>
      </c>
    </row>
    <row r="2899" spans="1:14">
      <c r="A2899" s="12">
        <v>2898</v>
      </c>
      <c r="B2899" s="14" t="s">
        <v>3982</v>
      </c>
      <c r="C2899" s="45" t="s">
        <v>3983</v>
      </c>
      <c r="D2899" s="45" t="s">
        <v>4282</v>
      </c>
      <c r="E2899" s="45" t="s">
        <v>432</v>
      </c>
      <c r="F2899" s="14">
        <v>18880</v>
      </c>
      <c r="G2899" s="45" t="s">
        <v>64</v>
      </c>
      <c r="H2899" s="18" t="s">
        <v>3985</v>
      </c>
      <c r="I2899" s="14">
        <v>0</v>
      </c>
      <c r="J2899" s="14">
        <v>0</v>
      </c>
      <c r="K2899" s="14">
        <v>2880</v>
      </c>
      <c r="L2899" s="4">
        <v>0</v>
      </c>
      <c r="M2899" s="14" t="s">
        <v>19</v>
      </c>
      <c r="N2899" s="35">
        <f t="shared" ref="N2899:N2900" si="68">SUM(I2899:L2899)</f>
        <v>2880</v>
      </c>
    </row>
    <row r="2900" spans="1:14">
      <c r="A2900" s="12">
        <v>2899</v>
      </c>
      <c r="B2900" s="14" t="s">
        <v>4283</v>
      </c>
      <c r="C2900" s="45" t="s">
        <v>4284</v>
      </c>
      <c r="D2900" s="45" t="s">
        <v>4285</v>
      </c>
      <c r="E2900" s="45" t="s">
        <v>4227</v>
      </c>
      <c r="F2900" s="14">
        <v>5133</v>
      </c>
      <c r="G2900" s="45" t="s">
        <v>64</v>
      </c>
      <c r="H2900" s="23">
        <v>998346</v>
      </c>
      <c r="I2900" s="14">
        <v>0</v>
      </c>
      <c r="J2900" s="14">
        <v>0</v>
      </c>
      <c r="K2900" s="14">
        <v>783</v>
      </c>
      <c r="L2900" s="4">
        <v>0</v>
      </c>
      <c r="M2900" s="14" t="s">
        <v>19</v>
      </c>
      <c r="N2900" s="35">
        <f t="shared" si="68"/>
        <v>783</v>
      </c>
    </row>
    <row r="2901" spans="1:14">
      <c r="A2901" s="12">
        <v>2900</v>
      </c>
      <c r="B2901" s="3" t="s">
        <v>3936</v>
      </c>
      <c r="C2901" s="43" t="s">
        <v>3937</v>
      </c>
      <c r="D2901" s="43" t="s">
        <v>4286</v>
      </c>
      <c r="E2901" s="43" t="s">
        <v>30</v>
      </c>
      <c r="F2901" s="14">
        <v>1475</v>
      </c>
      <c r="G2901" s="45" t="s">
        <v>18</v>
      </c>
      <c r="H2901" s="14">
        <v>9971</v>
      </c>
      <c r="I2901" s="6">
        <v>112.5</v>
      </c>
      <c r="J2901" s="6">
        <v>112.5</v>
      </c>
      <c r="K2901" s="6">
        <v>0</v>
      </c>
      <c r="L2901" s="4">
        <v>0</v>
      </c>
      <c r="M2901" s="14" t="s">
        <v>19</v>
      </c>
      <c r="N2901" s="15">
        <f>SUM(I2901:L2901)</f>
        <v>225</v>
      </c>
    </row>
    <row r="2902" spans="1:14">
      <c r="A2902" s="12">
        <v>2901</v>
      </c>
      <c r="B2902" s="3" t="s">
        <v>3936</v>
      </c>
      <c r="C2902" s="43" t="s">
        <v>3937</v>
      </c>
      <c r="D2902" s="43" t="s">
        <v>4287</v>
      </c>
      <c r="E2902" s="43" t="s">
        <v>30</v>
      </c>
      <c r="F2902" s="14">
        <v>1180</v>
      </c>
      <c r="G2902" s="45" t="s">
        <v>18</v>
      </c>
      <c r="H2902" s="14">
        <v>9971</v>
      </c>
      <c r="I2902" s="6">
        <v>90</v>
      </c>
      <c r="J2902" s="6">
        <v>90</v>
      </c>
      <c r="K2902" s="6">
        <v>0</v>
      </c>
      <c r="L2902" s="4">
        <v>0</v>
      </c>
      <c r="M2902" s="14" t="s">
        <v>19</v>
      </c>
      <c r="N2902" s="15">
        <f t="shared" ref="N2902:N2963" si="69">SUM(I2902:L2902)</f>
        <v>180</v>
      </c>
    </row>
    <row r="2903" spans="1:14">
      <c r="A2903" s="12">
        <v>2902</v>
      </c>
      <c r="B2903" s="3" t="s">
        <v>3936</v>
      </c>
      <c r="C2903" s="43" t="s">
        <v>3937</v>
      </c>
      <c r="D2903" s="43" t="s">
        <v>4288</v>
      </c>
      <c r="E2903" s="43" t="s">
        <v>30</v>
      </c>
      <c r="F2903" s="14">
        <v>1475</v>
      </c>
      <c r="G2903" s="45" t="s">
        <v>18</v>
      </c>
      <c r="H2903" s="14">
        <v>9971</v>
      </c>
      <c r="I2903" s="6">
        <v>112.5</v>
      </c>
      <c r="J2903" s="6">
        <v>112.5</v>
      </c>
      <c r="K2903" s="6">
        <v>0</v>
      </c>
      <c r="L2903" s="4">
        <v>0</v>
      </c>
      <c r="M2903" s="14" t="s">
        <v>19</v>
      </c>
      <c r="N2903" s="15">
        <f t="shared" si="69"/>
        <v>225</v>
      </c>
    </row>
    <row r="2904" spans="1:14">
      <c r="A2904" s="12">
        <v>2903</v>
      </c>
      <c r="B2904" s="3" t="s">
        <v>3936</v>
      </c>
      <c r="C2904" s="43" t="s">
        <v>3937</v>
      </c>
      <c r="D2904" s="43" t="s">
        <v>4289</v>
      </c>
      <c r="E2904" s="43" t="s">
        <v>30</v>
      </c>
      <c r="F2904" s="14">
        <v>1180</v>
      </c>
      <c r="G2904" s="45" t="s">
        <v>18</v>
      </c>
      <c r="H2904" s="14">
        <v>9971</v>
      </c>
      <c r="I2904" s="6">
        <v>90</v>
      </c>
      <c r="J2904" s="6">
        <v>90</v>
      </c>
      <c r="K2904" s="6">
        <v>0</v>
      </c>
      <c r="L2904" s="4">
        <v>0</v>
      </c>
      <c r="M2904" s="14" t="s">
        <v>19</v>
      </c>
      <c r="N2904" s="15">
        <f t="shared" si="69"/>
        <v>180</v>
      </c>
    </row>
    <row r="2905" spans="1:14">
      <c r="A2905" s="12">
        <v>2904</v>
      </c>
      <c r="B2905" s="3" t="s">
        <v>3936</v>
      </c>
      <c r="C2905" s="43" t="s">
        <v>3937</v>
      </c>
      <c r="D2905" s="43" t="s">
        <v>4290</v>
      </c>
      <c r="E2905" s="43" t="s">
        <v>30</v>
      </c>
      <c r="F2905" s="14">
        <v>1475</v>
      </c>
      <c r="G2905" s="45" t="s">
        <v>18</v>
      </c>
      <c r="H2905" s="14">
        <v>9971</v>
      </c>
      <c r="I2905" s="6">
        <v>112.5</v>
      </c>
      <c r="J2905" s="6">
        <v>112.5</v>
      </c>
      <c r="K2905" s="6">
        <v>0</v>
      </c>
      <c r="L2905" s="4">
        <v>0</v>
      </c>
      <c r="M2905" s="14" t="s">
        <v>19</v>
      </c>
      <c r="N2905" s="15">
        <f t="shared" si="69"/>
        <v>225</v>
      </c>
    </row>
    <row r="2906" spans="1:14">
      <c r="A2906" s="12">
        <v>2905</v>
      </c>
      <c r="B2906" s="3" t="s">
        <v>3936</v>
      </c>
      <c r="C2906" s="43" t="s">
        <v>3937</v>
      </c>
      <c r="D2906" s="43" t="s">
        <v>4291</v>
      </c>
      <c r="E2906" s="43" t="s">
        <v>30</v>
      </c>
      <c r="F2906" s="14">
        <v>1180</v>
      </c>
      <c r="G2906" s="45" t="s">
        <v>18</v>
      </c>
      <c r="H2906" s="14">
        <v>9971</v>
      </c>
      <c r="I2906" s="6">
        <v>90</v>
      </c>
      <c r="J2906" s="6">
        <v>90</v>
      </c>
      <c r="K2906" s="6">
        <v>0</v>
      </c>
      <c r="L2906" s="4">
        <v>0</v>
      </c>
      <c r="M2906" s="14" t="s">
        <v>19</v>
      </c>
      <c r="N2906" s="15">
        <f t="shared" si="69"/>
        <v>180</v>
      </c>
    </row>
    <row r="2907" spans="1:14">
      <c r="A2907" s="12">
        <v>2906</v>
      </c>
      <c r="B2907" s="3" t="s">
        <v>3936</v>
      </c>
      <c r="C2907" s="43" t="s">
        <v>3937</v>
      </c>
      <c r="D2907" s="43" t="s">
        <v>4292</v>
      </c>
      <c r="E2907" s="43" t="s">
        <v>438</v>
      </c>
      <c r="F2907" s="14">
        <v>1180</v>
      </c>
      <c r="G2907" s="45" t="s">
        <v>18</v>
      </c>
      <c r="H2907" s="14">
        <v>9971</v>
      </c>
      <c r="I2907" s="6">
        <v>90</v>
      </c>
      <c r="J2907" s="6">
        <v>90</v>
      </c>
      <c r="K2907" s="6">
        <v>0</v>
      </c>
      <c r="L2907" s="4">
        <v>0</v>
      </c>
      <c r="M2907" s="14" t="s">
        <v>19</v>
      </c>
      <c r="N2907" s="15">
        <f t="shared" si="69"/>
        <v>180</v>
      </c>
    </row>
    <row r="2908" spans="1:14">
      <c r="A2908" s="12">
        <v>2907</v>
      </c>
      <c r="B2908" s="3" t="s">
        <v>3936</v>
      </c>
      <c r="C2908" s="43" t="s">
        <v>3937</v>
      </c>
      <c r="D2908" s="43" t="s">
        <v>4293</v>
      </c>
      <c r="E2908" s="43" t="s">
        <v>438</v>
      </c>
      <c r="F2908" s="14">
        <v>1475</v>
      </c>
      <c r="G2908" s="45" t="s">
        <v>18</v>
      </c>
      <c r="H2908" s="14">
        <v>9971</v>
      </c>
      <c r="I2908" s="6">
        <v>112.5</v>
      </c>
      <c r="J2908" s="6">
        <v>112.5</v>
      </c>
      <c r="K2908" s="6">
        <v>0</v>
      </c>
      <c r="L2908" s="4">
        <v>0</v>
      </c>
      <c r="M2908" s="14" t="s">
        <v>19</v>
      </c>
      <c r="N2908" s="15">
        <f t="shared" si="69"/>
        <v>225</v>
      </c>
    </row>
    <row r="2909" spans="1:14">
      <c r="A2909" s="12">
        <v>2908</v>
      </c>
      <c r="B2909" s="3" t="s">
        <v>3936</v>
      </c>
      <c r="C2909" s="43" t="s">
        <v>3937</v>
      </c>
      <c r="D2909" s="43" t="s">
        <v>4294</v>
      </c>
      <c r="E2909" s="43" t="s">
        <v>1424</v>
      </c>
      <c r="F2909" s="14">
        <v>1180</v>
      </c>
      <c r="G2909" s="45" t="s">
        <v>18</v>
      </c>
      <c r="H2909" s="14">
        <v>9971</v>
      </c>
      <c r="I2909" s="6">
        <v>90</v>
      </c>
      <c r="J2909" s="6">
        <v>90</v>
      </c>
      <c r="K2909" s="6">
        <v>0</v>
      </c>
      <c r="L2909" s="4">
        <v>0</v>
      </c>
      <c r="M2909" s="14" t="s">
        <v>19</v>
      </c>
      <c r="N2909" s="15">
        <f t="shared" si="69"/>
        <v>180</v>
      </c>
    </row>
    <row r="2910" spans="1:14">
      <c r="A2910" s="12">
        <v>2909</v>
      </c>
      <c r="B2910" s="3" t="s">
        <v>3936</v>
      </c>
      <c r="C2910" s="43" t="s">
        <v>3937</v>
      </c>
      <c r="D2910" s="43" t="s">
        <v>4295</v>
      </c>
      <c r="E2910" s="43" t="s">
        <v>1424</v>
      </c>
      <c r="F2910" s="14">
        <v>1475</v>
      </c>
      <c r="G2910" s="45" t="s">
        <v>18</v>
      </c>
      <c r="H2910" s="14">
        <v>9971</v>
      </c>
      <c r="I2910" s="6">
        <v>112.5</v>
      </c>
      <c r="J2910" s="6">
        <v>112.5</v>
      </c>
      <c r="K2910" s="6">
        <v>0</v>
      </c>
      <c r="L2910" s="4">
        <v>0</v>
      </c>
      <c r="M2910" s="14" t="s">
        <v>19</v>
      </c>
      <c r="N2910" s="15">
        <f t="shared" si="69"/>
        <v>225</v>
      </c>
    </row>
    <row r="2911" spans="1:14">
      <c r="A2911" s="12">
        <v>2910</v>
      </c>
      <c r="B2911" s="3" t="s">
        <v>3936</v>
      </c>
      <c r="C2911" s="43" t="s">
        <v>3937</v>
      </c>
      <c r="D2911" s="43" t="s">
        <v>4296</v>
      </c>
      <c r="E2911" s="43" t="s">
        <v>1424</v>
      </c>
      <c r="F2911" s="14">
        <v>1475</v>
      </c>
      <c r="G2911" s="45" t="s">
        <v>18</v>
      </c>
      <c r="H2911" s="14">
        <v>9971</v>
      </c>
      <c r="I2911" s="6">
        <v>112.5</v>
      </c>
      <c r="J2911" s="6">
        <v>112.5</v>
      </c>
      <c r="K2911" s="6">
        <v>0</v>
      </c>
      <c r="L2911" s="4">
        <v>0</v>
      </c>
      <c r="M2911" s="14" t="s">
        <v>19</v>
      </c>
      <c r="N2911" s="15">
        <f t="shared" si="69"/>
        <v>225</v>
      </c>
    </row>
    <row r="2912" spans="1:14">
      <c r="A2912" s="12">
        <v>2911</v>
      </c>
      <c r="B2912" s="3" t="s">
        <v>3936</v>
      </c>
      <c r="C2912" s="43" t="s">
        <v>3937</v>
      </c>
      <c r="D2912" s="43" t="s">
        <v>4297</v>
      </c>
      <c r="E2912" s="43" t="s">
        <v>1279</v>
      </c>
      <c r="F2912" s="14">
        <v>23911.45</v>
      </c>
      <c r="G2912" s="45" t="s">
        <v>18</v>
      </c>
      <c r="H2912" s="14">
        <v>9971</v>
      </c>
      <c r="I2912" s="6">
        <v>1823.75</v>
      </c>
      <c r="J2912" s="6">
        <v>1823.75</v>
      </c>
      <c r="K2912" s="6">
        <v>0</v>
      </c>
      <c r="L2912" s="4">
        <v>0</v>
      </c>
      <c r="M2912" s="14" t="s">
        <v>19</v>
      </c>
      <c r="N2912" s="15">
        <f t="shared" si="69"/>
        <v>3647.5</v>
      </c>
    </row>
    <row r="2913" spans="1:14">
      <c r="A2913" s="12">
        <v>2912</v>
      </c>
      <c r="B2913" s="3" t="s">
        <v>3936</v>
      </c>
      <c r="C2913" s="43" t="s">
        <v>3937</v>
      </c>
      <c r="D2913" s="43" t="s">
        <v>4298</v>
      </c>
      <c r="E2913" s="43" t="s">
        <v>34</v>
      </c>
      <c r="F2913" s="14">
        <v>1180</v>
      </c>
      <c r="G2913" s="45" t="s">
        <v>18</v>
      </c>
      <c r="H2913" s="14">
        <v>9971</v>
      </c>
      <c r="I2913" s="6">
        <v>90</v>
      </c>
      <c r="J2913" s="6">
        <v>90</v>
      </c>
      <c r="K2913" s="6">
        <v>0</v>
      </c>
      <c r="L2913" s="4">
        <v>0</v>
      </c>
      <c r="M2913" s="14" t="s">
        <v>19</v>
      </c>
      <c r="N2913" s="15">
        <f t="shared" si="69"/>
        <v>180</v>
      </c>
    </row>
    <row r="2914" spans="1:14">
      <c r="A2914" s="12">
        <v>2913</v>
      </c>
      <c r="B2914" s="3" t="s">
        <v>3936</v>
      </c>
      <c r="C2914" s="43" t="s">
        <v>3937</v>
      </c>
      <c r="D2914" s="43" t="s">
        <v>4299</v>
      </c>
      <c r="E2914" s="43" t="s">
        <v>34</v>
      </c>
      <c r="F2914" s="14">
        <v>590</v>
      </c>
      <c r="G2914" s="45" t="s">
        <v>18</v>
      </c>
      <c r="H2914" s="14">
        <v>9971</v>
      </c>
      <c r="I2914" s="6">
        <v>45</v>
      </c>
      <c r="J2914" s="6">
        <v>45</v>
      </c>
      <c r="K2914" s="6">
        <v>0</v>
      </c>
      <c r="L2914" s="4">
        <v>0</v>
      </c>
      <c r="M2914" s="14" t="s">
        <v>19</v>
      </c>
      <c r="N2914" s="15">
        <f t="shared" si="69"/>
        <v>90</v>
      </c>
    </row>
    <row r="2915" spans="1:14">
      <c r="A2915" s="12">
        <v>2914</v>
      </c>
      <c r="B2915" s="3" t="s">
        <v>3936</v>
      </c>
      <c r="C2915" s="43" t="s">
        <v>3937</v>
      </c>
      <c r="D2915" s="43" t="s">
        <v>4300</v>
      </c>
      <c r="E2915" s="43" t="s">
        <v>34</v>
      </c>
      <c r="F2915" s="14">
        <v>2374.8200000000002</v>
      </c>
      <c r="G2915" s="45" t="s">
        <v>18</v>
      </c>
      <c r="H2915" s="14">
        <v>9971</v>
      </c>
      <c r="I2915" s="6">
        <v>181.13</v>
      </c>
      <c r="J2915" s="6">
        <v>181.13</v>
      </c>
      <c r="K2915" s="6">
        <v>0</v>
      </c>
      <c r="L2915" s="4">
        <v>0</v>
      </c>
      <c r="M2915" s="14" t="s">
        <v>19</v>
      </c>
      <c r="N2915" s="15">
        <f t="shared" si="69"/>
        <v>362.26</v>
      </c>
    </row>
    <row r="2916" spans="1:14">
      <c r="A2916" s="12">
        <v>2915</v>
      </c>
      <c r="B2916" s="3" t="s">
        <v>3936</v>
      </c>
      <c r="C2916" s="43" t="s">
        <v>3937</v>
      </c>
      <c r="D2916" s="43" t="s">
        <v>4301</v>
      </c>
      <c r="E2916" s="43" t="s">
        <v>451</v>
      </c>
      <c r="F2916" s="14">
        <v>23560.27</v>
      </c>
      <c r="G2916" s="45" t="s">
        <v>18</v>
      </c>
      <c r="H2916" s="14">
        <v>9971</v>
      </c>
      <c r="I2916" s="6">
        <v>1796.97</v>
      </c>
      <c r="J2916" s="6">
        <v>1796.97</v>
      </c>
      <c r="K2916" s="6">
        <v>0</v>
      </c>
      <c r="L2916" s="4">
        <v>0</v>
      </c>
      <c r="M2916" s="14" t="s">
        <v>19</v>
      </c>
      <c r="N2916" s="15">
        <f t="shared" si="69"/>
        <v>3593.94</v>
      </c>
    </row>
    <row r="2917" spans="1:14">
      <c r="A2917" s="12">
        <v>2916</v>
      </c>
      <c r="B2917" s="3" t="s">
        <v>3936</v>
      </c>
      <c r="C2917" s="43" t="s">
        <v>3937</v>
      </c>
      <c r="D2917" s="43" t="s">
        <v>4302</v>
      </c>
      <c r="E2917" s="43" t="s">
        <v>921</v>
      </c>
      <c r="F2917" s="14">
        <v>313.83999999999997</v>
      </c>
      <c r="G2917" s="45" t="s">
        <v>18</v>
      </c>
      <c r="H2917" s="14">
        <v>9971</v>
      </c>
      <c r="I2917" s="6">
        <v>23.94</v>
      </c>
      <c r="J2917" s="6">
        <v>23.94</v>
      </c>
      <c r="K2917" s="6">
        <v>0</v>
      </c>
      <c r="L2917" s="4">
        <v>0</v>
      </c>
      <c r="M2917" s="14" t="s">
        <v>19</v>
      </c>
      <c r="N2917" s="15">
        <f t="shared" si="69"/>
        <v>47.88</v>
      </c>
    </row>
    <row r="2918" spans="1:14">
      <c r="A2918" s="12">
        <v>2917</v>
      </c>
      <c r="B2918" s="3" t="s">
        <v>3936</v>
      </c>
      <c r="C2918" s="43" t="s">
        <v>3937</v>
      </c>
      <c r="D2918" s="43" t="s">
        <v>4303</v>
      </c>
      <c r="E2918" s="43" t="s">
        <v>921</v>
      </c>
      <c r="F2918" s="14">
        <v>590</v>
      </c>
      <c r="G2918" s="45" t="s">
        <v>18</v>
      </c>
      <c r="H2918" s="14">
        <v>9971</v>
      </c>
      <c r="I2918" s="6">
        <v>45</v>
      </c>
      <c r="J2918" s="6">
        <v>45</v>
      </c>
      <c r="K2918" s="6">
        <v>0</v>
      </c>
      <c r="L2918" s="4">
        <v>0</v>
      </c>
      <c r="M2918" s="14" t="s">
        <v>19</v>
      </c>
      <c r="N2918" s="15">
        <f t="shared" si="69"/>
        <v>90</v>
      </c>
    </row>
    <row r="2919" spans="1:14">
      <c r="A2919" s="12">
        <v>2918</v>
      </c>
      <c r="B2919" s="3" t="s">
        <v>3936</v>
      </c>
      <c r="C2919" s="43" t="s">
        <v>3937</v>
      </c>
      <c r="D2919" s="43" t="s">
        <v>4304</v>
      </c>
      <c r="E2919" s="43" t="s">
        <v>921</v>
      </c>
      <c r="F2919" s="14">
        <v>1180</v>
      </c>
      <c r="G2919" s="45" t="s">
        <v>18</v>
      </c>
      <c r="H2919" s="14">
        <v>9971</v>
      </c>
      <c r="I2919" s="6">
        <v>90</v>
      </c>
      <c r="J2919" s="6">
        <v>90</v>
      </c>
      <c r="K2919" s="6">
        <v>0</v>
      </c>
      <c r="L2919" s="4">
        <v>0</v>
      </c>
      <c r="M2919" s="14" t="s">
        <v>19</v>
      </c>
      <c r="N2919" s="15">
        <f t="shared" si="69"/>
        <v>180</v>
      </c>
    </row>
    <row r="2920" spans="1:14">
      <c r="A2920" s="12">
        <v>2919</v>
      </c>
      <c r="B2920" s="3" t="s">
        <v>3936</v>
      </c>
      <c r="C2920" s="43" t="s">
        <v>3937</v>
      </c>
      <c r="D2920" s="43" t="s">
        <v>4305</v>
      </c>
      <c r="E2920" s="43" t="s">
        <v>921</v>
      </c>
      <c r="F2920" s="14">
        <v>301.95999999999998</v>
      </c>
      <c r="G2920" s="45" t="s">
        <v>18</v>
      </c>
      <c r="H2920" s="14">
        <v>9971</v>
      </c>
      <c r="I2920" s="6">
        <v>23.03</v>
      </c>
      <c r="J2920" s="6">
        <v>23.03</v>
      </c>
      <c r="K2920" s="6">
        <v>0</v>
      </c>
      <c r="L2920" s="4">
        <v>0</v>
      </c>
      <c r="M2920" s="14" t="s">
        <v>19</v>
      </c>
      <c r="N2920" s="15">
        <f t="shared" si="69"/>
        <v>46.06</v>
      </c>
    </row>
    <row r="2921" spans="1:14">
      <c r="A2921" s="12">
        <v>2920</v>
      </c>
      <c r="B2921" s="3" t="s">
        <v>3936</v>
      </c>
      <c r="C2921" s="43" t="s">
        <v>3937</v>
      </c>
      <c r="D2921" s="43" t="s">
        <v>4306</v>
      </c>
      <c r="E2921" s="43" t="s">
        <v>921</v>
      </c>
      <c r="F2921" s="14">
        <v>1180</v>
      </c>
      <c r="G2921" s="45" t="s">
        <v>18</v>
      </c>
      <c r="H2921" s="14">
        <v>9971</v>
      </c>
      <c r="I2921" s="6">
        <v>90</v>
      </c>
      <c r="J2921" s="6">
        <v>90</v>
      </c>
      <c r="K2921" s="6">
        <v>0</v>
      </c>
      <c r="L2921" s="4">
        <v>0</v>
      </c>
      <c r="M2921" s="14" t="s">
        <v>19</v>
      </c>
      <c r="N2921" s="15">
        <f t="shared" si="69"/>
        <v>180</v>
      </c>
    </row>
    <row r="2922" spans="1:14">
      <c r="A2922" s="12">
        <v>2921</v>
      </c>
      <c r="B2922" s="3" t="s">
        <v>3936</v>
      </c>
      <c r="C2922" s="43" t="s">
        <v>3937</v>
      </c>
      <c r="D2922" s="43" t="s">
        <v>4307</v>
      </c>
      <c r="E2922" s="43" t="s">
        <v>921</v>
      </c>
      <c r="F2922" s="14">
        <v>590</v>
      </c>
      <c r="G2922" s="45" t="s">
        <v>18</v>
      </c>
      <c r="H2922" s="14">
        <v>9971</v>
      </c>
      <c r="I2922" s="6">
        <v>45</v>
      </c>
      <c r="J2922" s="6">
        <v>45</v>
      </c>
      <c r="K2922" s="6">
        <v>0</v>
      </c>
      <c r="L2922" s="4">
        <v>0</v>
      </c>
      <c r="M2922" s="14" t="s">
        <v>19</v>
      </c>
      <c r="N2922" s="15">
        <f t="shared" si="69"/>
        <v>90</v>
      </c>
    </row>
    <row r="2923" spans="1:14">
      <c r="A2923" s="12">
        <v>2922</v>
      </c>
      <c r="B2923" s="3" t="s">
        <v>3936</v>
      </c>
      <c r="C2923" s="43" t="s">
        <v>3937</v>
      </c>
      <c r="D2923" s="43" t="s">
        <v>4308</v>
      </c>
      <c r="E2923" s="43" t="s">
        <v>921</v>
      </c>
      <c r="F2923" s="14">
        <v>2505.4699999999998</v>
      </c>
      <c r="G2923" s="45" t="s">
        <v>18</v>
      </c>
      <c r="H2923" s="14">
        <v>9971</v>
      </c>
      <c r="I2923" s="6">
        <v>191.1</v>
      </c>
      <c r="J2923" s="6">
        <v>191.1</v>
      </c>
      <c r="K2923" s="6">
        <v>0</v>
      </c>
      <c r="L2923" s="4">
        <v>0</v>
      </c>
      <c r="M2923" s="14" t="s">
        <v>19</v>
      </c>
      <c r="N2923" s="15">
        <f t="shared" si="69"/>
        <v>382.2</v>
      </c>
    </row>
    <row r="2924" spans="1:14">
      <c r="A2924" s="12">
        <v>2923</v>
      </c>
      <c r="B2924" s="3" t="s">
        <v>3936</v>
      </c>
      <c r="C2924" s="43" t="s">
        <v>3937</v>
      </c>
      <c r="D2924" s="43" t="s">
        <v>4309</v>
      </c>
      <c r="E2924" s="43" t="s">
        <v>921</v>
      </c>
      <c r="F2924" s="14">
        <v>28905.48</v>
      </c>
      <c r="G2924" s="45" t="s">
        <v>18</v>
      </c>
      <c r="H2924" s="14">
        <v>9971</v>
      </c>
      <c r="I2924" s="6">
        <v>2204.66</v>
      </c>
      <c r="J2924" s="6">
        <v>2204.66</v>
      </c>
      <c r="K2924" s="6">
        <v>0</v>
      </c>
      <c r="L2924" s="4">
        <v>0</v>
      </c>
      <c r="M2924" s="14" t="s">
        <v>19</v>
      </c>
      <c r="N2924" s="15">
        <f t="shared" si="69"/>
        <v>4409.32</v>
      </c>
    </row>
    <row r="2925" spans="1:14">
      <c r="A2925" s="12">
        <v>2924</v>
      </c>
      <c r="B2925" s="3" t="s">
        <v>3936</v>
      </c>
      <c r="C2925" s="43" t="s">
        <v>3937</v>
      </c>
      <c r="D2925" s="43" t="s">
        <v>4310</v>
      </c>
      <c r="E2925" s="43" t="s">
        <v>921</v>
      </c>
      <c r="F2925" s="14">
        <v>2505.4699999999998</v>
      </c>
      <c r="G2925" s="45" t="s">
        <v>18</v>
      </c>
      <c r="H2925" s="14">
        <v>9971</v>
      </c>
      <c r="I2925" s="6">
        <v>191.1</v>
      </c>
      <c r="J2925" s="6">
        <v>191.1</v>
      </c>
      <c r="K2925" s="6">
        <v>0</v>
      </c>
      <c r="L2925" s="4">
        <v>0</v>
      </c>
      <c r="M2925" s="14" t="s">
        <v>19</v>
      </c>
      <c r="N2925" s="15">
        <f t="shared" si="69"/>
        <v>382.2</v>
      </c>
    </row>
    <row r="2926" spans="1:14">
      <c r="A2926" s="12">
        <v>2925</v>
      </c>
      <c r="B2926" s="3" t="s">
        <v>3936</v>
      </c>
      <c r="C2926" s="43" t="s">
        <v>3937</v>
      </c>
      <c r="D2926" s="43" t="s">
        <v>4311</v>
      </c>
      <c r="E2926" s="43" t="s">
        <v>46</v>
      </c>
      <c r="F2926" s="14">
        <v>118</v>
      </c>
      <c r="G2926" s="45" t="s">
        <v>18</v>
      </c>
      <c r="H2926" s="14">
        <v>9971</v>
      </c>
      <c r="I2926" s="6">
        <v>9</v>
      </c>
      <c r="J2926" s="6">
        <v>9</v>
      </c>
      <c r="K2926" s="6">
        <v>0</v>
      </c>
      <c r="L2926" s="4">
        <v>0</v>
      </c>
      <c r="M2926" s="14" t="s">
        <v>19</v>
      </c>
      <c r="N2926" s="15">
        <f t="shared" si="69"/>
        <v>18</v>
      </c>
    </row>
    <row r="2927" spans="1:14">
      <c r="A2927" s="12">
        <v>2926</v>
      </c>
      <c r="B2927" s="3" t="s">
        <v>3936</v>
      </c>
      <c r="C2927" s="43" t="s">
        <v>3937</v>
      </c>
      <c r="D2927" s="43" t="s">
        <v>4312</v>
      </c>
      <c r="E2927" s="43" t="s">
        <v>766</v>
      </c>
      <c r="F2927" s="14">
        <v>7792.26</v>
      </c>
      <c r="G2927" s="45" t="s">
        <v>18</v>
      </c>
      <c r="H2927" s="14">
        <v>9971</v>
      </c>
      <c r="I2927" s="6">
        <v>594.32000000000005</v>
      </c>
      <c r="J2927" s="6">
        <v>594.32000000000005</v>
      </c>
      <c r="K2927" s="6">
        <v>0</v>
      </c>
      <c r="L2927" s="4">
        <v>0</v>
      </c>
      <c r="M2927" s="14" t="s">
        <v>19</v>
      </c>
      <c r="N2927" s="15">
        <f t="shared" si="69"/>
        <v>1188.6400000000001</v>
      </c>
    </row>
    <row r="2928" spans="1:14">
      <c r="A2928" s="12">
        <v>2927</v>
      </c>
      <c r="B2928" s="3" t="s">
        <v>3936</v>
      </c>
      <c r="C2928" s="43" t="s">
        <v>3937</v>
      </c>
      <c r="D2928" s="43" t="s">
        <v>4313</v>
      </c>
      <c r="E2928" s="43" t="s">
        <v>766</v>
      </c>
      <c r="F2928" s="14">
        <v>354</v>
      </c>
      <c r="G2928" s="45" t="s">
        <v>18</v>
      </c>
      <c r="H2928" s="14">
        <v>9971</v>
      </c>
      <c r="I2928" s="6">
        <v>27</v>
      </c>
      <c r="J2928" s="6">
        <v>27</v>
      </c>
      <c r="K2928" s="6">
        <v>0</v>
      </c>
      <c r="L2928" s="4">
        <v>0</v>
      </c>
      <c r="M2928" s="14" t="s">
        <v>19</v>
      </c>
      <c r="N2928" s="15">
        <f t="shared" si="69"/>
        <v>54</v>
      </c>
    </row>
    <row r="2929" spans="1:14">
      <c r="A2929" s="12">
        <v>2928</v>
      </c>
      <c r="B2929" s="3" t="s">
        <v>3936</v>
      </c>
      <c r="C2929" s="43" t="s">
        <v>3937</v>
      </c>
      <c r="D2929" s="43" t="s">
        <v>4314</v>
      </c>
      <c r="E2929" s="43" t="s">
        <v>766</v>
      </c>
      <c r="F2929" s="14">
        <v>1180</v>
      </c>
      <c r="G2929" s="45" t="s">
        <v>18</v>
      </c>
      <c r="H2929" s="14">
        <v>9971</v>
      </c>
      <c r="I2929" s="6">
        <v>90</v>
      </c>
      <c r="J2929" s="6">
        <v>90</v>
      </c>
      <c r="K2929" s="6">
        <v>0</v>
      </c>
      <c r="L2929" s="4">
        <v>0</v>
      </c>
      <c r="M2929" s="14" t="s">
        <v>19</v>
      </c>
      <c r="N2929" s="15">
        <f t="shared" si="69"/>
        <v>180</v>
      </c>
    </row>
    <row r="2930" spans="1:14">
      <c r="A2930" s="12">
        <v>2929</v>
      </c>
      <c r="B2930" s="3" t="s">
        <v>3936</v>
      </c>
      <c r="C2930" s="43" t="s">
        <v>3937</v>
      </c>
      <c r="D2930" s="43" t="s">
        <v>4315</v>
      </c>
      <c r="E2930" s="43" t="s">
        <v>766</v>
      </c>
      <c r="F2930" s="14">
        <v>1475</v>
      </c>
      <c r="G2930" s="45" t="s">
        <v>18</v>
      </c>
      <c r="H2930" s="14">
        <v>9971</v>
      </c>
      <c r="I2930" s="6">
        <v>112.5</v>
      </c>
      <c r="J2930" s="6">
        <v>112.5</v>
      </c>
      <c r="K2930" s="6">
        <v>0</v>
      </c>
      <c r="L2930" s="4">
        <v>0</v>
      </c>
      <c r="M2930" s="14" t="s">
        <v>19</v>
      </c>
      <c r="N2930" s="15">
        <f t="shared" si="69"/>
        <v>225</v>
      </c>
    </row>
    <row r="2931" spans="1:14">
      <c r="A2931" s="12">
        <v>2930</v>
      </c>
      <c r="B2931" s="3" t="s">
        <v>3936</v>
      </c>
      <c r="C2931" s="43" t="s">
        <v>3937</v>
      </c>
      <c r="D2931" s="43" t="s">
        <v>4316</v>
      </c>
      <c r="E2931" s="43" t="s">
        <v>1055</v>
      </c>
      <c r="F2931" s="14">
        <v>7854.74</v>
      </c>
      <c r="G2931" s="45" t="s">
        <v>18</v>
      </c>
      <c r="H2931" s="14">
        <v>9971</v>
      </c>
      <c r="I2931" s="6">
        <v>599.09</v>
      </c>
      <c r="J2931" s="6">
        <v>599.09</v>
      </c>
      <c r="K2931" s="6">
        <v>0</v>
      </c>
      <c r="L2931" s="4">
        <v>0</v>
      </c>
      <c r="M2931" s="14" t="s">
        <v>19</v>
      </c>
      <c r="N2931" s="15">
        <f t="shared" si="69"/>
        <v>1198.18</v>
      </c>
    </row>
    <row r="2932" spans="1:14">
      <c r="A2932" s="12">
        <v>2931</v>
      </c>
      <c r="B2932" s="3" t="s">
        <v>3936</v>
      </c>
      <c r="C2932" s="43" t="s">
        <v>3937</v>
      </c>
      <c r="D2932" s="43" t="s">
        <v>4317</v>
      </c>
      <c r="E2932" s="43" t="s">
        <v>1055</v>
      </c>
      <c r="F2932" s="14">
        <v>24141.69</v>
      </c>
      <c r="G2932" s="45" t="s">
        <v>18</v>
      </c>
      <c r="H2932" s="14">
        <v>9971</v>
      </c>
      <c r="I2932" s="6">
        <v>1841.32</v>
      </c>
      <c r="J2932" s="6">
        <v>1841.32</v>
      </c>
      <c r="K2932" s="6">
        <v>0</v>
      </c>
      <c r="L2932" s="4">
        <v>0</v>
      </c>
      <c r="M2932" s="14" t="s">
        <v>19</v>
      </c>
      <c r="N2932" s="15">
        <f t="shared" si="69"/>
        <v>3682.64</v>
      </c>
    </row>
    <row r="2933" spans="1:14">
      <c r="A2933" s="12">
        <v>2932</v>
      </c>
      <c r="B2933" s="3" t="s">
        <v>3936</v>
      </c>
      <c r="C2933" s="43" t="s">
        <v>3937</v>
      </c>
      <c r="D2933" s="43" t="s">
        <v>4318</v>
      </c>
      <c r="E2933" s="43" t="s">
        <v>1055</v>
      </c>
      <c r="F2933" s="14">
        <v>1180</v>
      </c>
      <c r="G2933" s="45" t="s">
        <v>18</v>
      </c>
      <c r="H2933" s="14">
        <v>9971</v>
      </c>
      <c r="I2933" s="6">
        <v>90</v>
      </c>
      <c r="J2933" s="6">
        <v>90</v>
      </c>
      <c r="K2933" s="6">
        <v>0</v>
      </c>
      <c r="L2933" s="4">
        <v>0</v>
      </c>
      <c r="M2933" s="14" t="s">
        <v>19</v>
      </c>
      <c r="N2933" s="15">
        <f t="shared" si="69"/>
        <v>180</v>
      </c>
    </row>
    <row r="2934" spans="1:14">
      <c r="A2934" s="12">
        <v>2933</v>
      </c>
      <c r="B2934" s="3" t="s">
        <v>3936</v>
      </c>
      <c r="C2934" s="43" t="s">
        <v>3937</v>
      </c>
      <c r="D2934" s="43" t="s">
        <v>4319</v>
      </c>
      <c r="E2934" s="43" t="s">
        <v>1055</v>
      </c>
      <c r="F2934" s="14">
        <v>1475</v>
      </c>
      <c r="G2934" s="45" t="s">
        <v>18</v>
      </c>
      <c r="H2934" s="14">
        <v>9971</v>
      </c>
      <c r="I2934" s="6">
        <v>112.5</v>
      </c>
      <c r="J2934" s="6">
        <v>112.5</v>
      </c>
      <c r="K2934" s="6">
        <v>0</v>
      </c>
      <c r="L2934" s="4">
        <v>0</v>
      </c>
      <c r="M2934" s="14" t="s">
        <v>19</v>
      </c>
      <c r="N2934" s="15">
        <f t="shared" si="69"/>
        <v>225</v>
      </c>
    </row>
    <row r="2935" spans="1:14">
      <c r="A2935" s="12">
        <v>2934</v>
      </c>
      <c r="B2935" s="3" t="s">
        <v>3936</v>
      </c>
      <c r="C2935" s="43" t="s">
        <v>3937</v>
      </c>
      <c r="D2935" s="43" t="s">
        <v>4320</v>
      </c>
      <c r="E2935" s="43" t="s">
        <v>1055</v>
      </c>
      <c r="F2935" s="14">
        <v>354</v>
      </c>
      <c r="G2935" s="45" t="s">
        <v>18</v>
      </c>
      <c r="H2935" s="14">
        <v>9971</v>
      </c>
      <c r="I2935" s="6">
        <v>27</v>
      </c>
      <c r="J2935" s="6">
        <v>27</v>
      </c>
      <c r="K2935" s="6">
        <v>0</v>
      </c>
      <c r="L2935" s="4">
        <v>0</v>
      </c>
      <c r="M2935" s="14" t="s">
        <v>19</v>
      </c>
      <c r="N2935" s="15">
        <f t="shared" si="69"/>
        <v>54</v>
      </c>
    </row>
    <row r="2936" spans="1:14">
      <c r="A2936" s="12">
        <v>2935</v>
      </c>
      <c r="B2936" s="3" t="s">
        <v>3936</v>
      </c>
      <c r="C2936" s="43" t="s">
        <v>3937</v>
      </c>
      <c r="D2936" s="43" t="s">
        <v>4321</v>
      </c>
      <c r="E2936" s="43" t="s">
        <v>23</v>
      </c>
      <c r="F2936" s="14">
        <v>1180</v>
      </c>
      <c r="G2936" s="45" t="s">
        <v>18</v>
      </c>
      <c r="H2936" s="14">
        <v>9971</v>
      </c>
      <c r="I2936" s="6">
        <v>90</v>
      </c>
      <c r="J2936" s="6">
        <v>90</v>
      </c>
      <c r="K2936" s="6">
        <v>0</v>
      </c>
      <c r="L2936" s="4">
        <v>0</v>
      </c>
      <c r="M2936" s="14" t="s">
        <v>19</v>
      </c>
      <c r="N2936" s="15">
        <f t="shared" si="69"/>
        <v>180</v>
      </c>
    </row>
    <row r="2937" spans="1:14">
      <c r="A2937" s="12">
        <v>2936</v>
      </c>
      <c r="B2937" s="3" t="s">
        <v>3936</v>
      </c>
      <c r="C2937" s="43" t="s">
        <v>3937</v>
      </c>
      <c r="D2937" s="43" t="s">
        <v>4322</v>
      </c>
      <c r="E2937" s="43" t="s">
        <v>23</v>
      </c>
      <c r="F2937" s="14">
        <v>1440.06</v>
      </c>
      <c r="G2937" s="45" t="s">
        <v>18</v>
      </c>
      <c r="H2937" s="14">
        <v>9971</v>
      </c>
      <c r="I2937" s="6">
        <v>109.84</v>
      </c>
      <c r="J2937" s="6">
        <v>109.84</v>
      </c>
      <c r="K2937" s="6">
        <v>0</v>
      </c>
      <c r="L2937" s="4">
        <v>0</v>
      </c>
      <c r="M2937" s="14" t="s">
        <v>19</v>
      </c>
      <c r="N2937" s="15">
        <f t="shared" si="69"/>
        <v>219.68</v>
      </c>
    </row>
    <row r="2938" spans="1:14">
      <c r="A2938" s="12">
        <v>2937</v>
      </c>
      <c r="B2938" s="3" t="s">
        <v>3936</v>
      </c>
      <c r="C2938" s="43" t="s">
        <v>3937</v>
      </c>
      <c r="D2938" s="43" t="s">
        <v>4323</v>
      </c>
      <c r="E2938" s="43" t="s">
        <v>23</v>
      </c>
      <c r="F2938" s="14">
        <v>1180</v>
      </c>
      <c r="G2938" s="45" t="s">
        <v>18</v>
      </c>
      <c r="H2938" s="14">
        <v>9971</v>
      </c>
      <c r="I2938" s="6">
        <v>90</v>
      </c>
      <c r="J2938" s="6">
        <v>90</v>
      </c>
      <c r="K2938" s="6">
        <v>0</v>
      </c>
      <c r="L2938" s="4">
        <v>0</v>
      </c>
      <c r="M2938" s="14" t="s">
        <v>19</v>
      </c>
      <c r="N2938" s="15">
        <f t="shared" si="69"/>
        <v>180</v>
      </c>
    </row>
    <row r="2939" spans="1:14">
      <c r="A2939" s="12">
        <v>2938</v>
      </c>
      <c r="B2939" s="3" t="s">
        <v>3936</v>
      </c>
      <c r="C2939" s="43" t="s">
        <v>3937</v>
      </c>
      <c r="D2939" s="43" t="s">
        <v>4324</v>
      </c>
      <c r="E2939" s="43" t="s">
        <v>23</v>
      </c>
      <c r="F2939" s="14">
        <v>590</v>
      </c>
      <c r="G2939" s="45" t="s">
        <v>18</v>
      </c>
      <c r="H2939" s="14">
        <v>9971</v>
      </c>
      <c r="I2939" s="6">
        <v>45</v>
      </c>
      <c r="J2939" s="6">
        <v>45</v>
      </c>
      <c r="K2939" s="6">
        <v>0</v>
      </c>
      <c r="L2939" s="4">
        <v>0</v>
      </c>
      <c r="M2939" s="14" t="s">
        <v>19</v>
      </c>
      <c r="N2939" s="15">
        <f t="shared" si="69"/>
        <v>90</v>
      </c>
    </row>
    <row r="2940" spans="1:14">
      <c r="A2940" s="12">
        <v>2939</v>
      </c>
      <c r="B2940" s="3" t="s">
        <v>3936</v>
      </c>
      <c r="C2940" s="43" t="s">
        <v>3937</v>
      </c>
      <c r="D2940" s="43" t="s">
        <v>4325</v>
      </c>
      <c r="E2940" s="43" t="s">
        <v>23</v>
      </c>
      <c r="F2940" s="14">
        <v>590</v>
      </c>
      <c r="G2940" s="45" t="s">
        <v>18</v>
      </c>
      <c r="H2940" s="14">
        <v>9971</v>
      </c>
      <c r="I2940" s="6">
        <v>45</v>
      </c>
      <c r="J2940" s="6">
        <v>45</v>
      </c>
      <c r="K2940" s="6">
        <v>0</v>
      </c>
      <c r="L2940" s="4">
        <v>0</v>
      </c>
      <c r="M2940" s="14" t="s">
        <v>19</v>
      </c>
      <c r="N2940" s="15">
        <f t="shared" si="69"/>
        <v>90</v>
      </c>
    </row>
    <row r="2941" spans="1:14">
      <c r="A2941" s="12">
        <v>2940</v>
      </c>
      <c r="B2941" s="3" t="s">
        <v>3936</v>
      </c>
      <c r="C2941" s="43" t="s">
        <v>3937</v>
      </c>
      <c r="D2941" s="43" t="s">
        <v>4326</v>
      </c>
      <c r="E2941" s="43" t="s">
        <v>23</v>
      </c>
      <c r="F2941" s="14">
        <v>3456.76</v>
      </c>
      <c r="G2941" s="45" t="s">
        <v>18</v>
      </c>
      <c r="H2941" s="14">
        <v>9971</v>
      </c>
      <c r="I2941" s="6">
        <v>263.64999999999998</v>
      </c>
      <c r="J2941" s="6">
        <v>263.64999999999998</v>
      </c>
      <c r="K2941" s="6">
        <v>0</v>
      </c>
      <c r="L2941" s="4">
        <v>0</v>
      </c>
      <c r="M2941" s="14" t="s">
        <v>19</v>
      </c>
      <c r="N2941" s="15">
        <f t="shared" si="69"/>
        <v>527.29999999999995</v>
      </c>
    </row>
    <row r="2942" spans="1:14">
      <c r="A2942" s="12">
        <v>2941</v>
      </c>
      <c r="B2942" s="3" t="s">
        <v>3936</v>
      </c>
      <c r="C2942" s="43" t="s">
        <v>3937</v>
      </c>
      <c r="D2942" s="43" t="s">
        <v>4327</v>
      </c>
      <c r="E2942" s="43" t="s">
        <v>28</v>
      </c>
      <c r="F2942" s="14">
        <v>6179.28</v>
      </c>
      <c r="G2942" s="45" t="s">
        <v>18</v>
      </c>
      <c r="H2942" s="14">
        <v>9971</v>
      </c>
      <c r="I2942" s="6">
        <v>471.3</v>
      </c>
      <c r="J2942" s="6">
        <v>471.3</v>
      </c>
      <c r="K2942" s="6">
        <v>0</v>
      </c>
      <c r="L2942" s="4">
        <v>0</v>
      </c>
      <c r="M2942" s="14" t="s">
        <v>19</v>
      </c>
      <c r="N2942" s="15">
        <f t="shared" si="69"/>
        <v>942.6</v>
      </c>
    </row>
    <row r="2943" spans="1:14">
      <c r="A2943" s="12">
        <v>2942</v>
      </c>
      <c r="B2943" s="3" t="s">
        <v>3936</v>
      </c>
      <c r="C2943" s="43" t="s">
        <v>3937</v>
      </c>
      <c r="D2943" s="43" t="s">
        <v>4328</v>
      </c>
      <c r="E2943" s="43" t="s">
        <v>28</v>
      </c>
      <c r="F2943" s="14">
        <v>1180</v>
      </c>
      <c r="G2943" s="45" t="s">
        <v>18</v>
      </c>
      <c r="H2943" s="14">
        <v>9971</v>
      </c>
      <c r="I2943" s="6">
        <v>90</v>
      </c>
      <c r="J2943" s="6">
        <v>90</v>
      </c>
      <c r="K2943" s="6">
        <v>0</v>
      </c>
      <c r="L2943" s="4">
        <v>0</v>
      </c>
      <c r="M2943" s="14" t="s">
        <v>19</v>
      </c>
      <c r="N2943" s="15">
        <f t="shared" si="69"/>
        <v>180</v>
      </c>
    </row>
    <row r="2944" spans="1:14">
      <c r="A2944" s="12">
        <v>2943</v>
      </c>
      <c r="B2944" s="3" t="s">
        <v>3936</v>
      </c>
      <c r="C2944" s="43" t="s">
        <v>3937</v>
      </c>
      <c r="D2944" s="43" t="s">
        <v>4329</v>
      </c>
      <c r="E2944" s="43" t="s">
        <v>28</v>
      </c>
      <c r="F2944" s="14">
        <v>590</v>
      </c>
      <c r="G2944" s="45" t="s">
        <v>18</v>
      </c>
      <c r="H2944" s="14">
        <v>9971</v>
      </c>
      <c r="I2944" s="6">
        <v>45</v>
      </c>
      <c r="J2944" s="6">
        <v>45</v>
      </c>
      <c r="K2944" s="6">
        <v>0</v>
      </c>
      <c r="L2944" s="4">
        <v>0</v>
      </c>
      <c r="M2944" s="14" t="s">
        <v>19</v>
      </c>
      <c r="N2944" s="15">
        <f t="shared" si="69"/>
        <v>90</v>
      </c>
    </row>
    <row r="2945" spans="1:14">
      <c r="A2945" s="12">
        <v>2944</v>
      </c>
      <c r="B2945" s="3" t="s">
        <v>3936</v>
      </c>
      <c r="C2945" s="43" t="s">
        <v>3937</v>
      </c>
      <c r="D2945" s="43" t="s">
        <v>4330</v>
      </c>
      <c r="E2945" s="43" t="s">
        <v>757</v>
      </c>
      <c r="F2945" s="14">
        <v>295</v>
      </c>
      <c r="G2945" s="45" t="s">
        <v>18</v>
      </c>
      <c r="H2945" s="14">
        <v>9971</v>
      </c>
      <c r="I2945" s="6">
        <v>22.5</v>
      </c>
      <c r="J2945" s="6">
        <v>22.5</v>
      </c>
      <c r="K2945" s="6">
        <v>0</v>
      </c>
      <c r="L2945" s="4">
        <v>0</v>
      </c>
      <c r="M2945" s="14" t="s">
        <v>19</v>
      </c>
      <c r="N2945" s="15">
        <f t="shared" si="69"/>
        <v>45</v>
      </c>
    </row>
    <row r="2946" spans="1:14">
      <c r="A2946" s="12">
        <v>2945</v>
      </c>
      <c r="B2946" s="3" t="s">
        <v>3936</v>
      </c>
      <c r="C2946" s="43" t="s">
        <v>3937</v>
      </c>
      <c r="D2946" s="43" t="s">
        <v>4331</v>
      </c>
      <c r="E2946" s="43" t="s">
        <v>757</v>
      </c>
      <c r="F2946" s="14">
        <v>1180</v>
      </c>
      <c r="G2946" s="45" t="s">
        <v>18</v>
      </c>
      <c r="H2946" s="14">
        <v>9971</v>
      </c>
      <c r="I2946" s="6">
        <v>90</v>
      </c>
      <c r="J2946" s="6">
        <v>90</v>
      </c>
      <c r="K2946" s="6">
        <v>0</v>
      </c>
      <c r="L2946" s="4">
        <v>0</v>
      </c>
      <c r="M2946" s="14" t="s">
        <v>19</v>
      </c>
      <c r="N2946" s="15">
        <f t="shared" si="69"/>
        <v>180</v>
      </c>
    </row>
    <row r="2947" spans="1:14">
      <c r="A2947" s="12">
        <v>2946</v>
      </c>
      <c r="B2947" s="3" t="s">
        <v>3936</v>
      </c>
      <c r="C2947" s="43" t="s">
        <v>3937</v>
      </c>
      <c r="D2947" s="43" t="s">
        <v>4332</v>
      </c>
      <c r="E2947" s="43" t="s">
        <v>757</v>
      </c>
      <c r="F2947" s="14">
        <v>2506.3200000000002</v>
      </c>
      <c r="G2947" s="45" t="s">
        <v>18</v>
      </c>
      <c r="H2947" s="14">
        <v>9971</v>
      </c>
      <c r="I2947" s="6">
        <v>191.16</v>
      </c>
      <c r="J2947" s="6">
        <v>191.16</v>
      </c>
      <c r="K2947" s="6">
        <v>0</v>
      </c>
      <c r="L2947" s="4">
        <v>0</v>
      </c>
      <c r="M2947" s="14" t="s">
        <v>19</v>
      </c>
      <c r="N2947" s="15">
        <f t="shared" si="69"/>
        <v>382.32</v>
      </c>
    </row>
    <row r="2948" spans="1:14">
      <c r="A2948" s="12">
        <v>2947</v>
      </c>
      <c r="B2948" s="3" t="s">
        <v>3936</v>
      </c>
      <c r="C2948" s="43" t="s">
        <v>3937</v>
      </c>
      <c r="D2948" s="43" t="s">
        <v>4333</v>
      </c>
      <c r="E2948" s="43" t="s">
        <v>757</v>
      </c>
      <c r="F2948" s="14">
        <v>2506.3200000000002</v>
      </c>
      <c r="G2948" s="45" t="s">
        <v>18</v>
      </c>
      <c r="H2948" s="14">
        <v>9971</v>
      </c>
      <c r="I2948" s="6">
        <v>191.16</v>
      </c>
      <c r="J2948" s="6">
        <v>191.16</v>
      </c>
      <c r="K2948" s="6">
        <v>0</v>
      </c>
      <c r="L2948" s="4">
        <v>0</v>
      </c>
      <c r="M2948" s="14" t="s">
        <v>19</v>
      </c>
      <c r="N2948" s="15">
        <f t="shared" si="69"/>
        <v>382.32</v>
      </c>
    </row>
    <row r="2949" spans="1:14">
      <c r="A2949" s="12">
        <v>2948</v>
      </c>
      <c r="B2949" s="3" t="s">
        <v>3936</v>
      </c>
      <c r="C2949" s="43" t="s">
        <v>3937</v>
      </c>
      <c r="D2949" s="43" t="s">
        <v>4334</v>
      </c>
      <c r="E2949" s="43" t="s">
        <v>757</v>
      </c>
      <c r="F2949" s="14">
        <v>590</v>
      </c>
      <c r="G2949" s="45" t="s">
        <v>18</v>
      </c>
      <c r="H2949" s="14">
        <v>9971</v>
      </c>
      <c r="I2949" s="6">
        <v>45</v>
      </c>
      <c r="J2949" s="6">
        <v>45</v>
      </c>
      <c r="K2949" s="6">
        <v>0</v>
      </c>
      <c r="L2949" s="4">
        <v>0</v>
      </c>
      <c r="M2949" s="14" t="s">
        <v>19</v>
      </c>
      <c r="N2949" s="15">
        <f t="shared" si="69"/>
        <v>90</v>
      </c>
    </row>
    <row r="2950" spans="1:14">
      <c r="A2950" s="12">
        <v>2949</v>
      </c>
      <c r="B2950" s="3" t="s">
        <v>3936</v>
      </c>
      <c r="C2950" s="43" t="s">
        <v>3937</v>
      </c>
      <c r="D2950" s="43" t="s">
        <v>4335</v>
      </c>
      <c r="E2950" s="43" t="s">
        <v>757</v>
      </c>
      <c r="F2950" s="14">
        <v>354</v>
      </c>
      <c r="G2950" s="45" t="s">
        <v>18</v>
      </c>
      <c r="H2950" s="14">
        <v>9971</v>
      </c>
      <c r="I2950" s="6">
        <v>27</v>
      </c>
      <c r="J2950" s="6">
        <v>27</v>
      </c>
      <c r="K2950" s="6">
        <v>0</v>
      </c>
      <c r="L2950" s="4">
        <v>0</v>
      </c>
      <c r="M2950" s="14" t="s">
        <v>19</v>
      </c>
      <c r="N2950" s="15">
        <f t="shared" si="69"/>
        <v>54</v>
      </c>
    </row>
    <row r="2951" spans="1:14">
      <c r="A2951" s="12">
        <v>2950</v>
      </c>
      <c r="B2951" s="3" t="s">
        <v>3936</v>
      </c>
      <c r="C2951" s="43" t="s">
        <v>3937</v>
      </c>
      <c r="D2951" s="43" t="s">
        <v>4336</v>
      </c>
      <c r="E2951" s="43" t="s">
        <v>757</v>
      </c>
      <c r="F2951" s="14">
        <v>1180</v>
      </c>
      <c r="G2951" s="45" t="s">
        <v>18</v>
      </c>
      <c r="H2951" s="14">
        <v>9971</v>
      </c>
      <c r="I2951" s="6">
        <v>90</v>
      </c>
      <c r="J2951" s="6">
        <v>90</v>
      </c>
      <c r="K2951" s="6">
        <v>0</v>
      </c>
      <c r="L2951" s="4">
        <v>0</v>
      </c>
      <c r="M2951" s="14" t="s">
        <v>19</v>
      </c>
      <c r="N2951" s="15">
        <f t="shared" si="69"/>
        <v>180</v>
      </c>
    </row>
    <row r="2952" spans="1:14">
      <c r="A2952" s="12">
        <v>2951</v>
      </c>
      <c r="B2952" s="3" t="s">
        <v>3936</v>
      </c>
      <c r="C2952" s="43" t="s">
        <v>3937</v>
      </c>
      <c r="D2952" s="43" t="s">
        <v>4337</v>
      </c>
      <c r="E2952" s="43" t="s">
        <v>757</v>
      </c>
      <c r="F2952" s="14">
        <v>326.33999999999997</v>
      </c>
      <c r="G2952" s="45" t="s">
        <v>18</v>
      </c>
      <c r="H2952" s="14">
        <v>9971</v>
      </c>
      <c r="I2952" s="6">
        <v>24.89</v>
      </c>
      <c r="J2952" s="6">
        <v>24.89</v>
      </c>
      <c r="K2952" s="6">
        <v>0</v>
      </c>
      <c r="L2952" s="4">
        <v>0</v>
      </c>
      <c r="M2952" s="14" t="s">
        <v>19</v>
      </c>
      <c r="N2952" s="15">
        <f t="shared" si="69"/>
        <v>49.78</v>
      </c>
    </row>
    <row r="2953" spans="1:14">
      <c r="A2953" s="12">
        <v>2952</v>
      </c>
      <c r="B2953" s="3" t="s">
        <v>3936</v>
      </c>
      <c r="C2953" s="43" t="s">
        <v>3937</v>
      </c>
      <c r="D2953" s="43" t="s">
        <v>4338</v>
      </c>
      <c r="E2953" s="43" t="s">
        <v>757</v>
      </c>
      <c r="F2953" s="14">
        <v>271.60000000000002</v>
      </c>
      <c r="G2953" s="45" t="s">
        <v>18</v>
      </c>
      <c r="H2953" s="14">
        <v>9971</v>
      </c>
      <c r="I2953" s="6">
        <v>20.72</v>
      </c>
      <c r="J2953" s="6">
        <v>20.72</v>
      </c>
      <c r="K2953" s="6">
        <v>0</v>
      </c>
      <c r="L2953" s="4">
        <v>0</v>
      </c>
      <c r="M2953" s="14" t="s">
        <v>19</v>
      </c>
      <c r="N2953" s="15">
        <f t="shared" si="69"/>
        <v>41.44</v>
      </c>
    </row>
    <row r="2954" spans="1:14">
      <c r="A2954" s="12">
        <v>2953</v>
      </c>
      <c r="B2954" s="3" t="s">
        <v>3936</v>
      </c>
      <c r="C2954" s="43" t="s">
        <v>3937</v>
      </c>
      <c r="D2954" s="43" t="s">
        <v>4339</v>
      </c>
      <c r="E2954" s="43" t="s">
        <v>757</v>
      </c>
      <c r="F2954" s="14">
        <v>590</v>
      </c>
      <c r="G2954" s="45" t="s">
        <v>18</v>
      </c>
      <c r="H2954" s="14">
        <v>9971</v>
      </c>
      <c r="I2954" s="6">
        <v>45</v>
      </c>
      <c r="J2954" s="6">
        <v>45</v>
      </c>
      <c r="K2954" s="6">
        <v>0</v>
      </c>
      <c r="L2954" s="4">
        <v>0</v>
      </c>
      <c r="M2954" s="14" t="s">
        <v>19</v>
      </c>
      <c r="N2954" s="15">
        <f t="shared" si="69"/>
        <v>90</v>
      </c>
    </row>
    <row r="2955" spans="1:14">
      <c r="A2955" s="12">
        <v>2954</v>
      </c>
      <c r="B2955" s="3" t="s">
        <v>4340</v>
      </c>
      <c r="C2955" s="43" t="s">
        <v>4341</v>
      </c>
      <c r="D2955" s="43" t="s">
        <v>4342</v>
      </c>
      <c r="E2955" s="43" t="s">
        <v>447</v>
      </c>
      <c r="F2955" s="14">
        <v>826</v>
      </c>
      <c r="G2955" s="45" t="s">
        <v>18</v>
      </c>
      <c r="H2955" s="14">
        <v>998231</v>
      </c>
      <c r="I2955" s="6">
        <v>0</v>
      </c>
      <c r="J2955" s="6">
        <v>0</v>
      </c>
      <c r="K2955" s="6">
        <v>126</v>
      </c>
      <c r="L2955" s="4">
        <v>0</v>
      </c>
      <c r="M2955" s="14" t="s">
        <v>19</v>
      </c>
      <c r="N2955" s="15">
        <f t="shared" si="69"/>
        <v>126</v>
      </c>
    </row>
    <row r="2956" spans="1:14">
      <c r="A2956" s="12">
        <v>2955</v>
      </c>
      <c r="B2956" s="3" t="s">
        <v>4097</v>
      </c>
      <c r="C2956" s="43" t="s">
        <v>4098</v>
      </c>
      <c r="D2956" s="43" t="s">
        <v>4343</v>
      </c>
      <c r="E2956" s="43" t="s">
        <v>773</v>
      </c>
      <c r="F2956" s="14">
        <v>19993.919999999998</v>
      </c>
      <c r="G2956" s="45" t="s">
        <v>18</v>
      </c>
      <c r="H2956" s="12">
        <v>996713</v>
      </c>
      <c r="I2956" s="6">
        <v>0</v>
      </c>
      <c r="J2956" s="6">
        <v>0</v>
      </c>
      <c r="K2956" s="6">
        <v>3049.92</v>
      </c>
      <c r="L2956" s="4">
        <v>0</v>
      </c>
      <c r="M2956" s="14" t="s">
        <v>19</v>
      </c>
      <c r="N2956" s="15">
        <f t="shared" si="69"/>
        <v>3049.92</v>
      </c>
    </row>
    <row r="2957" spans="1:14">
      <c r="A2957" s="12">
        <v>2956</v>
      </c>
      <c r="B2957" s="3" t="s">
        <v>4097</v>
      </c>
      <c r="C2957" s="43" t="s">
        <v>4098</v>
      </c>
      <c r="D2957" s="43" t="s">
        <v>4344</v>
      </c>
      <c r="E2957" s="43" t="s">
        <v>773</v>
      </c>
      <c r="F2957" s="14">
        <v>141600</v>
      </c>
      <c r="G2957" s="45" t="s">
        <v>18</v>
      </c>
      <c r="H2957" s="12">
        <v>996713</v>
      </c>
      <c r="I2957" s="6">
        <v>0</v>
      </c>
      <c r="J2957" s="6">
        <v>0</v>
      </c>
      <c r="K2957" s="6">
        <v>21600</v>
      </c>
      <c r="L2957" s="4">
        <v>0</v>
      </c>
      <c r="M2957" s="14" t="s">
        <v>19</v>
      </c>
      <c r="N2957" s="15">
        <f t="shared" si="69"/>
        <v>21600</v>
      </c>
    </row>
    <row r="2958" spans="1:14">
      <c r="A2958" s="12">
        <v>2957</v>
      </c>
      <c r="B2958" s="3" t="s">
        <v>3921</v>
      </c>
      <c r="C2958" s="43" t="s">
        <v>3922</v>
      </c>
      <c r="D2958" s="43" t="s">
        <v>4345</v>
      </c>
      <c r="E2958" s="43" t="s">
        <v>1424</v>
      </c>
      <c r="F2958" s="14">
        <v>87668</v>
      </c>
      <c r="G2958" s="45" t="s">
        <v>18</v>
      </c>
      <c r="H2958" s="14">
        <v>996713</v>
      </c>
      <c r="I2958" s="6">
        <v>0</v>
      </c>
      <c r="J2958" s="6">
        <v>0</v>
      </c>
      <c r="K2958" s="6">
        <v>13373</v>
      </c>
      <c r="L2958" s="4">
        <v>0</v>
      </c>
      <c r="M2958" s="14" t="s">
        <v>19</v>
      </c>
      <c r="N2958" s="15">
        <f t="shared" si="69"/>
        <v>13373</v>
      </c>
    </row>
    <row r="2959" spans="1:14">
      <c r="A2959" s="12">
        <v>2958</v>
      </c>
      <c r="B2959" s="3" t="s">
        <v>3921</v>
      </c>
      <c r="C2959" s="43" t="s">
        <v>3922</v>
      </c>
      <c r="D2959" s="43" t="s">
        <v>4346</v>
      </c>
      <c r="E2959" s="43" t="s">
        <v>1196</v>
      </c>
      <c r="F2959" s="14">
        <v>72535</v>
      </c>
      <c r="G2959" s="45" t="s">
        <v>18</v>
      </c>
      <c r="H2959" s="14">
        <v>996713</v>
      </c>
      <c r="I2959" s="6">
        <v>0</v>
      </c>
      <c r="J2959" s="6">
        <v>0</v>
      </c>
      <c r="K2959" s="6">
        <v>11064.57</v>
      </c>
      <c r="L2959" s="4">
        <v>0</v>
      </c>
      <c r="M2959" s="14" t="s">
        <v>19</v>
      </c>
      <c r="N2959" s="15">
        <f t="shared" si="69"/>
        <v>11064.57</v>
      </c>
    </row>
    <row r="2960" spans="1:14">
      <c r="A2960" s="12">
        <v>2959</v>
      </c>
      <c r="B2960" s="3" t="s">
        <v>3921</v>
      </c>
      <c r="C2960" s="43" t="s">
        <v>3922</v>
      </c>
      <c r="D2960" s="43" t="s">
        <v>4347</v>
      </c>
      <c r="E2960" s="43" t="s">
        <v>447</v>
      </c>
      <c r="F2960" s="14">
        <v>169153</v>
      </c>
      <c r="G2960" s="45" t="s">
        <v>18</v>
      </c>
      <c r="H2960" s="14">
        <v>996713</v>
      </c>
      <c r="I2960" s="6">
        <v>0</v>
      </c>
      <c r="J2960" s="6">
        <v>0</v>
      </c>
      <c r="K2960" s="6">
        <v>25803</v>
      </c>
      <c r="L2960" s="4">
        <v>0</v>
      </c>
      <c r="M2960" s="14" t="s">
        <v>19</v>
      </c>
      <c r="N2960" s="15">
        <f t="shared" si="69"/>
        <v>25803</v>
      </c>
    </row>
    <row r="2961" spans="1:14">
      <c r="A2961" s="12">
        <v>2960</v>
      </c>
      <c r="B2961" s="3" t="s">
        <v>3921</v>
      </c>
      <c r="C2961" s="43" t="s">
        <v>3922</v>
      </c>
      <c r="D2961" s="43" t="s">
        <v>4348</v>
      </c>
      <c r="E2961" s="43" t="s">
        <v>761</v>
      </c>
      <c r="F2961" s="14">
        <v>416374</v>
      </c>
      <c r="G2961" s="45" t="s">
        <v>18</v>
      </c>
      <c r="H2961" s="14">
        <v>996713</v>
      </c>
      <c r="I2961" s="6">
        <v>0</v>
      </c>
      <c r="J2961" s="6">
        <v>0</v>
      </c>
      <c r="K2961" s="6">
        <v>19827.349999999999</v>
      </c>
      <c r="L2961" s="4">
        <v>0</v>
      </c>
      <c r="M2961" s="14" t="s">
        <v>19</v>
      </c>
      <c r="N2961" s="15">
        <f t="shared" si="69"/>
        <v>19827.349999999999</v>
      </c>
    </row>
    <row r="2962" spans="1:14">
      <c r="A2962" s="12">
        <v>2961</v>
      </c>
      <c r="B2962" s="3" t="s">
        <v>3921</v>
      </c>
      <c r="C2962" s="43" t="s">
        <v>3922</v>
      </c>
      <c r="D2962" s="43" t="s">
        <v>4349</v>
      </c>
      <c r="E2962" s="43" t="s">
        <v>1196</v>
      </c>
      <c r="F2962" s="14">
        <v>297125</v>
      </c>
      <c r="G2962" s="45" t="s">
        <v>18</v>
      </c>
      <c r="H2962" s="14">
        <v>996713</v>
      </c>
      <c r="I2962" s="6">
        <v>0</v>
      </c>
      <c r="J2962" s="6">
        <v>0</v>
      </c>
      <c r="K2962" s="6">
        <v>14148.8</v>
      </c>
      <c r="L2962" s="4">
        <v>0</v>
      </c>
      <c r="M2962" s="14" t="s">
        <v>19</v>
      </c>
      <c r="N2962" s="15">
        <f t="shared" si="69"/>
        <v>14148.8</v>
      </c>
    </row>
    <row r="2963" spans="1:14">
      <c r="A2963" s="12">
        <v>2962</v>
      </c>
      <c r="B2963" s="3" t="s">
        <v>3921</v>
      </c>
      <c r="C2963" s="43" t="s">
        <v>3922</v>
      </c>
      <c r="D2963" s="43" t="s">
        <v>4350</v>
      </c>
      <c r="E2963" s="43" t="s">
        <v>447</v>
      </c>
      <c r="F2963" s="14">
        <v>1520498</v>
      </c>
      <c r="G2963" s="45" t="s">
        <v>18</v>
      </c>
      <c r="H2963" s="14">
        <v>996713</v>
      </c>
      <c r="I2963" s="6">
        <v>0</v>
      </c>
      <c r="J2963" s="6">
        <v>0</v>
      </c>
      <c r="K2963" s="6">
        <v>72404.679999999993</v>
      </c>
      <c r="L2963" s="4">
        <v>0</v>
      </c>
      <c r="M2963" s="14" t="s">
        <v>19</v>
      </c>
      <c r="N2963" s="15">
        <f t="shared" si="69"/>
        <v>72404.679999999993</v>
      </c>
    </row>
    <row r="2964" spans="1:14">
      <c r="A2964" s="12">
        <v>2963</v>
      </c>
      <c r="B2964" s="3" t="s">
        <v>4351</v>
      </c>
      <c r="C2964" s="43" t="s">
        <v>4352</v>
      </c>
      <c r="D2964" s="43" t="s">
        <v>4353</v>
      </c>
      <c r="E2964" s="43" t="s">
        <v>1424</v>
      </c>
      <c r="F2964" s="14">
        <v>13500</v>
      </c>
      <c r="G2964" s="47" t="s">
        <v>156</v>
      </c>
      <c r="H2964" s="12" t="s">
        <v>4354</v>
      </c>
      <c r="I2964" s="6">
        <v>1029.6600000000001</v>
      </c>
      <c r="J2964" s="6">
        <v>1029.6600000000001</v>
      </c>
      <c r="K2964" s="6">
        <v>0</v>
      </c>
      <c r="L2964" s="4">
        <v>0</v>
      </c>
      <c r="M2964" s="14" t="s">
        <v>157</v>
      </c>
      <c r="N2964" s="15" t="s">
        <v>202</v>
      </c>
    </row>
    <row r="2965" spans="1:14">
      <c r="A2965" s="12">
        <v>2964</v>
      </c>
      <c r="B2965" s="3" t="s">
        <v>4012</v>
      </c>
      <c r="C2965" s="43" t="s">
        <v>4013</v>
      </c>
      <c r="D2965" s="43" t="s">
        <v>4355</v>
      </c>
      <c r="E2965" s="43" t="s">
        <v>1424</v>
      </c>
      <c r="F2965" s="14">
        <v>500</v>
      </c>
      <c r="G2965" s="45" t="s">
        <v>18</v>
      </c>
      <c r="H2965" s="3">
        <v>997139</v>
      </c>
      <c r="I2965" s="6">
        <v>38.130000000000003</v>
      </c>
      <c r="J2965" s="6">
        <v>38.130000000000003</v>
      </c>
      <c r="K2965" s="6">
        <v>0</v>
      </c>
      <c r="L2965" s="4">
        <v>0</v>
      </c>
      <c r="M2965" s="14" t="s">
        <v>19</v>
      </c>
      <c r="N2965" s="15">
        <f t="shared" ref="N2965:N2991" si="70">SUM(I2965:L2965)</f>
        <v>76.260000000000005</v>
      </c>
    </row>
    <row r="2966" spans="1:14">
      <c r="A2966" s="12">
        <v>2965</v>
      </c>
      <c r="B2966" s="3" t="s">
        <v>4012</v>
      </c>
      <c r="C2966" s="43" t="s">
        <v>4013</v>
      </c>
      <c r="D2966" s="43" t="s">
        <v>4356</v>
      </c>
      <c r="E2966" s="43" t="s">
        <v>444</v>
      </c>
      <c r="F2966" s="14">
        <v>500</v>
      </c>
      <c r="G2966" s="45" t="s">
        <v>18</v>
      </c>
      <c r="H2966" s="3">
        <v>997139</v>
      </c>
      <c r="I2966" s="6">
        <v>38.130000000000003</v>
      </c>
      <c r="J2966" s="6">
        <v>38.130000000000003</v>
      </c>
      <c r="K2966" s="6">
        <v>0</v>
      </c>
      <c r="L2966" s="4">
        <v>0</v>
      </c>
      <c r="M2966" s="14" t="s">
        <v>19</v>
      </c>
      <c r="N2966" s="15">
        <f t="shared" si="70"/>
        <v>76.260000000000005</v>
      </c>
    </row>
    <row r="2967" spans="1:14">
      <c r="A2967" s="12">
        <v>2966</v>
      </c>
      <c r="B2967" s="3" t="s">
        <v>4012</v>
      </c>
      <c r="C2967" s="43" t="s">
        <v>4013</v>
      </c>
      <c r="D2967" s="43" t="s">
        <v>4357</v>
      </c>
      <c r="E2967" s="43" t="s">
        <v>766</v>
      </c>
      <c r="F2967" s="14">
        <v>500</v>
      </c>
      <c r="G2967" s="45" t="s">
        <v>18</v>
      </c>
      <c r="H2967" s="3">
        <v>997139</v>
      </c>
      <c r="I2967" s="6">
        <v>38.130000000000003</v>
      </c>
      <c r="J2967" s="6">
        <v>38.130000000000003</v>
      </c>
      <c r="K2967" s="6">
        <v>0</v>
      </c>
      <c r="L2967" s="4">
        <v>0</v>
      </c>
      <c r="M2967" s="14" t="s">
        <v>19</v>
      </c>
      <c r="N2967" s="15">
        <f t="shared" si="70"/>
        <v>76.260000000000005</v>
      </c>
    </row>
    <row r="2968" spans="1:14">
      <c r="A2968" s="12">
        <v>2967</v>
      </c>
      <c r="B2968" s="3" t="s">
        <v>4003</v>
      </c>
      <c r="C2968" s="43" t="s">
        <v>4004</v>
      </c>
      <c r="D2968" s="43" t="s">
        <v>4358</v>
      </c>
      <c r="E2968" s="43" t="s">
        <v>30</v>
      </c>
      <c r="F2968" s="12">
        <v>48158</v>
      </c>
      <c r="G2968" s="47" t="s">
        <v>18</v>
      </c>
      <c r="H2968" s="14">
        <v>996812</v>
      </c>
      <c r="I2968" s="6">
        <v>3673.09</v>
      </c>
      <c r="J2968" s="6">
        <v>3673.09</v>
      </c>
      <c r="K2968" s="6">
        <v>0</v>
      </c>
      <c r="L2968" s="4">
        <v>0</v>
      </c>
      <c r="M2968" s="14" t="s">
        <v>19</v>
      </c>
      <c r="N2968" s="15">
        <f t="shared" si="70"/>
        <v>7346.18</v>
      </c>
    </row>
    <row r="2969" spans="1:14">
      <c r="A2969" s="12">
        <v>2968</v>
      </c>
      <c r="B2969" s="3" t="s">
        <v>656</v>
      </c>
      <c r="C2969" s="43" t="s">
        <v>657</v>
      </c>
      <c r="D2969" s="43" t="s">
        <v>4359</v>
      </c>
      <c r="E2969" s="43" t="s">
        <v>30</v>
      </c>
      <c r="F2969" s="12">
        <v>4183.83</v>
      </c>
      <c r="G2969" s="47" t="s">
        <v>18</v>
      </c>
      <c r="H2969" s="12" t="s">
        <v>847</v>
      </c>
      <c r="I2969" s="6">
        <v>0</v>
      </c>
      <c r="J2969" s="6">
        <v>0</v>
      </c>
      <c r="K2969" s="6">
        <v>638.21</v>
      </c>
      <c r="L2969" s="4">
        <v>0</v>
      </c>
      <c r="M2969" s="14" t="s">
        <v>19</v>
      </c>
      <c r="N2969" s="15">
        <f t="shared" si="70"/>
        <v>638.21</v>
      </c>
    </row>
    <row r="2970" spans="1:14">
      <c r="A2970" s="12">
        <v>2969</v>
      </c>
      <c r="B2970" s="3" t="s">
        <v>3931</v>
      </c>
      <c r="C2970" s="43" t="s">
        <v>3932</v>
      </c>
      <c r="D2970" s="43" t="s">
        <v>4360</v>
      </c>
      <c r="E2970" s="43" t="s">
        <v>451</v>
      </c>
      <c r="F2970" s="12">
        <v>11800</v>
      </c>
      <c r="G2970" s="47" t="s">
        <v>18</v>
      </c>
      <c r="H2970" s="12">
        <v>998349</v>
      </c>
      <c r="I2970" s="6">
        <v>0</v>
      </c>
      <c r="J2970" s="6">
        <v>0</v>
      </c>
      <c r="K2970" s="6">
        <v>1800</v>
      </c>
      <c r="L2970" s="4">
        <v>0</v>
      </c>
      <c r="M2970" s="14" t="s">
        <v>19</v>
      </c>
      <c r="N2970" s="15">
        <f t="shared" si="70"/>
        <v>1800</v>
      </c>
    </row>
    <row r="2971" spans="1:14">
      <c r="A2971" s="12">
        <v>2970</v>
      </c>
      <c r="B2971" s="3" t="s">
        <v>3982</v>
      </c>
      <c r="C2971" s="43" t="s">
        <v>3983</v>
      </c>
      <c r="D2971" s="43" t="s">
        <v>4361</v>
      </c>
      <c r="E2971" s="43" t="s">
        <v>1279</v>
      </c>
      <c r="F2971" s="12">
        <v>455551</v>
      </c>
      <c r="G2971" s="47" t="s">
        <v>18</v>
      </c>
      <c r="H2971" s="18" t="s">
        <v>3985</v>
      </c>
      <c r="I2971" s="6">
        <v>0</v>
      </c>
      <c r="J2971" s="6">
        <v>0</v>
      </c>
      <c r="K2971" s="6">
        <v>69491</v>
      </c>
      <c r="L2971" s="4">
        <v>0</v>
      </c>
      <c r="M2971" s="14" t="s">
        <v>19</v>
      </c>
      <c r="N2971" s="15">
        <f t="shared" si="70"/>
        <v>69491</v>
      </c>
    </row>
    <row r="2972" spans="1:14">
      <c r="A2972" s="12">
        <v>2971</v>
      </c>
      <c r="B2972" s="3" t="s">
        <v>3982</v>
      </c>
      <c r="C2972" s="43" t="s">
        <v>3983</v>
      </c>
      <c r="D2972" s="43" t="s">
        <v>4362</v>
      </c>
      <c r="E2972" s="43" t="s">
        <v>1279</v>
      </c>
      <c r="F2972" s="12">
        <v>158445</v>
      </c>
      <c r="G2972" s="47" t="s">
        <v>18</v>
      </c>
      <c r="H2972" s="18" t="s">
        <v>3985</v>
      </c>
      <c r="I2972" s="6">
        <v>0</v>
      </c>
      <c r="J2972" s="6">
        <v>0</v>
      </c>
      <c r="K2972" s="6">
        <v>7545</v>
      </c>
      <c r="L2972" s="4">
        <v>0</v>
      </c>
      <c r="M2972" s="14" t="s">
        <v>19</v>
      </c>
      <c r="N2972" s="15">
        <f t="shared" si="70"/>
        <v>7545</v>
      </c>
    </row>
    <row r="2973" spans="1:14">
      <c r="A2973" s="12">
        <v>2972</v>
      </c>
      <c r="B2973" s="3" t="s">
        <v>3982</v>
      </c>
      <c r="C2973" s="43" t="s">
        <v>3983</v>
      </c>
      <c r="D2973" s="43" t="s">
        <v>4363</v>
      </c>
      <c r="E2973" s="43" t="s">
        <v>42</v>
      </c>
      <c r="F2973" s="12">
        <v>172764</v>
      </c>
      <c r="G2973" s="47" t="s">
        <v>18</v>
      </c>
      <c r="H2973" s="18" t="s">
        <v>3985</v>
      </c>
      <c r="I2973" s="6">
        <v>0</v>
      </c>
      <c r="J2973" s="6">
        <v>0</v>
      </c>
      <c r="K2973" s="6">
        <v>26354</v>
      </c>
      <c r="L2973" s="4">
        <v>0</v>
      </c>
      <c r="M2973" s="14" t="s">
        <v>19</v>
      </c>
      <c r="N2973" s="15">
        <f t="shared" si="70"/>
        <v>26354</v>
      </c>
    </row>
    <row r="2974" spans="1:14">
      <c r="A2974" s="12">
        <v>2973</v>
      </c>
      <c r="B2974" s="3" t="s">
        <v>3982</v>
      </c>
      <c r="C2974" s="43" t="s">
        <v>3983</v>
      </c>
      <c r="D2974" s="43" t="s">
        <v>4364</v>
      </c>
      <c r="E2974" s="43" t="s">
        <v>444</v>
      </c>
      <c r="F2974" s="12">
        <v>20574</v>
      </c>
      <c r="G2974" s="47" t="s">
        <v>18</v>
      </c>
      <c r="H2974" s="18" t="s">
        <v>3985</v>
      </c>
      <c r="I2974" s="6">
        <v>0</v>
      </c>
      <c r="J2974" s="6">
        <v>0</v>
      </c>
      <c r="K2974" s="6">
        <v>3138</v>
      </c>
      <c r="L2974" s="4">
        <v>0</v>
      </c>
      <c r="M2974" s="14" t="s">
        <v>19</v>
      </c>
      <c r="N2974" s="15">
        <f t="shared" si="70"/>
        <v>3138</v>
      </c>
    </row>
    <row r="2975" spans="1:14">
      <c r="A2975" s="12">
        <v>2974</v>
      </c>
      <c r="B2975" s="3" t="s">
        <v>3982</v>
      </c>
      <c r="C2975" s="43" t="s">
        <v>3983</v>
      </c>
      <c r="D2975" s="43" t="s">
        <v>4365</v>
      </c>
      <c r="E2975" s="43" t="s">
        <v>921</v>
      </c>
      <c r="F2975" s="12">
        <v>28910</v>
      </c>
      <c r="G2975" s="47" t="s">
        <v>18</v>
      </c>
      <c r="H2975" s="18" t="s">
        <v>3985</v>
      </c>
      <c r="I2975" s="6">
        <v>0</v>
      </c>
      <c r="J2975" s="6">
        <v>0</v>
      </c>
      <c r="K2975" s="6">
        <v>4410</v>
      </c>
      <c r="L2975" s="4">
        <v>0</v>
      </c>
      <c r="M2975" s="14" t="s">
        <v>19</v>
      </c>
      <c r="N2975" s="15">
        <f t="shared" si="70"/>
        <v>4410</v>
      </c>
    </row>
    <row r="2976" spans="1:14">
      <c r="A2976" s="12">
        <v>2975</v>
      </c>
      <c r="B2976" s="3" t="s">
        <v>3982</v>
      </c>
      <c r="C2976" s="43" t="s">
        <v>3983</v>
      </c>
      <c r="D2976" s="43" t="s">
        <v>4366</v>
      </c>
      <c r="E2976" s="43" t="s">
        <v>46</v>
      </c>
      <c r="F2976" s="12">
        <v>76110</v>
      </c>
      <c r="G2976" s="47" t="s">
        <v>18</v>
      </c>
      <c r="H2976" s="18" t="s">
        <v>3985</v>
      </c>
      <c r="I2976" s="6">
        <v>0</v>
      </c>
      <c r="J2976" s="6">
        <v>0</v>
      </c>
      <c r="K2976" s="6">
        <v>11610</v>
      </c>
      <c r="L2976" s="4">
        <v>0</v>
      </c>
      <c r="M2976" s="14" t="s">
        <v>19</v>
      </c>
      <c r="N2976" s="15">
        <f t="shared" si="70"/>
        <v>11610</v>
      </c>
    </row>
    <row r="2977" spans="1:14">
      <c r="A2977" s="12">
        <v>2976</v>
      </c>
      <c r="B2977" s="3" t="s">
        <v>3982</v>
      </c>
      <c r="C2977" s="43" t="s">
        <v>3983</v>
      </c>
      <c r="D2977" s="43" t="s">
        <v>4367</v>
      </c>
      <c r="E2977" s="43" t="s">
        <v>30</v>
      </c>
      <c r="F2977" s="12">
        <v>26550</v>
      </c>
      <c r="G2977" s="47" t="s">
        <v>18</v>
      </c>
      <c r="H2977" s="18" t="s">
        <v>3985</v>
      </c>
      <c r="I2977" s="6">
        <v>0</v>
      </c>
      <c r="J2977" s="6">
        <v>0</v>
      </c>
      <c r="K2977" s="6">
        <v>4050</v>
      </c>
      <c r="L2977" s="4">
        <v>0</v>
      </c>
      <c r="M2977" s="14" t="s">
        <v>19</v>
      </c>
      <c r="N2977" s="15">
        <f t="shared" si="70"/>
        <v>4050</v>
      </c>
    </row>
    <row r="2978" spans="1:14">
      <c r="A2978" s="12">
        <v>2977</v>
      </c>
      <c r="B2978" s="3" t="s">
        <v>4368</v>
      </c>
      <c r="C2978" s="43" t="s">
        <v>4369</v>
      </c>
      <c r="D2978" s="43" t="s">
        <v>4370</v>
      </c>
      <c r="E2978" s="43" t="s">
        <v>1055</v>
      </c>
      <c r="F2978" s="12">
        <v>1477350</v>
      </c>
      <c r="G2978" s="47" t="s">
        <v>24</v>
      </c>
      <c r="H2978" s="12">
        <v>10063090</v>
      </c>
      <c r="I2978" s="6">
        <v>0</v>
      </c>
      <c r="J2978" s="6">
        <v>0</v>
      </c>
      <c r="K2978" s="6">
        <v>70350</v>
      </c>
      <c r="L2978" s="4">
        <v>0</v>
      </c>
      <c r="M2978" s="14" t="s">
        <v>19</v>
      </c>
      <c r="N2978" s="15">
        <f t="shared" si="70"/>
        <v>70350</v>
      </c>
    </row>
    <row r="2979" spans="1:14">
      <c r="A2979" s="12">
        <v>2978</v>
      </c>
      <c r="B2979" s="3" t="s">
        <v>4368</v>
      </c>
      <c r="C2979" s="43" t="s">
        <v>4369</v>
      </c>
      <c r="D2979" s="43" t="s">
        <v>4371</v>
      </c>
      <c r="E2979" s="43" t="s">
        <v>1055</v>
      </c>
      <c r="F2979" s="12">
        <v>1477350</v>
      </c>
      <c r="G2979" s="47" t="s">
        <v>24</v>
      </c>
      <c r="H2979" s="12">
        <v>10063090</v>
      </c>
      <c r="I2979" s="6">
        <v>0</v>
      </c>
      <c r="J2979" s="6">
        <v>0</v>
      </c>
      <c r="K2979" s="6">
        <v>70350</v>
      </c>
      <c r="L2979" s="4">
        <v>0</v>
      </c>
      <c r="M2979" s="14" t="s">
        <v>19</v>
      </c>
      <c r="N2979" s="15">
        <f t="shared" si="70"/>
        <v>70350</v>
      </c>
    </row>
    <row r="2980" spans="1:14">
      <c r="A2980" s="12">
        <v>2979</v>
      </c>
      <c r="B2980" s="3" t="s">
        <v>4368</v>
      </c>
      <c r="C2980" s="43" t="s">
        <v>4369</v>
      </c>
      <c r="D2980" s="43" t="s">
        <v>4372</v>
      </c>
      <c r="E2980" s="43" t="s">
        <v>1055</v>
      </c>
      <c r="F2980" s="12">
        <v>1477350</v>
      </c>
      <c r="G2980" s="47" t="s">
        <v>24</v>
      </c>
      <c r="H2980" s="12">
        <v>10063090</v>
      </c>
      <c r="I2980" s="6">
        <v>0</v>
      </c>
      <c r="J2980" s="6">
        <v>0</v>
      </c>
      <c r="K2980" s="6">
        <v>70350</v>
      </c>
      <c r="L2980" s="4">
        <v>0</v>
      </c>
      <c r="M2980" s="14" t="s">
        <v>19</v>
      </c>
      <c r="N2980" s="15">
        <f t="shared" si="70"/>
        <v>70350</v>
      </c>
    </row>
    <row r="2981" spans="1:14">
      <c r="A2981" s="12">
        <v>2980</v>
      </c>
      <c r="B2981" s="3" t="s">
        <v>4368</v>
      </c>
      <c r="C2981" s="43" t="s">
        <v>4369</v>
      </c>
      <c r="D2981" s="43" t="s">
        <v>4373</v>
      </c>
      <c r="E2981" s="43" t="s">
        <v>1055</v>
      </c>
      <c r="F2981" s="12">
        <v>1477350</v>
      </c>
      <c r="G2981" s="47" t="s">
        <v>24</v>
      </c>
      <c r="H2981" s="12">
        <v>10063090</v>
      </c>
      <c r="I2981" s="6">
        <v>0</v>
      </c>
      <c r="J2981" s="6">
        <v>0</v>
      </c>
      <c r="K2981" s="6">
        <v>70350</v>
      </c>
      <c r="L2981" s="4">
        <v>0</v>
      </c>
      <c r="M2981" s="14" t="s">
        <v>19</v>
      </c>
      <c r="N2981" s="15">
        <f t="shared" si="70"/>
        <v>70350</v>
      </c>
    </row>
    <row r="2982" spans="1:14">
      <c r="A2982" s="12">
        <v>2981</v>
      </c>
      <c r="B2982" s="3" t="s">
        <v>4368</v>
      </c>
      <c r="C2982" s="43" t="s">
        <v>4369</v>
      </c>
      <c r="D2982" s="43" t="s">
        <v>4374</v>
      </c>
      <c r="E2982" s="43" t="s">
        <v>23</v>
      </c>
      <c r="F2982" s="12">
        <v>1477350</v>
      </c>
      <c r="G2982" s="47" t="s">
        <v>24</v>
      </c>
      <c r="H2982" s="12">
        <v>10063090</v>
      </c>
      <c r="I2982" s="6">
        <v>0</v>
      </c>
      <c r="J2982" s="6">
        <v>0</v>
      </c>
      <c r="K2982" s="6">
        <v>70350</v>
      </c>
      <c r="L2982" s="4">
        <v>0</v>
      </c>
      <c r="M2982" s="14" t="s">
        <v>19</v>
      </c>
      <c r="N2982" s="15">
        <f t="shared" si="70"/>
        <v>70350</v>
      </c>
    </row>
    <row r="2983" spans="1:14">
      <c r="A2983" s="12">
        <v>2982</v>
      </c>
      <c r="B2983" s="3" t="s">
        <v>4368</v>
      </c>
      <c r="C2983" s="43" t="s">
        <v>4369</v>
      </c>
      <c r="D2983" s="43" t="s">
        <v>4375</v>
      </c>
      <c r="E2983" s="43" t="s">
        <v>23</v>
      </c>
      <c r="F2983" s="12">
        <v>1477350</v>
      </c>
      <c r="G2983" s="47" t="s">
        <v>24</v>
      </c>
      <c r="H2983" s="12">
        <v>10063090</v>
      </c>
      <c r="I2983" s="6">
        <v>0</v>
      </c>
      <c r="J2983" s="6">
        <v>0</v>
      </c>
      <c r="K2983" s="6">
        <v>70350</v>
      </c>
      <c r="L2983" s="4">
        <v>0</v>
      </c>
      <c r="M2983" s="14" t="s">
        <v>19</v>
      </c>
      <c r="N2983" s="15">
        <f t="shared" si="70"/>
        <v>70350</v>
      </c>
    </row>
    <row r="2984" spans="1:14">
      <c r="A2984" s="12">
        <v>2983</v>
      </c>
      <c r="B2984" s="3" t="s">
        <v>4368</v>
      </c>
      <c r="C2984" s="43" t="s">
        <v>4369</v>
      </c>
      <c r="D2984" s="43" t="s">
        <v>4376</v>
      </c>
      <c r="E2984" s="43" t="s">
        <v>754</v>
      </c>
      <c r="F2984" s="12">
        <v>1477350</v>
      </c>
      <c r="G2984" s="47" t="s">
        <v>24</v>
      </c>
      <c r="H2984" s="12">
        <v>10063090</v>
      </c>
      <c r="I2984" s="6">
        <v>0</v>
      </c>
      <c r="J2984" s="6">
        <v>0</v>
      </c>
      <c r="K2984" s="6">
        <v>70350</v>
      </c>
      <c r="L2984" s="4">
        <v>0</v>
      </c>
      <c r="M2984" s="14" t="s">
        <v>19</v>
      </c>
      <c r="N2984" s="15">
        <f t="shared" si="70"/>
        <v>70350</v>
      </c>
    </row>
    <row r="2985" spans="1:14">
      <c r="A2985" s="12">
        <v>2984</v>
      </c>
      <c r="B2985" s="3" t="s">
        <v>4368</v>
      </c>
      <c r="C2985" s="43" t="s">
        <v>4369</v>
      </c>
      <c r="D2985" s="43" t="s">
        <v>4377</v>
      </c>
      <c r="E2985" s="43" t="s">
        <v>447</v>
      </c>
      <c r="F2985" s="12">
        <v>1477350</v>
      </c>
      <c r="G2985" s="47" t="s">
        <v>24</v>
      </c>
      <c r="H2985" s="12">
        <v>10063090</v>
      </c>
      <c r="I2985" s="6">
        <v>0</v>
      </c>
      <c r="J2985" s="6">
        <v>0</v>
      </c>
      <c r="K2985" s="6">
        <v>70350</v>
      </c>
      <c r="L2985" s="4">
        <v>0</v>
      </c>
      <c r="M2985" s="14" t="s">
        <v>19</v>
      </c>
      <c r="N2985" s="15">
        <f t="shared" si="70"/>
        <v>70350</v>
      </c>
    </row>
    <row r="2986" spans="1:14">
      <c r="A2986" s="12">
        <v>2985</v>
      </c>
      <c r="B2986" s="3" t="s">
        <v>4368</v>
      </c>
      <c r="C2986" s="43" t="s">
        <v>4369</v>
      </c>
      <c r="D2986" s="43" t="s">
        <v>4378</v>
      </c>
      <c r="E2986" s="43" t="s">
        <v>447</v>
      </c>
      <c r="F2986" s="12">
        <v>1477350</v>
      </c>
      <c r="G2986" s="47" t="s">
        <v>24</v>
      </c>
      <c r="H2986" s="12">
        <v>10063090</v>
      </c>
      <c r="I2986" s="6">
        <v>0</v>
      </c>
      <c r="J2986" s="6">
        <v>0</v>
      </c>
      <c r="K2986" s="6">
        <v>70350</v>
      </c>
      <c r="L2986" s="4">
        <v>0</v>
      </c>
      <c r="M2986" s="14" t="s">
        <v>19</v>
      </c>
      <c r="N2986" s="15">
        <f t="shared" si="70"/>
        <v>70350</v>
      </c>
    </row>
    <row r="2987" spans="1:14">
      <c r="A2987" s="12">
        <v>2986</v>
      </c>
      <c r="B2987" s="3" t="s">
        <v>4368</v>
      </c>
      <c r="C2987" s="43" t="s">
        <v>4369</v>
      </c>
      <c r="D2987" s="43" t="s">
        <v>4379</v>
      </c>
      <c r="E2987" s="43" t="s">
        <v>447</v>
      </c>
      <c r="F2987" s="12">
        <v>1477350</v>
      </c>
      <c r="G2987" s="47" t="s">
        <v>24</v>
      </c>
      <c r="H2987" s="12">
        <v>10063090</v>
      </c>
      <c r="I2987" s="6">
        <v>0</v>
      </c>
      <c r="J2987" s="6">
        <v>0</v>
      </c>
      <c r="K2987" s="6">
        <v>70350</v>
      </c>
      <c r="L2987" s="4">
        <v>0</v>
      </c>
      <c r="M2987" s="14" t="s">
        <v>19</v>
      </c>
      <c r="N2987" s="15">
        <f t="shared" si="70"/>
        <v>70350</v>
      </c>
    </row>
    <row r="2988" spans="1:14">
      <c r="A2988" s="12">
        <v>2987</v>
      </c>
      <c r="B2988" s="3" t="s">
        <v>4368</v>
      </c>
      <c r="C2988" s="43" t="s">
        <v>4369</v>
      </c>
      <c r="D2988" s="43" t="s">
        <v>4380</v>
      </c>
      <c r="E2988" s="43" t="s">
        <v>447</v>
      </c>
      <c r="F2988" s="12">
        <v>1477350</v>
      </c>
      <c r="G2988" s="47" t="s">
        <v>24</v>
      </c>
      <c r="H2988" s="12">
        <v>10063090</v>
      </c>
      <c r="I2988" s="6">
        <v>0</v>
      </c>
      <c r="J2988" s="6">
        <v>0</v>
      </c>
      <c r="K2988" s="6">
        <v>70350</v>
      </c>
      <c r="L2988" s="4">
        <v>0</v>
      </c>
      <c r="M2988" s="14" t="s">
        <v>19</v>
      </c>
      <c r="N2988" s="15">
        <f t="shared" si="70"/>
        <v>70350</v>
      </c>
    </row>
    <row r="2989" spans="1:14">
      <c r="A2989" s="12">
        <v>2988</v>
      </c>
      <c r="B2989" s="3" t="s">
        <v>4368</v>
      </c>
      <c r="C2989" s="43" t="s">
        <v>4369</v>
      </c>
      <c r="D2989" s="43" t="s">
        <v>4381</v>
      </c>
      <c r="E2989" s="43" t="s">
        <v>4382</v>
      </c>
      <c r="F2989" s="12">
        <v>1231125</v>
      </c>
      <c r="G2989" s="47" t="s">
        <v>24</v>
      </c>
      <c r="H2989" s="12">
        <v>10063090</v>
      </c>
      <c r="I2989" s="6">
        <v>0</v>
      </c>
      <c r="J2989" s="6">
        <v>0</v>
      </c>
      <c r="K2989" s="6">
        <v>58625</v>
      </c>
      <c r="L2989" s="4">
        <v>0</v>
      </c>
      <c r="M2989" s="14" t="s">
        <v>19</v>
      </c>
      <c r="N2989" s="15">
        <f t="shared" si="70"/>
        <v>58625</v>
      </c>
    </row>
    <row r="2990" spans="1:14">
      <c r="A2990" s="12">
        <v>2989</v>
      </c>
      <c r="B2990" s="3" t="s">
        <v>4368</v>
      </c>
      <c r="C2990" s="43" t="s">
        <v>4369</v>
      </c>
      <c r="D2990" s="43" t="s">
        <v>4383</v>
      </c>
      <c r="E2990" s="43" t="s">
        <v>757</v>
      </c>
      <c r="F2990" s="12">
        <v>1512525</v>
      </c>
      <c r="G2990" s="47" t="s">
        <v>24</v>
      </c>
      <c r="H2990" s="12">
        <v>10063090</v>
      </c>
      <c r="I2990" s="6">
        <v>0</v>
      </c>
      <c r="J2990" s="6">
        <v>0</v>
      </c>
      <c r="K2990" s="6">
        <v>72025</v>
      </c>
      <c r="L2990" s="4">
        <v>0</v>
      </c>
      <c r="M2990" s="14" t="s">
        <v>19</v>
      </c>
      <c r="N2990" s="15">
        <f t="shared" si="70"/>
        <v>72025</v>
      </c>
    </row>
    <row r="2991" spans="1:14">
      <c r="A2991" s="12">
        <v>2990</v>
      </c>
      <c r="B2991" s="3" t="s">
        <v>4384</v>
      </c>
      <c r="C2991" s="43" t="s">
        <v>4385</v>
      </c>
      <c r="D2991" s="43" t="s">
        <v>4386</v>
      </c>
      <c r="E2991" s="43" t="s">
        <v>438</v>
      </c>
      <c r="F2991" s="12">
        <v>23326.240000000002</v>
      </c>
      <c r="G2991" s="47" t="s">
        <v>18</v>
      </c>
      <c r="H2991" s="12">
        <v>999799</v>
      </c>
      <c r="I2991" s="6">
        <v>1779.12</v>
      </c>
      <c r="J2991" s="6">
        <v>1779.12</v>
      </c>
      <c r="K2991" s="6">
        <v>0</v>
      </c>
      <c r="L2991" s="4">
        <v>0</v>
      </c>
      <c r="M2991" s="14" t="s">
        <v>19</v>
      </c>
      <c r="N2991" s="15">
        <f t="shared" si="70"/>
        <v>3558.24</v>
      </c>
    </row>
    <row r="2992" spans="1:14">
      <c r="A2992" s="12">
        <v>2991</v>
      </c>
      <c r="B2992" s="3" t="s">
        <v>4387</v>
      </c>
      <c r="C2992" s="43" t="s">
        <v>4388</v>
      </c>
      <c r="D2992" s="43" t="s">
        <v>4389</v>
      </c>
      <c r="E2992" s="43" t="s">
        <v>38</v>
      </c>
      <c r="F2992" s="12">
        <v>1888</v>
      </c>
      <c r="G2992" s="47" t="s">
        <v>18</v>
      </c>
      <c r="H2992" s="36">
        <v>9997</v>
      </c>
      <c r="I2992" s="6">
        <v>0</v>
      </c>
      <c r="J2992" s="6">
        <v>0</v>
      </c>
      <c r="K2992" s="6">
        <v>288</v>
      </c>
      <c r="L2992" s="4">
        <v>0</v>
      </c>
      <c r="M2992" s="14" t="s">
        <v>157</v>
      </c>
      <c r="N2992" s="15" t="s">
        <v>202</v>
      </c>
    </row>
    <row r="2993" spans="1:14">
      <c r="A2993" s="12">
        <v>2992</v>
      </c>
      <c r="B2993" s="3" t="s">
        <v>4390</v>
      </c>
      <c r="C2993" s="43" t="s">
        <v>4391</v>
      </c>
      <c r="D2993" s="43" t="s">
        <v>4392</v>
      </c>
      <c r="E2993" s="43" t="s">
        <v>754</v>
      </c>
      <c r="F2993" s="12">
        <v>4361113.26</v>
      </c>
      <c r="G2993" s="47" t="s">
        <v>18</v>
      </c>
      <c r="H2993" s="12">
        <v>996521</v>
      </c>
      <c r="I2993" s="6">
        <v>0</v>
      </c>
      <c r="J2993" s="6">
        <v>0</v>
      </c>
      <c r="K2993" s="6">
        <v>207672.06</v>
      </c>
      <c r="L2993" s="4">
        <v>0</v>
      </c>
      <c r="M2993" s="14" t="s">
        <v>19</v>
      </c>
      <c r="N2993" s="15">
        <f t="shared" ref="N2993:N2999" si="71">SUM(I2993:L2993)</f>
        <v>207672.06</v>
      </c>
    </row>
    <row r="2994" spans="1:14">
      <c r="A2994" s="12">
        <v>2993</v>
      </c>
      <c r="B2994" s="3" t="s">
        <v>4390</v>
      </c>
      <c r="C2994" s="43" t="s">
        <v>4391</v>
      </c>
      <c r="D2994" s="43" t="s">
        <v>4393</v>
      </c>
      <c r="E2994" s="43" t="s">
        <v>754</v>
      </c>
      <c r="F2994" s="12">
        <v>359311.8</v>
      </c>
      <c r="G2994" s="47" t="s">
        <v>18</v>
      </c>
      <c r="H2994" s="12">
        <v>996799</v>
      </c>
      <c r="I2994" s="6">
        <v>0</v>
      </c>
      <c r="J2994" s="6">
        <v>0</v>
      </c>
      <c r="K2994" s="6">
        <v>54810.28</v>
      </c>
      <c r="L2994" s="4">
        <v>0</v>
      </c>
      <c r="M2994" s="14" t="s">
        <v>19</v>
      </c>
      <c r="N2994" s="15">
        <f t="shared" si="71"/>
        <v>54810.28</v>
      </c>
    </row>
    <row r="2995" spans="1:14">
      <c r="A2995" s="12">
        <v>2994</v>
      </c>
      <c r="B2995" s="3" t="s">
        <v>4063</v>
      </c>
      <c r="C2995" s="43" t="s">
        <v>4064</v>
      </c>
      <c r="D2995" s="43" t="s">
        <v>4394</v>
      </c>
      <c r="E2995" s="43" t="s">
        <v>1196</v>
      </c>
      <c r="F2995" s="12">
        <v>20119</v>
      </c>
      <c r="G2995" s="47" t="s">
        <v>4395</v>
      </c>
      <c r="H2995" s="14">
        <v>39231090</v>
      </c>
      <c r="I2995" s="6">
        <v>0</v>
      </c>
      <c r="J2995" s="6">
        <v>0</v>
      </c>
      <c r="K2995" s="6">
        <v>3069</v>
      </c>
      <c r="L2995" s="4">
        <v>0</v>
      </c>
      <c r="M2995" s="14" t="s">
        <v>19</v>
      </c>
      <c r="N2995" s="15">
        <f t="shared" si="71"/>
        <v>3069</v>
      </c>
    </row>
    <row r="2996" spans="1:14">
      <c r="A2996" s="12">
        <v>2995</v>
      </c>
      <c r="B2996" s="3" t="s">
        <v>4396</v>
      </c>
      <c r="C2996" s="43" t="s">
        <v>4397</v>
      </c>
      <c r="D2996" s="43" t="s">
        <v>4398</v>
      </c>
      <c r="E2996" s="43" t="s">
        <v>23</v>
      </c>
      <c r="F2996" s="12">
        <v>38619</v>
      </c>
      <c r="G2996" s="47" t="s">
        <v>24</v>
      </c>
      <c r="H2996" s="12">
        <v>630419</v>
      </c>
      <c r="I2996" s="6">
        <v>0</v>
      </c>
      <c r="J2996" s="6">
        <v>0</v>
      </c>
      <c r="K2996" s="6">
        <v>1839</v>
      </c>
      <c r="L2996" s="4">
        <v>0</v>
      </c>
      <c r="M2996" s="14" t="s">
        <v>19</v>
      </c>
      <c r="N2996" s="15">
        <f t="shared" si="71"/>
        <v>1839</v>
      </c>
    </row>
    <row r="2997" spans="1:14">
      <c r="A2997" s="12">
        <v>2996</v>
      </c>
      <c r="B2997" s="3" t="s">
        <v>4399</v>
      </c>
      <c r="C2997" s="43" t="s">
        <v>4400</v>
      </c>
      <c r="D2997" s="43" t="s">
        <v>4401</v>
      </c>
      <c r="E2997" s="43" t="s">
        <v>4402</v>
      </c>
      <c r="F2997" s="12">
        <v>4224</v>
      </c>
      <c r="G2997" s="47" t="s">
        <v>156</v>
      </c>
      <c r="H2997" s="12">
        <v>84832000</v>
      </c>
      <c r="I2997" s="6">
        <v>322.2</v>
      </c>
      <c r="J2997" s="6">
        <v>322.2</v>
      </c>
      <c r="K2997" s="6">
        <v>0</v>
      </c>
      <c r="L2997" s="4">
        <v>0</v>
      </c>
      <c r="M2997" s="14" t="s">
        <v>157</v>
      </c>
      <c r="N2997" s="15" t="s">
        <v>202</v>
      </c>
    </row>
    <row r="2998" spans="1:14">
      <c r="A2998" s="12">
        <v>2997</v>
      </c>
      <c r="B2998" s="3" t="s">
        <v>1824</v>
      </c>
      <c r="C2998" s="43" t="s">
        <v>1825</v>
      </c>
      <c r="D2998" s="43" t="s">
        <v>4403</v>
      </c>
      <c r="E2998" s="43" t="s">
        <v>30</v>
      </c>
      <c r="F2998" s="12">
        <v>8577.61</v>
      </c>
      <c r="G2998" s="47" t="s">
        <v>18</v>
      </c>
      <c r="H2998" s="16" t="s">
        <v>847</v>
      </c>
      <c r="I2998" s="6">
        <v>0</v>
      </c>
      <c r="J2998" s="6">
        <v>0</v>
      </c>
      <c r="K2998" s="6">
        <v>1308.43</v>
      </c>
      <c r="L2998" s="4">
        <v>0</v>
      </c>
      <c r="M2998" s="14" t="s">
        <v>19</v>
      </c>
      <c r="N2998" s="15">
        <f t="shared" si="71"/>
        <v>1308.43</v>
      </c>
    </row>
    <row r="2999" spans="1:14">
      <c r="A2999" s="12">
        <v>2998</v>
      </c>
      <c r="B2999" s="3" t="s">
        <v>1824</v>
      </c>
      <c r="C2999" s="43" t="s">
        <v>1825</v>
      </c>
      <c r="D2999" s="43" t="s">
        <v>4404</v>
      </c>
      <c r="E2999" s="43" t="s">
        <v>30</v>
      </c>
      <c r="F2999" s="12">
        <v>7532.91</v>
      </c>
      <c r="G2999" s="47" t="s">
        <v>18</v>
      </c>
      <c r="H2999" s="16" t="s">
        <v>847</v>
      </c>
      <c r="I2999" s="6">
        <v>0</v>
      </c>
      <c r="J2999" s="6">
        <v>0</v>
      </c>
      <c r="K2999" s="6">
        <v>1149.08</v>
      </c>
      <c r="L2999" s="4">
        <v>0</v>
      </c>
      <c r="M2999" s="14" t="s">
        <v>19</v>
      </c>
      <c r="N2999" s="15">
        <f t="shared" si="71"/>
        <v>1149.08</v>
      </c>
    </row>
    <row r="3000" spans="1:14">
      <c r="A3000" s="12">
        <v>2999</v>
      </c>
      <c r="B3000" s="3" t="s">
        <v>4405</v>
      </c>
      <c r="C3000" s="43" t="s">
        <v>4406</v>
      </c>
      <c r="D3000" s="43" t="s">
        <v>4407</v>
      </c>
      <c r="E3000" s="43" t="s">
        <v>447</v>
      </c>
      <c r="F3000" s="12">
        <v>7683</v>
      </c>
      <c r="G3000" s="47" t="s">
        <v>156</v>
      </c>
      <c r="H3000" s="12">
        <v>9966</v>
      </c>
      <c r="I3000" s="6">
        <v>611.39</v>
      </c>
      <c r="J3000" s="6">
        <v>611.39</v>
      </c>
      <c r="K3000" s="6">
        <v>0</v>
      </c>
      <c r="L3000" s="4">
        <v>0</v>
      </c>
      <c r="M3000" s="14" t="s">
        <v>157</v>
      </c>
      <c r="N3000" s="15" t="s">
        <v>202</v>
      </c>
    </row>
    <row r="3001" spans="1:14">
      <c r="A3001" s="12">
        <v>3000</v>
      </c>
      <c r="B3001" s="3" t="s">
        <v>1104</v>
      </c>
      <c r="C3001" s="43" t="s">
        <v>1105</v>
      </c>
      <c r="D3001" s="43" t="s">
        <v>4408</v>
      </c>
      <c r="E3001" s="43" t="s">
        <v>749</v>
      </c>
      <c r="F3001" s="12">
        <v>2212.5</v>
      </c>
      <c r="G3001" s="47" t="s">
        <v>18</v>
      </c>
      <c r="H3001" s="18" t="s">
        <v>992</v>
      </c>
      <c r="I3001" s="6">
        <v>168.75</v>
      </c>
      <c r="J3001" s="6">
        <v>168.75</v>
      </c>
      <c r="K3001" s="6">
        <v>0</v>
      </c>
      <c r="L3001" s="4">
        <v>0</v>
      </c>
      <c r="M3001" s="14" t="s">
        <v>19</v>
      </c>
      <c r="N3001" s="15">
        <f t="shared" ref="N3001:N3044" si="72">SUM(I3001:L3001)</f>
        <v>337.5</v>
      </c>
    </row>
    <row r="3002" spans="1:14">
      <c r="A3002" s="12">
        <v>3001</v>
      </c>
      <c r="B3002" s="3" t="s">
        <v>4274</v>
      </c>
      <c r="C3002" s="43" t="s">
        <v>4275</v>
      </c>
      <c r="D3002" s="43" t="s">
        <v>4409</v>
      </c>
      <c r="E3002" s="43" t="s">
        <v>34</v>
      </c>
      <c r="F3002" s="12">
        <v>1770</v>
      </c>
      <c r="G3002" s="47" t="s">
        <v>18</v>
      </c>
      <c r="H3002" s="12">
        <v>998349</v>
      </c>
      <c r="I3002" s="6">
        <v>135</v>
      </c>
      <c r="J3002" s="6">
        <v>135</v>
      </c>
      <c r="K3002" s="6">
        <v>0</v>
      </c>
      <c r="L3002" s="4">
        <v>0</v>
      </c>
      <c r="M3002" s="14" t="s">
        <v>19</v>
      </c>
      <c r="N3002" s="15">
        <f t="shared" si="72"/>
        <v>270</v>
      </c>
    </row>
    <row r="3003" spans="1:14">
      <c r="A3003" s="12">
        <v>3002</v>
      </c>
      <c r="B3003" s="3" t="s">
        <v>4274</v>
      </c>
      <c r="C3003" s="43" t="s">
        <v>4275</v>
      </c>
      <c r="D3003" s="43" t="s">
        <v>4410</v>
      </c>
      <c r="E3003" s="43" t="s">
        <v>34</v>
      </c>
      <c r="F3003" s="12">
        <v>112</v>
      </c>
      <c r="G3003" s="47" t="s">
        <v>18</v>
      </c>
      <c r="H3003" s="12">
        <v>998349</v>
      </c>
      <c r="I3003" s="6">
        <v>8.5399999999999991</v>
      </c>
      <c r="J3003" s="6">
        <v>8.5399999999999991</v>
      </c>
      <c r="K3003" s="6">
        <v>0</v>
      </c>
      <c r="L3003" s="4">
        <v>0</v>
      </c>
      <c r="M3003" s="14" t="s">
        <v>19</v>
      </c>
      <c r="N3003" s="15">
        <f t="shared" si="72"/>
        <v>17.079999999999998</v>
      </c>
    </row>
    <row r="3004" spans="1:14">
      <c r="A3004" s="12">
        <v>3003</v>
      </c>
      <c r="B3004" s="3" t="s">
        <v>4274</v>
      </c>
      <c r="C3004" s="43" t="s">
        <v>4275</v>
      </c>
      <c r="D3004" s="43" t="s">
        <v>4411</v>
      </c>
      <c r="E3004" s="43" t="s">
        <v>34</v>
      </c>
      <c r="F3004" s="12">
        <v>29640</v>
      </c>
      <c r="G3004" s="47" t="s">
        <v>18</v>
      </c>
      <c r="H3004" s="12">
        <v>998349</v>
      </c>
      <c r="I3004" s="6">
        <v>2260.6799999999998</v>
      </c>
      <c r="J3004" s="6">
        <v>2260.6799999999998</v>
      </c>
      <c r="K3004" s="6">
        <v>0</v>
      </c>
      <c r="L3004" s="4">
        <v>0</v>
      </c>
      <c r="M3004" s="14" t="s">
        <v>19</v>
      </c>
      <c r="N3004" s="15">
        <f t="shared" si="72"/>
        <v>4521.3599999999997</v>
      </c>
    </row>
    <row r="3005" spans="1:14">
      <c r="A3005" s="12">
        <v>3004</v>
      </c>
      <c r="B3005" s="3" t="s">
        <v>4274</v>
      </c>
      <c r="C3005" s="43" t="s">
        <v>4275</v>
      </c>
      <c r="D3005" s="43" t="s">
        <v>4412</v>
      </c>
      <c r="E3005" s="43" t="s">
        <v>34</v>
      </c>
      <c r="F3005" s="12">
        <v>11208.99</v>
      </c>
      <c r="G3005" s="47" t="s">
        <v>18</v>
      </c>
      <c r="H3005" s="12">
        <v>998349</v>
      </c>
      <c r="I3005" s="6">
        <v>854.92</v>
      </c>
      <c r="J3005" s="6">
        <v>854.92</v>
      </c>
      <c r="K3005" s="6">
        <v>0</v>
      </c>
      <c r="L3005" s="4">
        <v>0</v>
      </c>
      <c r="M3005" s="14" t="s">
        <v>19</v>
      </c>
      <c r="N3005" s="15">
        <f t="shared" si="72"/>
        <v>1709.84</v>
      </c>
    </row>
    <row r="3006" spans="1:14">
      <c r="A3006" s="12">
        <v>3005</v>
      </c>
      <c r="B3006" s="3" t="s">
        <v>4274</v>
      </c>
      <c r="C3006" s="43" t="s">
        <v>4275</v>
      </c>
      <c r="D3006" s="43" t="s">
        <v>4413</v>
      </c>
      <c r="E3006" s="43" t="s">
        <v>1055</v>
      </c>
      <c r="F3006" s="12">
        <v>67490</v>
      </c>
      <c r="G3006" s="47" t="s">
        <v>18</v>
      </c>
      <c r="H3006" s="12">
        <v>998349</v>
      </c>
      <c r="I3006" s="6">
        <v>5147.54</v>
      </c>
      <c r="J3006" s="6">
        <v>5147.54</v>
      </c>
      <c r="K3006" s="6">
        <v>0</v>
      </c>
      <c r="L3006" s="4">
        <v>0</v>
      </c>
      <c r="M3006" s="14" t="s">
        <v>19</v>
      </c>
      <c r="N3006" s="15">
        <f t="shared" si="72"/>
        <v>10295.08</v>
      </c>
    </row>
    <row r="3007" spans="1:14">
      <c r="A3007" s="12">
        <v>3006</v>
      </c>
      <c r="B3007" s="3" t="s">
        <v>4274</v>
      </c>
      <c r="C3007" s="43" t="s">
        <v>4275</v>
      </c>
      <c r="D3007" s="43" t="s">
        <v>4414</v>
      </c>
      <c r="E3007" s="43" t="s">
        <v>23</v>
      </c>
      <c r="F3007" s="12">
        <v>2213</v>
      </c>
      <c r="G3007" s="47" t="s">
        <v>18</v>
      </c>
      <c r="H3007" s="12">
        <v>998349</v>
      </c>
      <c r="I3007" s="6">
        <v>168.79</v>
      </c>
      <c r="J3007" s="6">
        <v>168.79</v>
      </c>
      <c r="K3007" s="6">
        <v>0</v>
      </c>
      <c r="L3007" s="4">
        <v>0</v>
      </c>
      <c r="M3007" s="14" t="s">
        <v>19</v>
      </c>
      <c r="N3007" s="15">
        <f t="shared" si="72"/>
        <v>337.58</v>
      </c>
    </row>
    <row r="3008" spans="1:14">
      <c r="A3008" s="12">
        <v>3007</v>
      </c>
      <c r="B3008" s="3" t="s">
        <v>4274</v>
      </c>
      <c r="C3008" s="43" t="s">
        <v>4275</v>
      </c>
      <c r="D3008" s="43" t="s">
        <v>4415</v>
      </c>
      <c r="E3008" s="43" t="s">
        <v>757</v>
      </c>
      <c r="F3008" s="12">
        <v>21771</v>
      </c>
      <c r="G3008" s="47" t="s">
        <v>18</v>
      </c>
      <c r="H3008" s="12">
        <v>998349</v>
      </c>
      <c r="I3008" s="6">
        <v>1660.5</v>
      </c>
      <c r="J3008" s="6">
        <v>1660.5</v>
      </c>
      <c r="K3008" s="6">
        <v>0</v>
      </c>
      <c r="L3008" s="4">
        <v>0</v>
      </c>
      <c r="M3008" s="14" t="s">
        <v>19</v>
      </c>
      <c r="N3008" s="15">
        <f t="shared" si="72"/>
        <v>3321</v>
      </c>
    </row>
    <row r="3009" spans="1:14">
      <c r="A3009" s="12">
        <v>3008</v>
      </c>
      <c r="B3009" s="3" t="s">
        <v>4274</v>
      </c>
      <c r="C3009" s="43" t="s">
        <v>4275</v>
      </c>
      <c r="D3009" s="43" t="s">
        <v>4416</v>
      </c>
      <c r="E3009" s="43" t="s">
        <v>773</v>
      </c>
      <c r="F3009" s="12">
        <v>1770</v>
      </c>
      <c r="G3009" s="47" t="s">
        <v>18</v>
      </c>
      <c r="H3009" s="12">
        <v>998349</v>
      </c>
      <c r="I3009" s="6">
        <v>135</v>
      </c>
      <c r="J3009" s="6">
        <v>135</v>
      </c>
      <c r="K3009" s="6">
        <v>0</v>
      </c>
      <c r="L3009" s="4">
        <v>0</v>
      </c>
      <c r="M3009" s="14" t="s">
        <v>19</v>
      </c>
      <c r="N3009" s="15">
        <f t="shared" si="72"/>
        <v>270</v>
      </c>
    </row>
    <row r="3010" spans="1:14">
      <c r="A3010" s="12">
        <v>3009</v>
      </c>
      <c r="B3010" s="3" t="s">
        <v>4274</v>
      </c>
      <c r="C3010" s="43" t="s">
        <v>4275</v>
      </c>
      <c r="D3010" s="43" t="s">
        <v>4417</v>
      </c>
      <c r="E3010" s="43" t="s">
        <v>773</v>
      </c>
      <c r="F3010" s="12">
        <v>9440</v>
      </c>
      <c r="G3010" s="47" t="s">
        <v>18</v>
      </c>
      <c r="H3010" s="12">
        <v>998349</v>
      </c>
      <c r="I3010" s="6">
        <v>720</v>
      </c>
      <c r="J3010" s="6">
        <v>720</v>
      </c>
      <c r="K3010" s="6">
        <v>0</v>
      </c>
      <c r="L3010" s="4">
        <v>0</v>
      </c>
      <c r="M3010" s="14" t="s">
        <v>19</v>
      </c>
      <c r="N3010" s="15">
        <f t="shared" si="72"/>
        <v>1440</v>
      </c>
    </row>
    <row r="3011" spans="1:14">
      <c r="A3011" s="12">
        <v>3010</v>
      </c>
      <c r="B3011" s="3" t="s">
        <v>1525</v>
      </c>
      <c r="C3011" s="43" t="s">
        <v>1526</v>
      </c>
      <c r="D3011" s="43" t="s">
        <v>4418</v>
      </c>
      <c r="E3011" s="43" t="s">
        <v>46</v>
      </c>
      <c r="F3011" s="12">
        <v>306663</v>
      </c>
      <c r="G3011" s="47" t="s">
        <v>18</v>
      </c>
      <c r="H3011" s="12">
        <v>996521</v>
      </c>
      <c r="I3011" s="6">
        <v>7301.5</v>
      </c>
      <c r="J3011" s="6">
        <v>7301.5</v>
      </c>
      <c r="K3011" s="6">
        <v>0</v>
      </c>
      <c r="L3011" s="4">
        <v>0</v>
      </c>
      <c r="M3011" s="14" t="s">
        <v>19</v>
      </c>
      <c r="N3011" s="15">
        <f t="shared" si="72"/>
        <v>14603</v>
      </c>
    </row>
    <row r="3012" spans="1:14">
      <c r="A3012" s="12">
        <v>3011</v>
      </c>
      <c r="B3012" s="3" t="s">
        <v>1525</v>
      </c>
      <c r="C3012" s="43" t="s">
        <v>1526</v>
      </c>
      <c r="D3012" s="43" t="s">
        <v>4419</v>
      </c>
      <c r="E3012" s="43" t="s">
        <v>46</v>
      </c>
      <c r="F3012" s="12">
        <v>258455.4</v>
      </c>
      <c r="G3012" s="47" t="s">
        <v>18</v>
      </c>
      <c r="H3012" s="12">
        <v>996521</v>
      </c>
      <c r="I3012" s="6">
        <v>6153.7</v>
      </c>
      <c r="J3012" s="6">
        <v>6153.7</v>
      </c>
      <c r="K3012" s="6">
        <v>0</v>
      </c>
      <c r="L3012" s="4">
        <v>0</v>
      </c>
      <c r="M3012" s="14" t="s">
        <v>19</v>
      </c>
      <c r="N3012" s="15">
        <f t="shared" si="72"/>
        <v>12307.4</v>
      </c>
    </row>
    <row r="3013" spans="1:14">
      <c r="A3013" s="12">
        <v>3012</v>
      </c>
      <c r="B3013" s="3" t="s">
        <v>1525</v>
      </c>
      <c r="C3013" s="43" t="s">
        <v>1526</v>
      </c>
      <c r="D3013" s="43" t="s">
        <v>4420</v>
      </c>
      <c r="E3013" s="43" t="s">
        <v>46</v>
      </c>
      <c r="F3013" s="12">
        <v>417572.5</v>
      </c>
      <c r="G3013" s="47" t="s">
        <v>18</v>
      </c>
      <c r="H3013" s="12">
        <v>996521</v>
      </c>
      <c r="I3013" s="6">
        <v>15384.25</v>
      </c>
      <c r="J3013" s="6">
        <v>15384.25</v>
      </c>
      <c r="K3013" s="6">
        <v>0</v>
      </c>
      <c r="L3013" s="4">
        <v>0</v>
      </c>
      <c r="M3013" s="14" t="s">
        <v>19</v>
      </c>
      <c r="N3013" s="15">
        <f t="shared" si="72"/>
        <v>30768.5</v>
      </c>
    </row>
    <row r="3014" spans="1:14">
      <c r="A3014" s="12">
        <v>3013</v>
      </c>
      <c r="B3014" s="3" t="s">
        <v>1525</v>
      </c>
      <c r="C3014" s="43" t="s">
        <v>1526</v>
      </c>
      <c r="D3014" s="43" t="s">
        <v>4421</v>
      </c>
      <c r="E3014" s="43" t="s">
        <v>447</v>
      </c>
      <c r="F3014" s="12">
        <v>22540</v>
      </c>
      <c r="G3014" s="47" t="s">
        <v>18</v>
      </c>
      <c r="H3014" s="12">
        <v>996521</v>
      </c>
      <c r="I3014" s="6">
        <v>270</v>
      </c>
      <c r="J3014" s="6">
        <v>270</v>
      </c>
      <c r="K3014" s="6">
        <v>0</v>
      </c>
      <c r="L3014" s="4">
        <v>0</v>
      </c>
      <c r="M3014" s="14" t="s">
        <v>19</v>
      </c>
      <c r="N3014" s="15">
        <f t="shared" si="72"/>
        <v>540</v>
      </c>
    </row>
    <row r="3015" spans="1:14">
      <c r="A3015" s="12">
        <v>3014</v>
      </c>
      <c r="B3015" s="3" t="s">
        <v>1525</v>
      </c>
      <c r="C3015" s="43" t="s">
        <v>1526</v>
      </c>
      <c r="D3015" s="43" t="s">
        <v>4422</v>
      </c>
      <c r="E3015" s="43" t="s">
        <v>447</v>
      </c>
      <c r="F3015" s="12">
        <v>39089.339999999997</v>
      </c>
      <c r="G3015" s="47" t="s">
        <v>18</v>
      </c>
      <c r="H3015" s="12">
        <v>996521</v>
      </c>
      <c r="I3015" s="6">
        <v>2981.39</v>
      </c>
      <c r="J3015" s="6">
        <v>2981.39</v>
      </c>
      <c r="K3015" s="6">
        <v>0</v>
      </c>
      <c r="L3015" s="4">
        <v>0</v>
      </c>
      <c r="M3015" s="14" t="s">
        <v>19</v>
      </c>
      <c r="N3015" s="15">
        <f t="shared" si="72"/>
        <v>5962.78</v>
      </c>
    </row>
    <row r="3016" spans="1:14">
      <c r="A3016" s="12">
        <v>3015</v>
      </c>
      <c r="B3016" s="3" t="s">
        <v>1525</v>
      </c>
      <c r="C3016" s="43" t="s">
        <v>1526</v>
      </c>
      <c r="D3016" s="43" t="s">
        <v>4423</v>
      </c>
      <c r="E3016" s="43" t="s">
        <v>447</v>
      </c>
      <c r="F3016" s="12">
        <v>11270</v>
      </c>
      <c r="G3016" s="47" t="s">
        <v>18</v>
      </c>
      <c r="H3016" s="12">
        <v>996521</v>
      </c>
      <c r="I3016" s="6">
        <v>135</v>
      </c>
      <c r="J3016" s="6">
        <v>135</v>
      </c>
      <c r="K3016" s="6">
        <v>0</v>
      </c>
      <c r="L3016" s="4">
        <v>0</v>
      </c>
      <c r="M3016" s="14" t="s">
        <v>19</v>
      </c>
      <c r="N3016" s="15">
        <f t="shared" si="72"/>
        <v>270</v>
      </c>
    </row>
    <row r="3017" spans="1:14">
      <c r="A3017" s="12">
        <v>3016</v>
      </c>
      <c r="B3017" s="3" t="s">
        <v>1525</v>
      </c>
      <c r="C3017" s="43" t="s">
        <v>1526</v>
      </c>
      <c r="D3017" s="43" t="s">
        <v>4424</v>
      </c>
      <c r="E3017" s="43" t="s">
        <v>447</v>
      </c>
      <c r="F3017" s="12">
        <v>29828.22</v>
      </c>
      <c r="G3017" s="47" t="s">
        <v>18</v>
      </c>
      <c r="H3017" s="12">
        <v>996521</v>
      </c>
      <c r="I3017" s="6">
        <v>2275.0300000000002</v>
      </c>
      <c r="J3017" s="6">
        <v>2275.0300000000002</v>
      </c>
      <c r="K3017" s="6">
        <v>0</v>
      </c>
      <c r="L3017" s="4">
        <v>0</v>
      </c>
      <c r="M3017" s="14" t="s">
        <v>19</v>
      </c>
      <c r="N3017" s="15">
        <f t="shared" si="72"/>
        <v>4550.0600000000004</v>
      </c>
    </row>
    <row r="3018" spans="1:14">
      <c r="A3018" s="12">
        <v>3017</v>
      </c>
      <c r="B3018" s="3" t="s">
        <v>1525</v>
      </c>
      <c r="C3018" s="43" t="s">
        <v>1526</v>
      </c>
      <c r="D3018" s="43" t="s">
        <v>4425</v>
      </c>
      <c r="E3018" s="43" t="s">
        <v>447</v>
      </c>
      <c r="F3018" s="12">
        <v>52548.04</v>
      </c>
      <c r="G3018" s="47" t="s">
        <v>18</v>
      </c>
      <c r="H3018" s="12">
        <v>996521</v>
      </c>
      <c r="I3018" s="6">
        <v>3600.99</v>
      </c>
      <c r="J3018" s="6">
        <v>3600.99</v>
      </c>
      <c r="K3018" s="6">
        <v>0</v>
      </c>
      <c r="L3018" s="4">
        <v>0</v>
      </c>
      <c r="M3018" s="14" t="s">
        <v>19</v>
      </c>
      <c r="N3018" s="15">
        <f t="shared" si="72"/>
        <v>7201.98</v>
      </c>
    </row>
    <row r="3019" spans="1:14">
      <c r="A3019" s="12">
        <v>3018</v>
      </c>
      <c r="B3019" s="3" t="s">
        <v>1525</v>
      </c>
      <c r="C3019" s="43" t="s">
        <v>1526</v>
      </c>
      <c r="D3019" s="43" t="s">
        <v>4426</v>
      </c>
      <c r="E3019" s="43" t="s">
        <v>447</v>
      </c>
      <c r="F3019" s="12">
        <v>32580.84</v>
      </c>
      <c r="G3019" s="47" t="s">
        <v>18</v>
      </c>
      <c r="H3019" s="12">
        <v>996521</v>
      </c>
      <c r="I3019" s="6">
        <v>921.42</v>
      </c>
      <c r="J3019" s="6">
        <v>921.42</v>
      </c>
      <c r="K3019" s="6">
        <v>0</v>
      </c>
      <c r="L3019" s="4">
        <v>0</v>
      </c>
      <c r="M3019" s="14" t="s">
        <v>19</v>
      </c>
      <c r="N3019" s="15">
        <f t="shared" si="72"/>
        <v>1842.84</v>
      </c>
    </row>
    <row r="3020" spans="1:14">
      <c r="A3020" s="12">
        <v>3019</v>
      </c>
      <c r="B3020" s="3" t="s">
        <v>917</v>
      </c>
      <c r="C3020" s="43" t="s">
        <v>918</v>
      </c>
      <c r="D3020" s="43" t="s">
        <v>4427</v>
      </c>
      <c r="E3020" s="43" t="s">
        <v>725</v>
      </c>
      <c r="F3020" s="12">
        <v>920.4</v>
      </c>
      <c r="G3020" s="47" t="s">
        <v>18</v>
      </c>
      <c r="H3020" s="12">
        <v>998399</v>
      </c>
      <c r="I3020" s="6">
        <v>70.2</v>
      </c>
      <c r="J3020" s="6">
        <v>70.2</v>
      </c>
      <c r="K3020" s="6">
        <v>0</v>
      </c>
      <c r="L3020" s="4">
        <v>0</v>
      </c>
      <c r="M3020" s="14" t="s">
        <v>19</v>
      </c>
      <c r="N3020" s="15">
        <f t="shared" si="72"/>
        <v>140.4</v>
      </c>
    </row>
    <row r="3021" spans="1:14">
      <c r="A3021" s="12">
        <v>3020</v>
      </c>
      <c r="B3021" s="3" t="s">
        <v>917</v>
      </c>
      <c r="C3021" s="43" t="s">
        <v>918</v>
      </c>
      <c r="D3021" s="43" t="s">
        <v>4428</v>
      </c>
      <c r="E3021" s="43" t="s">
        <v>725</v>
      </c>
      <c r="F3021" s="12">
        <v>1840.8</v>
      </c>
      <c r="G3021" s="47" t="s">
        <v>18</v>
      </c>
      <c r="H3021" s="12">
        <v>998399</v>
      </c>
      <c r="I3021" s="6">
        <v>140.4</v>
      </c>
      <c r="J3021" s="6">
        <v>140.4</v>
      </c>
      <c r="K3021" s="6">
        <v>0</v>
      </c>
      <c r="L3021" s="4">
        <v>0</v>
      </c>
      <c r="M3021" s="14" t="s">
        <v>19</v>
      </c>
      <c r="N3021" s="15">
        <f t="shared" si="72"/>
        <v>280.8</v>
      </c>
    </row>
    <row r="3022" spans="1:14">
      <c r="A3022" s="12">
        <v>3021</v>
      </c>
      <c r="B3022" s="3" t="s">
        <v>917</v>
      </c>
      <c r="C3022" s="43" t="s">
        <v>918</v>
      </c>
      <c r="D3022" s="43" t="s">
        <v>4429</v>
      </c>
      <c r="E3022" s="43" t="s">
        <v>725</v>
      </c>
      <c r="F3022" s="12">
        <v>1911.6</v>
      </c>
      <c r="G3022" s="47" t="s">
        <v>18</v>
      </c>
      <c r="H3022" s="12">
        <v>998399</v>
      </c>
      <c r="I3022" s="6">
        <v>145.80000000000001</v>
      </c>
      <c r="J3022" s="6">
        <v>145.80000000000001</v>
      </c>
      <c r="K3022" s="6">
        <v>0</v>
      </c>
      <c r="L3022" s="4">
        <v>0</v>
      </c>
      <c r="M3022" s="14" t="s">
        <v>19</v>
      </c>
      <c r="N3022" s="15">
        <f t="shared" si="72"/>
        <v>291.60000000000002</v>
      </c>
    </row>
    <row r="3023" spans="1:14">
      <c r="A3023" s="12">
        <v>3022</v>
      </c>
      <c r="B3023" s="3" t="s">
        <v>4430</v>
      </c>
      <c r="C3023" s="43" t="s">
        <v>4431</v>
      </c>
      <c r="D3023" s="43" t="s">
        <v>4432</v>
      </c>
      <c r="E3023" s="43" t="s">
        <v>766</v>
      </c>
      <c r="F3023" s="12">
        <v>8130.2</v>
      </c>
      <c r="G3023" s="47" t="s">
        <v>18</v>
      </c>
      <c r="H3023" s="12">
        <v>998346</v>
      </c>
      <c r="I3023" s="6">
        <v>0</v>
      </c>
      <c r="J3023" s="6">
        <v>0</v>
      </c>
      <c r="K3023" s="6">
        <v>1240.2</v>
      </c>
      <c r="L3023" s="4">
        <v>0</v>
      </c>
      <c r="M3023" s="14" t="s">
        <v>19</v>
      </c>
      <c r="N3023" s="15">
        <f t="shared" si="72"/>
        <v>1240.2</v>
      </c>
    </row>
    <row r="3024" spans="1:14">
      <c r="A3024" s="12">
        <v>3023</v>
      </c>
      <c r="B3024" s="3" t="s">
        <v>3979</v>
      </c>
      <c r="C3024" s="43" t="s">
        <v>3980</v>
      </c>
      <c r="D3024" s="43" t="s">
        <v>4433</v>
      </c>
      <c r="E3024" s="43" t="s">
        <v>1513</v>
      </c>
      <c r="F3024" s="12">
        <v>20650</v>
      </c>
      <c r="G3024" s="47" t="s">
        <v>18</v>
      </c>
      <c r="H3024" s="12">
        <v>9983</v>
      </c>
      <c r="I3024" s="6">
        <v>1575</v>
      </c>
      <c r="J3024" s="6">
        <v>1575</v>
      </c>
      <c r="K3024" s="6">
        <v>0</v>
      </c>
      <c r="L3024" s="4">
        <v>0</v>
      </c>
      <c r="M3024" s="14" t="s">
        <v>19</v>
      </c>
      <c r="N3024" s="15">
        <f t="shared" si="72"/>
        <v>3150</v>
      </c>
    </row>
    <row r="3025" spans="1:14">
      <c r="A3025" s="12">
        <v>3024</v>
      </c>
      <c r="B3025" s="3" t="s">
        <v>3979</v>
      </c>
      <c r="C3025" s="43" t="s">
        <v>3980</v>
      </c>
      <c r="D3025" s="43" t="s">
        <v>4434</v>
      </c>
      <c r="E3025" s="43" t="s">
        <v>1196</v>
      </c>
      <c r="F3025" s="12">
        <v>25960</v>
      </c>
      <c r="G3025" s="47" t="s">
        <v>18</v>
      </c>
      <c r="H3025" s="12">
        <v>9983</v>
      </c>
      <c r="I3025" s="6">
        <v>1980</v>
      </c>
      <c r="J3025" s="6">
        <v>1980</v>
      </c>
      <c r="K3025" s="6">
        <v>0</v>
      </c>
      <c r="L3025" s="4">
        <v>0</v>
      </c>
      <c r="M3025" s="14" t="s">
        <v>19</v>
      </c>
      <c r="N3025" s="15">
        <f t="shared" si="72"/>
        <v>3960</v>
      </c>
    </row>
    <row r="3026" spans="1:14">
      <c r="A3026" s="12">
        <v>3025</v>
      </c>
      <c r="B3026" s="3" t="s">
        <v>3979</v>
      </c>
      <c r="C3026" s="43" t="s">
        <v>3980</v>
      </c>
      <c r="D3026" s="43" t="s">
        <v>4435</v>
      </c>
      <c r="E3026" s="43" t="s">
        <v>754</v>
      </c>
      <c r="F3026" s="12">
        <v>6490</v>
      </c>
      <c r="G3026" s="47" t="s">
        <v>18</v>
      </c>
      <c r="H3026" s="12">
        <v>9983</v>
      </c>
      <c r="I3026" s="6">
        <v>495</v>
      </c>
      <c r="J3026" s="6">
        <v>495</v>
      </c>
      <c r="K3026" s="6">
        <v>0</v>
      </c>
      <c r="L3026" s="4">
        <v>0</v>
      </c>
      <c r="M3026" s="14" t="s">
        <v>19</v>
      </c>
      <c r="N3026" s="15">
        <f t="shared" si="72"/>
        <v>990</v>
      </c>
    </row>
    <row r="3027" spans="1:14">
      <c r="A3027" s="12">
        <v>3026</v>
      </c>
      <c r="B3027" s="3" t="s">
        <v>3979</v>
      </c>
      <c r="C3027" s="43" t="s">
        <v>3980</v>
      </c>
      <c r="D3027" s="43" t="s">
        <v>4436</v>
      </c>
      <c r="E3027" s="43" t="s">
        <v>754</v>
      </c>
      <c r="F3027" s="12">
        <v>6490</v>
      </c>
      <c r="G3027" s="47" t="s">
        <v>18</v>
      </c>
      <c r="H3027" s="12">
        <v>9983</v>
      </c>
      <c r="I3027" s="6">
        <v>495</v>
      </c>
      <c r="J3027" s="6">
        <v>495</v>
      </c>
      <c r="K3027" s="6">
        <v>0</v>
      </c>
      <c r="L3027" s="4">
        <v>0</v>
      </c>
      <c r="M3027" s="14" t="s">
        <v>19</v>
      </c>
      <c r="N3027" s="15">
        <f t="shared" si="72"/>
        <v>990</v>
      </c>
    </row>
    <row r="3028" spans="1:14">
      <c r="A3028" s="12">
        <v>3027</v>
      </c>
      <c r="B3028" s="3" t="s">
        <v>3979</v>
      </c>
      <c r="C3028" s="43" t="s">
        <v>3980</v>
      </c>
      <c r="D3028" s="43" t="s">
        <v>4437</v>
      </c>
      <c r="E3028" s="43" t="s">
        <v>30</v>
      </c>
      <c r="F3028" s="12">
        <v>4720</v>
      </c>
      <c r="G3028" s="47" t="s">
        <v>18</v>
      </c>
      <c r="H3028" s="12">
        <v>9983</v>
      </c>
      <c r="I3028" s="6">
        <v>360</v>
      </c>
      <c r="J3028" s="6">
        <v>360</v>
      </c>
      <c r="K3028" s="6">
        <v>0</v>
      </c>
      <c r="L3028" s="4">
        <v>0</v>
      </c>
      <c r="M3028" s="14" t="s">
        <v>19</v>
      </c>
      <c r="N3028" s="15">
        <f t="shared" si="72"/>
        <v>720</v>
      </c>
    </row>
    <row r="3029" spans="1:14">
      <c r="A3029" s="12">
        <v>3028</v>
      </c>
      <c r="B3029" s="3" t="s">
        <v>4084</v>
      </c>
      <c r="C3029" s="43" t="s">
        <v>4085</v>
      </c>
      <c r="D3029" s="43" t="s">
        <v>4438</v>
      </c>
      <c r="E3029" s="43" t="s">
        <v>4402</v>
      </c>
      <c r="F3029" s="12">
        <v>237934</v>
      </c>
      <c r="G3029" s="47" t="s">
        <v>18</v>
      </c>
      <c r="H3029" s="14">
        <v>997157</v>
      </c>
      <c r="I3029" s="6">
        <v>0</v>
      </c>
      <c r="J3029" s="6">
        <v>0</v>
      </c>
      <c r="K3029" s="6">
        <v>339.96</v>
      </c>
      <c r="L3029" s="4">
        <v>0</v>
      </c>
      <c r="M3029" s="14" t="s">
        <v>19</v>
      </c>
      <c r="N3029" s="15">
        <f t="shared" si="72"/>
        <v>339.96</v>
      </c>
    </row>
    <row r="3030" spans="1:14">
      <c r="A3030" s="12">
        <v>3029</v>
      </c>
      <c r="B3030" s="3" t="s">
        <v>3967</v>
      </c>
      <c r="C3030" s="43" t="s">
        <v>3968</v>
      </c>
      <c r="D3030" s="43" t="s">
        <v>4439</v>
      </c>
      <c r="E3030" s="43" t="s">
        <v>46</v>
      </c>
      <c r="F3030" s="12">
        <v>2832</v>
      </c>
      <c r="G3030" s="47" t="s">
        <v>18</v>
      </c>
      <c r="H3030" s="14">
        <v>998346</v>
      </c>
      <c r="I3030" s="6">
        <v>0</v>
      </c>
      <c r="J3030" s="6">
        <v>0</v>
      </c>
      <c r="K3030" s="6">
        <v>432</v>
      </c>
      <c r="L3030" s="4">
        <v>0</v>
      </c>
      <c r="M3030" s="14" t="s">
        <v>19</v>
      </c>
      <c r="N3030" s="15">
        <f t="shared" si="72"/>
        <v>432</v>
      </c>
    </row>
    <row r="3031" spans="1:14">
      <c r="A3031" s="12">
        <v>3030</v>
      </c>
      <c r="B3031" s="3" t="s">
        <v>3967</v>
      </c>
      <c r="C3031" s="43" t="s">
        <v>3968</v>
      </c>
      <c r="D3031" s="43" t="s">
        <v>4440</v>
      </c>
      <c r="E3031" s="43" t="s">
        <v>46</v>
      </c>
      <c r="F3031" s="12">
        <v>3658</v>
      </c>
      <c r="G3031" s="47" t="s">
        <v>18</v>
      </c>
      <c r="H3031" s="14">
        <v>998346</v>
      </c>
      <c r="I3031" s="6">
        <v>0</v>
      </c>
      <c r="J3031" s="6">
        <v>0</v>
      </c>
      <c r="K3031" s="6">
        <v>558</v>
      </c>
      <c r="L3031" s="4">
        <v>0</v>
      </c>
      <c r="M3031" s="14" t="s">
        <v>19</v>
      </c>
      <c r="N3031" s="15">
        <f t="shared" si="72"/>
        <v>558</v>
      </c>
    </row>
    <row r="3032" spans="1:14">
      <c r="A3032" s="12">
        <v>3031</v>
      </c>
      <c r="B3032" s="3" t="s">
        <v>3967</v>
      </c>
      <c r="C3032" s="43" t="s">
        <v>3968</v>
      </c>
      <c r="D3032" s="43" t="s">
        <v>4441</v>
      </c>
      <c r="E3032" s="43" t="s">
        <v>757</v>
      </c>
      <c r="F3032" s="12">
        <v>2065</v>
      </c>
      <c r="G3032" s="47" t="s">
        <v>18</v>
      </c>
      <c r="H3032" s="14">
        <v>998346</v>
      </c>
      <c r="I3032" s="6">
        <v>0</v>
      </c>
      <c r="J3032" s="6">
        <v>0</v>
      </c>
      <c r="K3032" s="6">
        <v>315</v>
      </c>
      <c r="L3032" s="4">
        <v>0</v>
      </c>
      <c r="M3032" s="14" t="s">
        <v>19</v>
      </c>
      <c r="N3032" s="15">
        <f t="shared" si="72"/>
        <v>315</v>
      </c>
    </row>
    <row r="3033" spans="1:14">
      <c r="A3033" s="12">
        <v>3032</v>
      </c>
      <c r="B3033" s="3" t="s">
        <v>3967</v>
      </c>
      <c r="C3033" s="43" t="s">
        <v>3968</v>
      </c>
      <c r="D3033" s="43" t="s">
        <v>4442</v>
      </c>
      <c r="E3033" s="43" t="s">
        <v>757</v>
      </c>
      <c r="F3033" s="12">
        <v>2832</v>
      </c>
      <c r="G3033" s="47" t="s">
        <v>18</v>
      </c>
      <c r="H3033" s="14">
        <v>998346</v>
      </c>
      <c r="I3033" s="6">
        <v>0</v>
      </c>
      <c r="J3033" s="6">
        <v>0</v>
      </c>
      <c r="K3033" s="6">
        <v>432</v>
      </c>
      <c r="L3033" s="4">
        <v>0</v>
      </c>
      <c r="M3033" s="14" t="s">
        <v>19</v>
      </c>
      <c r="N3033" s="15">
        <f t="shared" si="72"/>
        <v>432</v>
      </c>
    </row>
    <row r="3034" spans="1:14">
      <c r="A3034" s="12">
        <v>3033</v>
      </c>
      <c r="B3034" s="3" t="s">
        <v>4006</v>
      </c>
      <c r="C3034" s="43" t="s">
        <v>4007</v>
      </c>
      <c r="D3034" s="43" t="s">
        <v>4443</v>
      </c>
      <c r="E3034" s="43" t="s">
        <v>751</v>
      </c>
      <c r="F3034" s="12">
        <v>54870</v>
      </c>
      <c r="G3034" s="47" t="s">
        <v>18</v>
      </c>
      <c r="H3034" s="18" t="s">
        <v>992</v>
      </c>
      <c r="I3034" s="6">
        <v>0</v>
      </c>
      <c r="J3034" s="6">
        <v>0</v>
      </c>
      <c r="K3034" s="6">
        <v>8370</v>
      </c>
      <c r="L3034" s="4">
        <v>0</v>
      </c>
      <c r="M3034" s="14" t="s">
        <v>19</v>
      </c>
      <c r="N3034" s="15">
        <f t="shared" si="72"/>
        <v>8370</v>
      </c>
    </row>
    <row r="3035" spans="1:14">
      <c r="A3035" s="12">
        <v>3034</v>
      </c>
      <c r="B3035" s="3" t="s">
        <v>4006</v>
      </c>
      <c r="C3035" s="43" t="s">
        <v>4007</v>
      </c>
      <c r="D3035" s="43" t="s">
        <v>4444</v>
      </c>
      <c r="E3035" s="43" t="s">
        <v>1513</v>
      </c>
      <c r="F3035" s="12">
        <v>103250</v>
      </c>
      <c r="G3035" s="47" t="s">
        <v>18</v>
      </c>
      <c r="H3035" s="18" t="s">
        <v>992</v>
      </c>
      <c r="I3035" s="6">
        <v>0</v>
      </c>
      <c r="J3035" s="6">
        <v>0</v>
      </c>
      <c r="K3035" s="6">
        <v>15750</v>
      </c>
      <c r="L3035" s="4">
        <v>0</v>
      </c>
      <c r="M3035" s="14" t="s">
        <v>19</v>
      </c>
      <c r="N3035" s="15">
        <f t="shared" si="72"/>
        <v>15750</v>
      </c>
    </row>
    <row r="3036" spans="1:14">
      <c r="A3036" s="12">
        <v>3035</v>
      </c>
      <c r="B3036" s="3" t="s">
        <v>4006</v>
      </c>
      <c r="C3036" s="43" t="s">
        <v>4007</v>
      </c>
      <c r="D3036" s="43" t="s">
        <v>4445</v>
      </c>
      <c r="E3036" s="43" t="s">
        <v>23</v>
      </c>
      <c r="F3036" s="12">
        <v>54870</v>
      </c>
      <c r="G3036" s="47" t="s">
        <v>18</v>
      </c>
      <c r="H3036" s="18" t="s">
        <v>992</v>
      </c>
      <c r="I3036" s="6">
        <v>0</v>
      </c>
      <c r="J3036" s="6">
        <v>0</v>
      </c>
      <c r="K3036" s="6">
        <v>8370</v>
      </c>
      <c r="L3036" s="4">
        <v>0</v>
      </c>
      <c r="M3036" s="14" t="s">
        <v>19</v>
      </c>
      <c r="N3036" s="15">
        <f t="shared" si="72"/>
        <v>8370</v>
      </c>
    </row>
    <row r="3037" spans="1:14">
      <c r="A3037" s="12">
        <v>3036</v>
      </c>
      <c r="B3037" s="3" t="s">
        <v>4006</v>
      </c>
      <c r="C3037" s="43" t="s">
        <v>4007</v>
      </c>
      <c r="D3037" s="43" t="s">
        <v>4446</v>
      </c>
      <c r="E3037" s="43" t="s">
        <v>23</v>
      </c>
      <c r="F3037" s="12">
        <v>54870</v>
      </c>
      <c r="G3037" s="47" t="s">
        <v>18</v>
      </c>
      <c r="H3037" s="18" t="s">
        <v>992</v>
      </c>
      <c r="I3037" s="6">
        <v>0</v>
      </c>
      <c r="J3037" s="6">
        <v>0</v>
      </c>
      <c r="K3037" s="6">
        <v>8370</v>
      </c>
      <c r="L3037" s="4">
        <v>0</v>
      </c>
      <c r="M3037" s="14" t="s">
        <v>19</v>
      </c>
      <c r="N3037" s="15">
        <f t="shared" si="72"/>
        <v>8370</v>
      </c>
    </row>
    <row r="3038" spans="1:14">
      <c r="A3038" s="12">
        <v>3037</v>
      </c>
      <c r="B3038" s="3" t="s">
        <v>814</v>
      </c>
      <c r="C3038" s="43" t="s">
        <v>815</v>
      </c>
      <c r="D3038" s="43" t="s">
        <v>4447</v>
      </c>
      <c r="E3038" s="43" t="s">
        <v>451</v>
      </c>
      <c r="F3038" s="12">
        <v>8850</v>
      </c>
      <c r="G3038" s="47" t="s">
        <v>18</v>
      </c>
      <c r="H3038" s="37" t="s">
        <v>642</v>
      </c>
      <c r="I3038" s="6">
        <v>675</v>
      </c>
      <c r="J3038" s="6">
        <v>675</v>
      </c>
      <c r="K3038" s="6">
        <v>0</v>
      </c>
      <c r="L3038" s="4">
        <v>0</v>
      </c>
      <c r="M3038" s="12" t="s">
        <v>19</v>
      </c>
      <c r="N3038" s="15">
        <f t="shared" si="72"/>
        <v>1350</v>
      </c>
    </row>
    <row r="3039" spans="1:14">
      <c r="A3039" s="12">
        <v>3038</v>
      </c>
      <c r="B3039" s="3" t="s">
        <v>1479</v>
      </c>
      <c r="C3039" s="43" t="s">
        <v>1480</v>
      </c>
      <c r="D3039" s="43" t="s">
        <v>4448</v>
      </c>
      <c r="E3039" s="43" t="s">
        <v>449</v>
      </c>
      <c r="F3039" s="12">
        <v>525265</v>
      </c>
      <c r="G3039" s="47" t="s">
        <v>4395</v>
      </c>
      <c r="H3039" s="14">
        <v>63053923</v>
      </c>
      <c r="I3039" s="6">
        <v>40062.6</v>
      </c>
      <c r="J3039" s="6">
        <v>40062.6</v>
      </c>
      <c r="K3039" s="6">
        <v>0</v>
      </c>
      <c r="L3039" s="4">
        <v>0</v>
      </c>
      <c r="M3039" s="14" t="s">
        <v>19</v>
      </c>
      <c r="N3039" s="15">
        <f t="shared" si="72"/>
        <v>80125.2</v>
      </c>
    </row>
    <row r="3040" spans="1:14">
      <c r="A3040" s="12">
        <v>3039</v>
      </c>
      <c r="B3040" s="3" t="s">
        <v>1276</v>
      </c>
      <c r="C3040" s="43" t="s">
        <v>1277</v>
      </c>
      <c r="D3040" s="43" t="s">
        <v>4449</v>
      </c>
      <c r="E3040" s="43" t="s">
        <v>438</v>
      </c>
      <c r="F3040" s="12">
        <v>7788</v>
      </c>
      <c r="G3040" s="47" t="s">
        <v>18</v>
      </c>
      <c r="H3040" s="12">
        <v>998719</v>
      </c>
      <c r="I3040" s="6">
        <v>594</v>
      </c>
      <c r="J3040" s="6">
        <v>594</v>
      </c>
      <c r="K3040" s="6">
        <v>0</v>
      </c>
      <c r="L3040" s="4">
        <v>0</v>
      </c>
      <c r="M3040" s="14" t="s">
        <v>19</v>
      </c>
      <c r="N3040" s="15">
        <f t="shared" si="72"/>
        <v>1188</v>
      </c>
    </row>
    <row r="3041" spans="1:14">
      <c r="A3041" s="12">
        <v>3040</v>
      </c>
      <c r="B3041" s="3" t="s">
        <v>1276</v>
      </c>
      <c r="C3041" s="43" t="s">
        <v>1277</v>
      </c>
      <c r="D3041" s="43" t="s">
        <v>4450</v>
      </c>
      <c r="E3041" s="43" t="s">
        <v>438</v>
      </c>
      <c r="F3041" s="12">
        <v>10856</v>
      </c>
      <c r="G3041" s="47" t="s">
        <v>18</v>
      </c>
      <c r="H3041" s="12">
        <v>998719</v>
      </c>
      <c r="I3041" s="6">
        <v>828</v>
      </c>
      <c r="J3041" s="6">
        <v>828</v>
      </c>
      <c r="K3041" s="6">
        <v>0</v>
      </c>
      <c r="L3041" s="4">
        <v>0</v>
      </c>
      <c r="M3041" s="14" t="s">
        <v>19</v>
      </c>
      <c r="N3041" s="15">
        <f t="shared" si="72"/>
        <v>1656</v>
      </c>
    </row>
    <row r="3042" spans="1:14">
      <c r="A3042" s="12">
        <v>3041</v>
      </c>
      <c r="B3042" s="38" t="s">
        <v>1525</v>
      </c>
      <c r="C3042" s="48" t="s">
        <v>1526</v>
      </c>
      <c r="D3042" s="48" t="s">
        <v>4451</v>
      </c>
      <c r="E3042" s="48" t="s">
        <v>773</v>
      </c>
      <c r="F3042" s="12">
        <v>-8388</v>
      </c>
      <c r="G3042" s="47" t="s">
        <v>18</v>
      </c>
      <c r="H3042" s="12">
        <v>996521</v>
      </c>
      <c r="I3042" s="39">
        <v>-525.36</v>
      </c>
      <c r="J3042" s="39">
        <v>-525.36</v>
      </c>
      <c r="K3042" s="39">
        <v>0</v>
      </c>
      <c r="L3042" s="4">
        <v>0</v>
      </c>
      <c r="M3042" s="14" t="s">
        <v>19</v>
      </c>
      <c r="N3042" s="15">
        <f t="shared" si="72"/>
        <v>-1050.72</v>
      </c>
    </row>
    <row r="3043" spans="1:14">
      <c r="A3043" s="12">
        <v>3042</v>
      </c>
      <c r="B3043" s="38" t="s">
        <v>3982</v>
      </c>
      <c r="C3043" s="48" t="s">
        <v>3983</v>
      </c>
      <c r="D3043" s="48" t="s">
        <v>4452</v>
      </c>
      <c r="E3043" s="48" t="s">
        <v>921</v>
      </c>
      <c r="F3043" s="12">
        <v>-9600</v>
      </c>
      <c r="G3043" s="47" t="s">
        <v>18</v>
      </c>
      <c r="H3043" s="18" t="s">
        <v>3985</v>
      </c>
      <c r="I3043" s="39">
        <v>0</v>
      </c>
      <c r="J3043" s="39">
        <v>0</v>
      </c>
      <c r="K3043" s="39">
        <v>-1464</v>
      </c>
      <c r="L3043" s="4">
        <v>0</v>
      </c>
      <c r="M3043" s="14" t="s">
        <v>19</v>
      </c>
      <c r="N3043" s="15">
        <f t="shared" si="72"/>
        <v>-1464</v>
      </c>
    </row>
    <row r="3044" spans="1:14">
      <c r="A3044" s="12">
        <v>3043</v>
      </c>
      <c r="B3044" s="38" t="s">
        <v>1824</v>
      </c>
      <c r="C3044" s="48" t="s">
        <v>1825</v>
      </c>
      <c r="D3044" s="48" t="s">
        <v>4453</v>
      </c>
      <c r="E3044" s="48" t="s">
        <v>30</v>
      </c>
      <c r="F3044" s="12">
        <v>-625.99</v>
      </c>
      <c r="G3044" s="47" t="s">
        <v>18</v>
      </c>
      <c r="H3044" s="16" t="s">
        <v>847</v>
      </c>
      <c r="I3044" s="39">
        <v>0</v>
      </c>
      <c r="J3044" s="39">
        <v>0</v>
      </c>
      <c r="K3044" s="39">
        <v>-95.49</v>
      </c>
      <c r="L3044" s="4">
        <v>0</v>
      </c>
      <c r="M3044" s="14" t="s">
        <v>19</v>
      </c>
      <c r="N3044" s="15">
        <f t="shared" si="72"/>
        <v>-95.49</v>
      </c>
    </row>
    <row r="3045" spans="1:14">
      <c r="A3045" s="12">
        <v>3044</v>
      </c>
      <c r="B3045" s="1" t="s">
        <v>4454</v>
      </c>
      <c r="C3045" s="42" t="s">
        <v>4455</v>
      </c>
      <c r="D3045" s="54">
        <v>745</v>
      </c>
      <c r="E3045" s="42" t="s">
        <v>781</v>
      </c>
      <c r="F3045" s="4">
        <v>883382.5</v>
      </c>
      <c r="G3045" s="45" t="s">
        <v>24</v>
      </c>
      <c r="H3045" s="14">
        <v>10063010</v>
      </c>
      <c r="I3045" s="4">
        <v>0</v>
      </c>
      <c r="J3045" s="4">
        <v>0</v>
      </c>
      <c r="K3045" s="4">
        <v>882.5</v>
      </c>
      <c r="L3045" s="4">
        <v>0</v>
      </c>
      <c r="M3045" s="14" t="s">
        <v>19</v>
      </c>
      <c r="N3045" s="15">
        <f>SUM(I3045:L3045)</f>
        <v>882.5</v>
      </c>
    </row>
    <row r="3046" spans="1:14">
      <c r="A3046" s="12">
        <v>3045</v>
      </c>
      <c r="B3046" s="1" t="s">
        <v>4454</v>
      </c>
      <c r="C3046" s="42" t="s">
        <v>4455</v>
      </c>
      <c r="D3046" s="54">
        <v>746</v>
      </c>
      <c r="E3046" s="42" t="s">
        <v>781</v>
      </c>
      <c r="F3046" s="4">
        <v>883382.5</v>
      </c>
      <c r="G3046" s="45" t="s">
        <v>24</v>
      </c>
      <c r="H3046" s="14">
        <v>10063010</v>
      </c>
      <c r="I3046" s="4">
        <v>0</v>
      </c>
      <c r="J3046" s="4">
        <v>0</v>
      </c>
      <c r="K3046" s="4">
        <v>882.5</v>
      </c>
      <c r="L3046" s="4">
        <v>0</v>
      </c>
      <c r="M3046" s="14" t="s">
        <v>19</v>
      </c>
      <c r="N3046" s="15">
        <f t="shared" ref="N3046:N3109" si="73">SUM(I3046:L3046)</f>
        <v>882.5</v>
      </c>
    </row>
    <row r="3047" spans="1:14">
      <c r="A3047" s="12">
        <v>3046</v>
      </c>
      <c r="B3047" s="1" t="s">
        <v>4454</v>
      </c>
      <c r="C3047" s="42" t="s">
        <v>4455</v>
      </c>
      <c r="D3047" s="54">
        <v>748</v>
      </c>
      <c r="E3047" s="42" t="s">
        <v>454</v>
      </c>
      <c r="F3047" s="4">
        <v>1236735.5</v>
      </c>
      <c r="G3047" s="45" t="s">
        <v>24</v>
      </c>
      <c r="H3047" s="14">
        <v>10063010</v>
      </c>
      <c r="I3047" s="4">
        <v>0</v>
      </c>
      <c r="J3047" s="4">
        <v>0</v>
      </c>
      <c r="K3047" s="4">
        <v>1235.5</v>
      </c>
      <c r="L3047" s="4">
        <v>0</v>
      </c>
      <c r="M3047" s="14" t="s">
        <v>19</v>
      </c>
      <c r="N3047" s="15">
        <f t="shared" si="73"/>
        <v>1235.5</v>
      </c>
    </row>
    <row r="3048" spans="1:14">
      <c r="A3048" s="12">
        <v>3047</v>
      </c>
      <c r="B3048" s="1" t="s">
        <v>4454</v>
      </c>
      <c r="C3048" s="42" t="s">
        <v>4455</v>
      </c>
      <c r="D3048" s="54">
        <v>749</v>
      </c>
      <c r="E3048" s="42" t="s">
        <v>454</v>
      </c>
      <c r="F3048" s="4">
        <v>530029.5</v>
      </c>
      <c r="G3048" s="45" t="s">
        <v>24</v>
      </c>
      <c r="H3048" s="14">
        <v>10063010</v>
      </c>
      <c r="I3048" s="4">
        <v>0</v>
      </c>
      <c r="J3048" s="4">
        <v>0</v>
      </c>
      <c r="K3048" s="4">
        <v>529.5</v>
      </c>
      <c r="L3048" s="4">
        <v>0</v>
      </c>
      <c r="M3048" s="14" t="s">
        <v>19</v>
      </c>
      <c r="N3048" s="15">
        <f t="shared" si="73"/>
        <v>529.5</v>
      </c>
    </row>
    <row r="3049" spans="1:14">
      <c r="A3049" s="12">
        <v>3048</v>
      </c>
      <c r="B3049" s="1" t="s">
        <v>4454</v>
      </c>
      <c r="C3049" s="42" t="s">
        <v>4455</v>
      </c>
      <c r="D3049" s="54">
        <v>750</v>
      </c>
      <c r="E3049" s="42" t="s">
        <v>4456</v>
      </c>
      <c r="F3049" s="4">
        <v>1236735.5</v>
      </c>
      <c r="G3049" s="45" t="s">
        <v>24</v>
      </c>
      <c r="H3049" s="14">
        <v>10063010</v>
      </c>
      <c r="I3049" s="4">
        <v>0</v>
      </c>
      <c r="J3049" s="4">
        <v>0</v>
      </c>
      <c r="K3049" s="4">
        <v>1235.5</v>
      </c>
      <c r="L3049" s="4">
        <v>0</v>
      </c>
      <c r="M3049" s="14" t="s">
        <v>19</v>
      </c>
      <c r="N3049" s="15">
        <f t="shared" si="73"/>
        <v>1235.5</v>
      </c>
    </row>
    <row r="3050" spans="1:14">
      <c r="A3050" s="12">
        <v>3049</v>
      </c>
      <c r="B3050" s="1" t="s">
        <v>4153</v>
      </c>
      <c r="C3050" s="42" t="s">
        <v>4154</v>
      </c>
      <c r="D3050" s="54">
        <v>1476</v>
      </c>
      <c r="E3050" s="42" t="s">
        <v>4457</v>
      </c>
      <c r="F3050" s="4">
        <v>609063</v>
      </c>
      <c r="G3050" s="45" t="s">
        <v>24</v>
      </c>
      <c r="H3050" s="12">
        <v>3923</v>
      </c>
      <c r="I3050" s="4">
        <v>46453.95</v>
      </c>
      <c r="J3050" s="4">
        <v>46453.95</v>
      </c>
      <c r="K3050" s="4">
        <v>0</v>
      </c>
      <c r="L3050" s="4">
        <v>0</v>
      </c>
      <c r="M3050" s="14" t="s">
        <v>19</v>
      </c>
      <c r="N3050" s="15">
        <f t="shared" si="73"/>
        <v>92907.9</v>
      </c>
    </row>
    <row r="3051" spans="1:14">
      <c r="A3051" s="12">
        <v>3050</v>
      </c>
      <c r="B3051" s="1" t="s">
        <v>3982</v>
      </c>
      <c r="C3051" s="42" t="s">
        <v>3983</v>
      </c>
      <c r="D3051" s="42" t="s">
        <v>4458</v>
      </c>
      <c r="E3051" s="42" t="s">
        <v>4459</v>
      </c>
      <c r="F3051" s="4">
        <v>70800</v>
      </c>
      <c r="G3051" s="45" t="s">
        <v>18</v>
      </c>
      <c r="H3051" s="7" t="s">
        <v>3985</v>
      </c>
      <c r="I3051" s="4">
        <v>0</v>
      </c>
      <c r="J3051" s="4">
        <v>0</v>
      </c>
      <c r="K3051" s="4">
        <v>10800</v>
      </c>
      <c r="L3051" s="4">
        <v>0</v>
      </c>
      <c r="M3051" s="14" t="s">
        <v>19</v>
      </c>
      <c r="N3051" s="15">
        <f t="shared" si="73"/>
        <v>10800</v>
      </c>
    </row>
    <row r="3052" spans="1:14">
      <c r="A3052" s="12">
        <v>3051</v>
      </c>
      <c r="B3052" s="1" t="s">
        <v>3982</v>
      </c>
      <c r="C3052" s="42" t="s">
        <v>3983</v>
      </c>
      <c r="D3052" s="42" t="s">
        <v>4460</v>
      </c>
      <c r="E3052" s="42" t="s">
        <v>775</v>
      </c>
      <c r="F3052" s="4">
        <v>70800</v>
      </c>
      <c r="G3052" s="45" t="s">
        <v>18</v>
      </c>
      <c r="H3052" s="7" t="s">
        <v>3985</v>
      </c>
      <c r="I3052" s="4">
        <v>0</v>
      </c>
      <c r="J3052" s="4">
        <v>0</v>
      </c>
      <c r="K3052" s="4">
        <v>10800</v>
      </c>
      <c r="L3052" s="4">
        <v>0</v>
      </c>
      <c r="M3052" s="14" t="s">
        <v>19</v>
      </c>
      <c r="N3052" s="15">
        <f t="shared" si="73"/>
        <v>10800</v>
      </c>
    </row>
    <row r="3053" spans="1:14">
      <c r="A3053" s="12">
        <v>3052</v>
      </c>
      <c r="B3053" s="1" t="s">
        <v>3982</v>
      </c>
      <c r="C3053" s="42" t="s">
        <v>3983</v>
      </c>
      <c r="D3053" s="42" t="s">
        <v>4461</v>
      </c>
      <c r="E3053" s="42" t="s">
        <v>4462</v>
      </c>
      <c r="F3053" s="4">
        <v>122510</v>
      </c>
      <c r="G3053" s="45" t="s">
        <v>18</v>
      </c>
      <c r="H3053" s="7" t="s">
        <v>3985</v>
      </c>
      <c r="I3053" s="4">
        <v>0</v>
      </c>
      <c r="J3053" s="4">
        <v>0</v>
      </c>
      <c r="K3053" s="4">
        <v>18688</v>
      </c>
      <c r="L3053" s="4">
        <v>0</v>
      </c>
      <c r="M3053" s="14" t="s">
        <v>19</v>
      </c>
      <c r="N3053" s="15">
        <f t="shared" si="73"/>
        <v>18688</v>
      </c>
    </row>
    <row r="3054" spans="1:14">
      <c r="A3054" s="12">
        <v>3053</v>
      </c>
      <c r="B3054" s="1" t="s">
        <v>3982</v>
      </c>
      <c r="C3054" s="42" t="s">
        <v>3983</v>
      </c>
      <c r="D3054" s="42" t="s">
        <v>4463</v>
      </c>
      <c r="E3054" s="42" t="s">
        <v>51</v>
      </c>
      <c r="F3054" s="4">
        <v>161594</v>
      </c>
      <c r="G3054" s="45" t="s">
        <v>18</v>
      </c>
      <c r="H3054" s="7" t="s">
        <v>3985</v>
      </c>
      <c r="I3054" s="4">
        <v>0</v>
      </c>
      <c r="J3054" s="4">
        <v>0</v>
      </c>
      <c r="K3054" s="4">
        <v>24650</v>
      </c>
      <c r="L3054" s="4">
        <v>0</v>
      </c>
      <c r="M3054" s="14" t="s">
        <v>19</v>
      </c>
      <c r="N3054" s="15">
        <f t="shared" si="73"/>
        <v>24650</v>
      </c>
    </row>
    <row r="3055" spans="1:14">
      <c r="A3055" s="12">
        <v>3054</v>
      </c>
      <c r="B3055" s="1" t="s">
        <v>3982</v>
      </c>
      <c r="C3055" s="42" t="s">
        <v>3983</v>
      </c>
      <c r="D3055" s="42" t="s">
        <v>4464</v>
      </c>
      <c r="E3055" s="42" t="s">
        <v>4465</v>
      </c>
      <c r="F3055" s="4">
        <v>71390</v>
      </c>
      <c r="G3055" s="45" t="s">
        <v>18</v>
      </c>
      <c r="H3055" s="7" t="s">
        <v>3985</v>
      </c>
      <c r="I3055" s="4">
        <v>0</v>
      </c>
      <c r="J3055" s="4">
        <v>0</v>
      </c>
      <c r="K3055" s="4">
        <v>10890</v>
      </c>
      <c r="L3055" s="4">
        <v>0</v>
      </c>
      <c r="M3055" s="14" t="s">
        <v>19</v>
      </c>
      <c r="N3055" s="15">
        <f t="shared" si="73"/>
        <v>10890</v>
      </c>
    </row>
    <row r="3056" spans="1:14">
      <c r="A3056" s="12">
        <v>3055</v>
      </c>
      <c r="B3056" s="1" t="s">
        <v>3982</v>
      </c>
      <c r="C3056" s="42" t="s">
        <v>3983</v>
      </c>
      <c r="D3056" s="42" t="s">
        <v>4466</v>
      </c>
      <c r="E3056" s="42" t="s">
        <v>4465</v>
      </c>
      <c r="F3056" s="4">
        <v>51342</v>
      </c>
      <c r="G3056" s="45" t="s">
        <v>18</v>
      </c>
      <c r="H3056" s="7" t="s">
        <v>3985</v>
      </c>
      <c r="I3056" s="4">
        <v>0</v>
      </c>
      <c r="J3056" s="4">
        <v>0</v>
      </c>
      <c r="K3056" s="4">
        <v>7832</v>
      </c>
      <c r="L3056" s="4">
        <v>0</v>
      </c>
      <c r="M3056" s="14" t="s">
        <v>19</v>
      </c>
      <c r="N3056" s="15">
        <f t="shared" si="73"/>
        <v>7832</v>
      </c>
    </row>
    <row r="3057" spans="1:14">
      <c r="A3057" s="12">
        <v>3056</v>
      </c>
      <c r="B3057" s="1" t="s">
        <v>3982</v>
      </c>
      <c r="C3057" s="42" t="s">
        <v>3983</v>
      </c>
      <c r="D3057" s="42" t="s">
        <v>4467</v>
      </c>
      <c r="E3057" s="42" t="s">
        <v>4465</v>
      </c>
      <c r="F3057" s="4">
        <v>154025</v>
      </c>
      <c r="G3057" s="45" t="s">
        <v>18</v>
      </c>
      <c r="H3057" s="7" t="s">
        <v>3985</v>
      </c>
      <c r="I3057" s="4">
        <v>0</v>
      </c>
      <c r="J3057" s="4">
        <v>0</v>
      </c>
      <c r="K3057" s="4">
        <v>23495</v>
      </c>
      <c r="L3057" s="4">
        <v>0</v>
      </c>
      <c r="M3057" s="14" t="s">
        <v>19</v>
      </c>
      <c r="N3057" s="15">
        <f t="shared" si="73"/>
        <v>23495</v>
      </c>
    </row>
    <row r="3058" spans="1:14">
      <c r="A3058" s="12">
        <v>3057</v>
      </c>
      <c r="B3058" s="1" t="s">
        <v>3982</v>
      </c>
      <c r="C3058" s="42" t="s">
        <v>3983</v>
      </c>
      <c r="D3058" s="42" t="s">
        <v>4468</v>
      </c>
      <c r="E3058" s="42" t="s">
        <v>4465</v>
      </c>
      <c r="F3058" s="4">
        <v>102684</v>
      </c>
      <c r="G3058" s="45" t="s">
        <v>18</v>
      </c>
      <c r="H3058" s="7" t="s">
        <v>3985</v>
      </c>
      <c r="I3058" s="4">
        <v>0</v>
      </c>
      <c r="J3058" s="4">
        <v>0</v>
      </c>
      <c r="K3058" s="4">
        <v>15664</v>
      </c>
      <c r="L3058" s="4">
        <v>0</v>
      </c>
      <c r="M3058" s="14" t="s">
        <v>19</v>
      </c>
      <c r="N3058" s="15">
        <f t="shared" si="73"/>
        <v>15664</v>
      </c>
    </row>
    <row r="3059" spans="1:14">
      <c r="A3059" s="12">
        <v>3058</v>
      </c>
      <c r="B3059" s="1" t="s">
        <v>3982</v>
      </c>
      <c r="C3059" s="42" t="s">
        <v>3983</v>
      </c>
      <c r="D3059" s="42" t="s">
        <v>4469</v>
      </c>
      <c r="E3059" s="42" t="s">
        <v>454</v>
      </c>
      <c r="F3059" s="4">
        <v>531</v>
      </c>
      <c r="G3059" s="45" t="s">
        <v>18</v>
      </c>
      <c r="H3059" s="7" t="s">
        <v>3985</v>
      </c>
      <c r="I3059" s="4">
        <v>0</v>
      </c>
      <c r="J3059" s="4">
        <v>0</v>
      </c>
      <c r="K3059" s="4">
        <v>81</v>
      </c>
      <c r="L3059" s="4">
        <v>0</v>
      </c>
      <c r="M3059" s="14" t="s">
        <v>19</v>
      </c>
      <c r="N3059" s="15">
        <f t="shared" si="73"/>
        <v>81</v>
      </c>
    </row>
    <row r="3060" spans="1:14">
      <c r="A3060" s="12">
        <v>3059</v>
      </c>
      <c r="B3060" s="1" t="s">
        <v>3979</v>
      </c>
      <c r="C3060" s="42" t="s">
        <v>3980</v>
      </c>
      <c r="D3060" s="42" t="s">
        <v>4470</v>
      </c>
      <c r="E3060" s="42" t="s">
        <v>4459</v>
      </c>
      <c r="F3060" s="4">
        <v>20650</v>
      </c>
      <c r="G3060" s="45" t="s">
        <v>18</v>
      </c>
      <c r="H3060" s="12">
        <v>9983</v>
      </c>
      <c r="I3060" s="4">
        <v>1575</v>
      </c>
      <c r="J3060" s="4">
        <v>1575</v>
      </c>
      <c r="K3060" s="4">
        <v>0</v>
      </c>
      <c r="L3060" s="4">
        <v>0</v>
      </c>
      <c r="M3060" s="14" t="s">
        <v>19</v>
      </c>
      <c r="N3060" s="15">
        <f t="shared" si="73"/>
        <v>3150</v>
      </c>
    </row>
    <row r="3061" spans="1:14">
      <c r="A3061" s="12">
        <v>3060</v>
      </c>
      <c r="B3061" s="1" t="s">
        <v>3979</v>
      </c>
      <c r="C3061" s="42" t="s">
        <v>3980</v>
      </c>
      <c r="D3061" s="42" t="s">
        <v>4471</v>
      </c>
      <c r="E3061" s="42" t="s">
        <v>4459</v>
      </c>
      <c r="F3061" s="4">
        <v>20650</v>
      </c>
      <c r="G3061" s="45" t="s">
        <v>18</v>
      </c>
      <c r="H3061" s="12">
        <v>9983</v>
      </c>
      <c r="I3061" s="4">
        <v>1575</v>
      </c>
      <c r="J3061" s="4">
        <v>1575</v>
      </c>
      <c r="K3061" s="4">
        <v>0</v>
      </c>
      <c r="L3061" s="4">
        <v>0</v>
      </c>
      <c r="M3061" s="14" t="s">
        <v>19</v>
      </c>
      <c r="N3061" s="15">
        <f t="shared" si="73"/>
        <v>3150</v>
      </c>
    </row>
    <row r="3062" spans="1:14">
      <c r="A3062" s="12">
        <v>3061</v>
      </c>
      <c r="B3062" s="1" t="s">
        <v>3979</v>
      </c>
      <c r="C3062" s="42" t="s">
        <v>3980</v>
      </c>
      <c r="D3062" s="42" t="s">
        <v>4472</v>
      </c>
      <c r="E3062" s="42" t="s">
        <v>4459</v>
      </c>
      <c r="F3062" s="4">
        <v>4720</v>
      </c>
      <c r="G3062" s="45" t="s">
        <v>18</v>
      </c>
      <c r="H3062" s="12">
        <v>9983</v>
      </c>
      <c r="I3062" s="4">
        <v>360</v>
      </c>
      <c r="J3062" s="4">
        <v>360</v>
      </c>
      <c r="K3062" s="4">
        <v>0</v>
      </c>
      <c r="L3062" s="4">
        <v>0</v>
      </c>
      <c r="M3062" s="14" t="s">
        <v>19</v>
      </c>
      <c r="N3062" s="15">
        <f t="shared" si="73"/>
        <v>720</v>
      </c>
    </row>
    <row r="3063" spans="1:14">
      <c r="A3063" s="12">
        <v>3062</v>
      </c>
      <c r="B3063" s="1" t="s">
        <v>3979</v>
      </c>
      <c r="C3063" s="42" t="s">
        <v>3980</v>
      </c>
      <c r="D3063" s="42" t="s">
        <v>4473</v>
      </c>
      <c r="E3063" s="42" t="s">
        <v>779</v>
      </c>
      <c r="F3063" s="4">
        <v>20650</v>
      </c>
      <c r="G3063" s="45" t="s">
        <v>18</v>
      </c>
      <c r="H3063" s="12">
        <v>9983</v>
      </c>
      <c r="I3063" s="4">
        <v>1575</v>
      </c>
      <c r="J3063" s="4">
        <v>1575</v>
      </c>
      <c r="K3063" s="4">
        <v>0</v>
      </c>
      <c r="L3063" s="4">
        <v>0</v>
      </c>
      <c r="M3063" s="14" t="s">
        <v>19</v>
      </c>
      <c r="N3063" s="15">
        <f t="shared" si="73"/>
        <v>3150</v>
      </c>
    </row>
    <row r="3064" spans="1:14">
      <c r="A3064" s="12">
        <v>3063</v>
      </c>
      <c r="B3064" s="1" t="s">
        <v>4006</v>
      </c>
      <c r="C3064" s="42" t="s">
        <v>4007</v>
      </c>
      <c r="D3064" s="42" t="s">
        <v>4474</v>
      </c>
      <c r="E3064" s="42" t="s">
        <v>1107</v>
      </c>
      <c r="F3064" s="4">
        <v>25370</v>
      </c>
      <c r="G3064" s="45" t="s">
        <v>18</v>
      </c>
      <c r="H3064" s="7" t="s">
        <v>992</v>
      </c>
      <c r="I3064" s="4">
        <v>0</v>
      </c>
      <c r="J3064" s="4">
        <v>0</v>
      </c>
      <c r="K3064" s="4">
        <v>3870</v>
      </c>
      <c r="L3064" s="4">
        <v>0</v>
      </c>
      <c r="M3064" s="14" t="s">
        <v>19</v>
      </c>
      <c r="N3064" s="15">
        <f t="shared" si="73"/>
        <v>3870</v>
      </c>
    </row>
    <row r="3065" spans="1:14">
      <c r="A3065" s="12">
        <v>3064</v>
      </c>
      <c r="B3065" s="1" t="s">
        <v>4006</v>
      </c>
      <c r="C3065" s="42" t="s">
        <v>4007</v>
      </c>
      <c r="D3065" s="42" t="s">
        <v>4475</v>
      </c>
      <c r="E3065" s="42" t="s">
        <v>1207</v>
      </c>
      <c r="F3065" s="4">
        <v>42480</v>
      </c>
      <c r="G3065" s="45" t="s">
        <v>18</v>
      </c>
      <c r="H3065" s="7" t="s">
        <v>992</v>
      </c>
      <c r="I3065" s="4">
        <v>0</v>
      </c>
      <c r="J3065" s="4">
        <v>0</v>
      </c>
      <c r="K3065" s="4">
        <v>6480</v>
      </c>
      <c r="L3065" s="4">
        <v>0</v>
      </c>
      <c r="M3065" s="14" t="s">
        <v>19</v>
      </c>
      <c r="N3065" s="15">
        <f t="shared" si="73"/>
        <v>6480</v>
      </c>
    </row>
    <row r="3066" spans="1:14">
      <c r="A3066" s="12">
        <v>3065</v>
      </c>
      <c r="B3066" s="1" t="s">
        <v>4006</v>
      </c>
      <c r="C3066" s="42" t="s">
        <v>4007</v>
      </c>
      <c r="D3066" s="42" t="s">
        <v>4476</v>
      </c>
      <c r="E3066" s="42" t="s">
        <v>1207</v>
      </c>
      <c r="F3066" s="4">
        <v>10030</v>
      </c>
      <c r="G3066" s="45" t="s">
        <v>18</v>
      </c>
      <c r="H3066" s="7" t="s">
        <v>992</v>
      </c>
      <c r="I3066" s="4">
        <v>0</v>
      </c>
      <c r="J3066" s="4">
        <v>0</v>
      </c>
      <c r="K3066" s="4">
        <v>1530</v>
      </c>
      <c r="L3066" s="4">
        <v>0</v>
      </c>
      <c r="M3066" s="14" t="s">
        <v>19</v>
      </c>
      <c r="N3066" s="15">
        <f t="shared" si="73"/>
        <v>1530</v>
      </c>
    </row>
    <row r="3067" spans="1:14">
      <c r="A3067" s="12">
        <v>3066</v>
      </c>
      <c r="B3067" s="1" t="s">
        <v>4006</v>
      </c>
      <c r="C3067" s="42" t="s">
        <v>4007</v>
      </c>
      <c r="D3067" s="42" t="s">
        <v>4477</v>
      </c>
      <c r="E3067" s="42" t="s">
        <v>456</v>
      </c>
      <c r="F3067" s="4">
        <v>149270</v>
      </c>
      <c r="G3067" s="45" t="s">
        <v>18</v>
      </c>
      <c r="H3067" s="7" t="s">
        <v>992</v>
      </c>
      <c r="I3067" s="4">
        <v>0</v>
      </c>
      <c r="J3067" s="4">
        <v>0</v>
      </c>
      <c r="K3067" s="4">
        <v>22770</v>
      </c>
      <c r="L3067" s="4">
        <v>0</v>
      </c>
      <c r="M3067" s="14" t="s">
        <v>19</v>
      </c>
      <c r="N3067" s="15">
        <f t="shared" si="73"/>
        <v>22770</v>
      </c>
    </row>
    <row r="3068" spans="1:14">
      <c r="A3068" s="12">
        <v>3067</v>
      </c>
      <c r="B3068" s="1" t="s">
        <v>4006</v>
      </c>
      <c r="C3068" s="42" t="s">
        <v>4007</v>
      </c>
      <c r="D3068" s="42" t="s">
        <v>4478</v>
      </c>
      <c r="E3068" s="42" t="s">
        <v>783</v>
      </c>
      <c r="F3068" s="4">
        <v>4130</v>
      </c>
      <c r="G3068" s="45" t="s">
        <v>18</v>
      </c>
      <c r="H3068" s="7" t="s">
        <v>992</v>
      </c>
      <c r="I3068" s="4">
        <v>0</v>
      </c>
      <c r="J3068" s="4">
        <v>0</v>
      </c>
      <c r="K3068" s="4">
        <v>630</v>
      </c>
      <c r="L3068" s="4">
        <v>0</v>
      </c>
      <c r="M3068" s="14" t="s">
        <v>19</v>
      </c>
      <c r="N3068" s="15">
        <f t="shared" si="73"/>
        <v>630</v>
      </c>
    </row>
    <row r="3069" spans="1:14">
      <c r="A3069" s="12">
        <v>3068</v>
      </c>
      <c r="B3069" s="1" t="s">
        <v>4274</v>
      </c>
      <c r="C3069" s="42" t="s">
        <v>4275</v>
      </c>
      <c r="D3069" s="42" t="s">
        <v>4479</v>
      </c>
      <c r="E3069" s="42" t="s">
        <v>775</v>
      </c>
      <c r="F3069" s="4">
        <v>44073</v>
      </c>
      <c r="G3069" s="45" t="s">
        <v>18</v>
      </c>
      <c r="H3069" s="14">
        <v>998349</v>
      </c>
      <c r="I3069" s="4">
        <v>3361.5</v>
      </c>
      <c r="J3069" s="4">
        <v>3361.5</v>
      </c>
      <c r="K3069" s="4">
        <v>0</v>
      </c>
      <c r="L3069" s="4">
        <v>0</v>
      </c>
      <c r="M3069" s="14" t="s">
        <v>19</v>
      </c>
      <c r="N3069" s="15">
        <f t="shared" si="73"/>
        <v>6723</v>
      </c>
    </row>
    <row r="3070" spans="1:14">
      <c r="A3070" s="12">
        <v>3069</v>
      </c>
      <c r="B3070" s="1" t="s">
        <v>4274</v>
      </c>
      <c r="C3070" s="42" t="s">
        <v>4275</v>
      </c>
      <c r="D3070" s="42" t="s">
        <v>4480</v>
      </c>
      <c r="E3070" s="42" t="s">
        <v>1212</v>
      </c>
      <c r="F3070" s="4">
        <v>1770</v>
      </c>
      <c r="G3070" s="45" t="s">
        <v>18</v>
      </c>
      <c r="H3070" s="14">
        <v>998349</v>
      </c>
      <c r="I3070" s="4">
        <v>135</v>
      </c>
      <c r="J3070" s="4">
        <v>135</v>
      </c>
      <c r="K3070" s="4">
        <v>0</v>
      </c>
      <c r="L3070" s="4">
        <v>0</v>
      </c>
      <c r="M3070" s="14" t="s">
        <v>19</v>
      </c>
      <c r="N3070" s="15">
        <f t="shared" si="73"/>
        <v>270</v>
      </c>
    </row>
    <row r="3071" spans="1:14">
      <c r="A3071" s="12">
        <v>3070</v>
      </c>
      <c r="B3071" s="1" t="s">
        <v>4274</v>
      </c>
      <c r="C3071" s="42" t="s">
        <v>4275</v>
      </c>
      <c r="D3071" s="42" t="s">
        <v>4481</v>
      </c>
      <c r="E3071" s="42" t="s">
        <v>1216</v>
      </c>
      <c r="F3071" s="4">
        <v>1770</v>
      </c>
      <c r="G3071" s="45" t="s">
        <v>18</v>
      </c>
      <c r="H3071" s="14">
        <v>998349</v>
      </c>
      <c r="I3071" s="4">
        <v>135</v>
      </c>
      <c r="J3071" s="4">
        <v>135</v>
      </c>
      <c r="K3071" s="4">
        <v>0</v>
      </c>
      <c r="L3071" s="4">
        <v>0</v>
      </c>
      <c r="M3071" s="14" t="s">
        <v>19</v>
      </c>
      <c r="N3071" s="15">
        <f t="shared" si="73"/>
        <v>270</v>
      </c>
    </row>
    <row r="3072" spans="1:14">
      <c r="A3072" s="12">
        <v>3071</v>
      </c>
      <c r="B3072" s="1" t="s">
        <v>4274</v>
      </c>
      <c r="C3072" s="42" t="s">
        <v>4275</v>
      </c>
      <c r="D3072" s="42" t="s">
        <v>4482</v>
      </c>
      <c r="E3072" s="42" t="s">
        <v>1216</v>
      </c>
      <c r="F3072" s="4">
        <v>46339</v>
      </c>
      <c r="G3072" s="45" t="s">
        <v>18</v>
      </c>
      <c r="H3072" s="14">
        <v>998349</v>
      </c>
      <c r="I3072" s="4">
        <v>3534.33</v>
      </c>
      <c r="J3072" s="4">
        <v>3534.33</v>
      </c>
      <c r="K3072" s="4">
        <v>0</v>
      </c>
      <c r="L3072" s="4">
        <v>0</v>
      </c>
      <c r="M3072" s="14" t="s">
        <v>19</v>
      </c>
      <c r="N3072" s="15">
        <f t="shared" si="73"/>
        <v>7068.66</v>
      </c>
    </row>
    <row r="3073" spans="1:14">
      <c r="A3073" s="12">
        <v>3072</v>
      </c>
      <c r="B3073" s="1" t="s">
        <v>4274</v>
      </c>
      <c r="C3073" s="42" t="s">
        <v>4275</v>
      </c>
      <c r="D3073" s="42" t="s">
        <v>4483</v>
      </c>
      <c r="E3073" s="42" t="s">
        <v>1212</v>
      </c>
      <c r="F3073" s="4">
        <v>9440</v>
      </c>
      <c r="G3073" s="45" t="s">
        <v>18</v>
      </c>
      <c r="H3073" s="14">
        <v>998349</v>
      </c>
      <c r="I3073" s="4">
        <v>720</v>
      </c>
      <c r="J3073" s="4">
        <v>720</v>
      </c>
      <c r="K3073" s="4">
        <v>0</v>
      </c>
      <c r="L3073" s="4">
        <v>0</v>
      </c>
      <c r="M3073" s="14" t="s">
        <v>19</v>
      </c>
      <c r="N3073" s="15">
        <f t="shared" si="73"/>
        <v>1440</v>
      </c>
    </row>
    <row r="3074" spans="1:14">
      <c r="A3074" s="12">
        <v>3073</v>
      </c>
      <c r="B3074" s="1" t="s">
        <v>988</v>
      </c>
      <c r="C3074" s="42" t="s">
        <v>989</v>
      </c>
      <c r="D3074" s="42" t="s">
        <v>4484</v>
      </c>
      <c r="E3074" s="42" t="s">
        <v>777</v>
      </c>
      <c r="F3074" s="4">
        <v>49890.400000000001</v>
      </c>
      <c r="G3074" s="45" t="s">
        <v>18</v>
      </c>
      <c r="H3074" s="14">
        <v>998346</v>
      </c>
      <c r="I3074" s="4">
        <v>0</v>
      </c>
      <c r="J3074" s="4">
        <v>0</v>
      </c>
      <c r="K3074" s="4">
        <v>7610.4</v>
      </c>
      <c r="L3074" s="4">
        <v>0</v>
      </c>
      <c r="M3074" s="14" t="s">
        <v>19</v>
      </c>
      <c r="N3074" s="15">
        <f t="shared" si="73"/>
        <v>7610.4</v>
      </c>
    </row>
    <row r="3075" spans="1:14">
      <c r="A3075" s="12">
        <v>3074</v>
      </c>
      <c r="B3075" s="1" t="s">
        <v>814</v>
      </c>
      <c r="C3075" s="42" t="s">
        <v>815</v>
      </c>
      <c r="D3075" s="42" t="s">
        <v>4485</v>
      </c>
      <c r="E3075" s="42" t="s">
        <v>788</v>
      </c>
      <c r="F3075" s="4">
        <v>17700</v>
      </c>
      <c r="G3075" s="45" t="s">
        <v>18</v>
      </c>
      <c r="H3075" s="37" t="s">
        <v>642</v>
      </c>
      <c r="I3075" s="4">
        <v>1350</v>
      </c>
      <c r="J3075" s="4">
        <v>1350</v>
      </c>
      <c r="K3075" s="4">
        <v>0</v>
      </c>
      <c r="L3075" s="4">
        <v>0</v>
      </c>
      <c r="M3075" s="14" t="s">
        <v>19</v>
      </c>
      <c r="N3075" s="15">
        <f t="shared" si="73"/>
        <v>2700</v>
      </c>
    </row>
    <row r="3076" spans="1:14">
      <c r="A3076" s="12">
        <v>3075</v>
      </c>
      <c r="B3076" s="1" t="s">
        <v>814</v>
      </c>
      <c r="C3076" s="42" t="s">
        <v>815</v>
      </c>
      <c r="D3076" s="42" t="s">
        <v>4486</v>
      </c>
      <c r="E3076" s="42" t="s">
        <v>51</v>
      </c>
      <c r="F3076" s="4">
        <v>5311</v>
      </c>
      <c r="G3076" s="45" t="s">
        <v>18</v>
      </c>
      <c r="H3076" s="37" t="s">
        <v>642</v>
      </c>
      <c r="I3076" s="4">
        <v>405</v>
      </c>
      <c r="J3076" s="4">
        <v>405</v>
      </c>
      <c r="K3076" s="4">
        <v>0</v>
      </c>
      <c r="L3076" s="4">
        <v>0</v>
      </c>
      <c r="M3076" s="14" t="s">
        <v>19</v>
      </c>
      <c r="N3076" s="15">
        <f t="shared" si="73"/>
        <v>810</v>
      </c>
    </row>
    <row r="3077" spans="1:14">
      <c r="A3077" s="12">
        <v>3076</v>
      </c>
      <c r="B3077" s="1" t="s">
        <v>3921</v>
      </c>
      <c r="C3077" s="42" t="s">
        <v>3922</v>
      </c>
      <c r="D3077" s="42" t="s">
        <v>4487</v>
      </c>
      <c r="E3077" s="42" t="s">
        <v>4462</v>
      </c>
      <c r="F3077" s="4">
        <v>251576</v>
      </c>
      <c r="G3077" s="45" t="s">
        <v>18</v>
      </c>
      <c r="H3077" s="1">
        <v>996713</v>
      </c>
      <c r="I3077" s="4">
        <v>0</v>
      </c>
      <c r="J3077" s="4">
        <v>0</v>
      </c>
      <c r="K3077" s="4">
        <v>38376</v>
      </c>
      <c r="L3077" s="4">
        <v>0</v>
      </c>
      <c r="M3077" s="14" t="s">
        <v>19</v>
      </c>
      <c r="N3077" s="15">
        <f t="shared" si="73"/>
        <v>38376</v>
      </c>
    </row>
    <row r="3078" spans="1:14">
      <c r="A3078" s="12">
        <v>3077</v>
      </c>
      <c r="B3078" s="1" t="s">
        <v>3921</v>
      </c>
      <c r="C3078" s="42" t="s">
        <v>3922</v>
      </c>
      <c r="D3078" s="42" t="s">
        <v>4488</v>
      </c>
      <c r="E3078" s="42" t="s">
        <v>4462</v>
      </c>
      <c r="F3078" s="4">
        <v>3640046</v>
      </c>
      <c r="G3078" s="45" t="s">
        <v>18</v>
      </c>
      <c r="H3078" s="1">
        <v>996713</v>
      </c>
      <c r="I3078" s="4">
        <v>0</v>
      </c>
      <c r="J3078" s="4">
        <v>0</v>
      </c>
      <c r="K3078" s="4">
        <v>173335.5</v>
      </c>
      <c r="L3078" s="4">
        <v>0</v>
      </c>
      <c r="M3078" s="14" t="s">
        <v>19</v>
      </c>
      <c r="N3078" s="15">
        <f t="shared" si="73"/>
        <v>173335.5</v>
      </c>
    </row>
    <row r="3079" spans="1:14">
      <c r="A3079" s="12">
        <v>3078</v>
      </c>
      <c r="B3079" s="1" t="s">
        <v>4489</v>
      </c>
      <c r="C3079" s="42" t="s">
        <v>4490</v>
      </c>
      <c r="D3079" s="42" t="s">
        <v>4491</v>
      </c>
      <c r="E3079" s="42" t="s">
        <v>1212</v>
      </c>
      <c r="F3079" s="4">
        <v>89334</v>
      </c>
      <c r="G3079" s="45" t="s">
        <v>18</v>
      </c>
      <c r="H3079" s="3">
        <v>996799</v>
      </c>
      <c r="I3079" s="4">
        <v>0</v>
      </c>
      <c r="J3079" s="4">
        <v>0</v>
      </c>
      <c r="K3079" s="4">
        <v>13627.2</v>
      </c>
      <c r="L3079" s="4">
        <v>0</v>
      </c>
      <c r="M3079" s="14" t="s">
        <v>19</v>
      </c>
      <c r="N3079" s="15">
        <f t="shared" si="73"/>
        <v>13627.2</v>
      </c>
    </row>
    <row r="3080" spans="1:14">
      <c r="A3080" s="12">
        <v>3079</v>
      </c>
      <c r="B3080" s="1" t="s">
        <v>4489</v>
      </c>
      <c r="C3080" s="42" t="s">
        <v>4490</v>
      </c>
      <c r="D3080" s="42" t="s">
        <v>4492</v>
      </c>
      <c r="E3080" s="42" t="s">
        <v>456</v>
      </c>
      <c r="F3080" s="4">
        <v>173004</v>
      </c>
      <c r="G3080" s="45" t="s">
        <v>18</v>
      </c>
      <c r="H3080" s="3">
        <v>996799</v>
      </c>
      <c r="I3080" s="4">
        <v>0</v>
      </c>
      <c r="J3080" s="4">
        <v>0</v>
      </c>
      <c r="K3080" s="4">
        <v>26390.400000000001</v>
      </c>
      <c r="L3080" s="4">
        <v>0</v>
      </c>
      <c r="M3080" s="14" t="s">
        <v>19</v>
      </c>
      <c r="N3080" s="15">
        <f t="shared" si="73"/>
        <v>26390.400000000001</v>
      </c>
    </row>
    <row r="3081" spans="1:14">
      <c r="A3081" s="12">
        <v>3080</v>
      </c>
      <c r="B3081" s="1" t="s">
        <v>4489</v>
      </c>
      <c r="C3081" s="42" t="s">
        <v>4490</v>
      </c>
      <c r="D3081" s="42" t="s">
        <v>4493</v>
      </c>
      <c r="E3081" s="42" t="s">
        <v>454</v>
      </c>
      <c r="F3081" s="4">
        <v>15960.09</v>
      </c>
      <c r="G3081" s="45" t="s">
        <v>18</v>
      </c>
      <c r="H3081" s="3">
        <v>996799</v>
      </c>
      <c r="I3081" s="4">
        <v>0</v>
      </c>
      <c r="J3081" s="4">
        <v>0</v>
      </c>
      <c r="K3081" s="4">
        <v>2434.59</v>
      </c>
      <c r="L3081" s="4">
        <v>0</v>
      </c>
      <c r="M3081" s="14" t="s">
        <v>19</v>
      </c>
      <c r="N3081" s="15">
        <f t="shared" si="73"/>
        <v>2434.59</v>
      </c>
    </row>
    <row r="3082" spans="1:14">
      <c r="A3082" s="12">
        <v>3081</v>
      </c>
      <c r="B3082" s="1" t="s">
        <v>917</v>
      </c>
      <c r="C3082" s="42" t="s">
        <v>918</v>
      </c>
      <c r="D3082" s="42" t="s">
        <v>4494</v>
      </c>
      <c r="E3082" s="42" t="s">
        <v>44</v>
      </c>
      <c r="F3082" s="4">
        <v>2584.1999999999998</v>
      </c>
      <c r="G3082" s="45" t="s">
        <v>18</v>
      </c>
      <c r="H3082" s="12">
        <v>998399</v>
      </c>
      <c r="I3082" s="4">
        <v>197.1</v>
      </c>
      <c r="J3082" s="4">
        <v>197.1</v>
      </c>
      <c r="K3082" s="4">
        <v>0</v>
      </c>
      <c r="L3082" s="4">
        <v>0</v>
      </c>
      <c r="M3082" s="14" t="s">
        <v>19</v>
      </c>
      <c r="N3082" s="15">
        <f t="shared" si="73"/>
        <v>394.2</v>
      </c>
    </row>
    <row r="3083" spans="1:14">
      <c r="A3083" s="12">
        <v>3082</v>
      </c>
      <c r="B3083" s="1" t="s">
        <v>917</v>
      </c>
      <c r="C3083" s="42" t="s">
        <v>918</v>
      </c>
      <c r="D3083" s="42" t="s">
        <v>4495</v>
      </c>
      <c r="E3083" s="42" t="s">
        <v>444</v>
      </c>
      <c r="F3083" s="4">
        <v>9558</v>
      </c>
      <c r="G3083" s="45" t="s">
        <v>18</v>
      </c>
      <c r="H3083" s="12">
        <v>998399</v>
      </c>
      <c r="I3083" s="4">
        <v>729</v>
      </c>
      <c r="J3083" s="4">
        <v>729</v>
      </c>
      <c r="K3083" s="4">
        <v>0</v>
      </c>
      <c r="L3083" s="4">
        <v>0</v>
      </c>
      <c r="M3083" s="14" t="s">
        <v>19</v>
      </c>
      <c r="N3083" s="15">
        <f t="shared" si="73"/>
        <v>1458</v>
      </c>
    </row>
    <row r="3084" spans="1:14">
      <c r="A3084" s="12">
        <v>3083</v>
      </c>
      <c r="B3084" s="1" t="s">
        <v>917</v>
      </c>
      <c r="C3084" s="42" t="s">
        <v>918</v>
      </c>
      <c r="D3084" s="42" t="s">
        <v>4496</v>
      </c>
      <c r="E3084" s="42" t="s">
        <v>754</v>
      </c>
      <c r="F3084" s="4">
        <v>35.4</v>
      </c>
      <c r="G3084" s="45" t="s">
        <v>18</v>
      </c>
      <c r="H3084" s="12">
        <v>998399</v>
      </c>
      <c r="I3084" s="4">
        <v>2.7</v>
      </c>
      <c r="J3084" s="4">
        <v>2.7</v>
      </c>
      <c r="K3084" s="4">
        <v>0</v>
      </c>
      <c r="L3084" s="4">
        <v>0</v>
      </c>
      <c r="M3084" s="14" t="s">
        <v>19</v>
      </c>
      <c r="N3084" s="15">
        <f t="shared" si="73"/>
        <v>5.4</v>
      </c>
    </row>
    <row r="3085" spans="1:14">
      <c r="A3085" s="12">
        <v>3084</v>
      </c>
      <c r="B3085" s="1" t="s">
        <v>917</v>
      </c>
      <c r="C3085" s="42" t="s">
        <v>918</v>
      </c>
      <c r="D3085" s="42" t="s">
        <v>4497</v>
      </c>
      <c r="E3085" s="42" t="s">
        <v>30</v>
      </c>
      <c r="F3085" s="4">
        <v>13275</v>
      </c>
      <c r="G3085" s="45" t="s">
        <v>18</v>
      </c>
      <c r="H3085" s="12">
        <v>998399</v>
      </c>
      <c r="I3085" s="4">
        <v>1012.5</v>
      </c>
      <c r="J3085" s="4">
        <v>1012.5</v>
      </c>
      <c r="K3085" s="4">
        <v>0</v>
      </c>
      <c r="L3085" s="4">
        <v>0</v>
      </c>
      <c r="M3085" s="14" t="s">
        <v>19</v>
      </c>
      <c r="N3085" s="15">
        <f t="shared" si="73"/>
        <v>2025</v>
      </c>
    </row>
    <row r="3086" spans="1:14">
      <c r="A3086" s="12">
        <v>3085</v>
      </c>
      <c r="B3086" s="1" t="s">
        <v>4084</v>
      </c>
      <c r="C3086" s="42" t="s">
        <v>4085</v>
      </c>
      <c r="D3086" s="42" t="s">
        <v>4498</v>
      </c>
      <c r="E3086" s="42" t="s">
        <v>777</v>
      </c>
      <c r="F3086" s="4">
        <v>119688</v>
      </c>
      <c r="G3086" s="45" t="s">
        <v>18</v>
      </c>
      <c r="H3086" s="12">
        <v>997157</v>
      </c>
      <c r="I3086" s="4">
        <v>0</v>
      </c>
      <c r="J3086" s="4">
        <v>0</v>
      </c>
      <c r="K3086" s="4">
        <v>233.54</v>
      </c>
      <c r="L3086" s="4">
        <v>0</v>
      </c>
      <c r="M3086" s="14" t="s">
        <v>19</v>
      </c>
      <c r="N3086" s="15">
        <f t="shared" si="73"/>
        <v>233.54</v>
      </c>
    </row>
    <row r="3087" spans="1:14">
      <c r="A3087" s="12">
        <v>3086</v>
      </c>
      <c r="B3087" s="1" t="s">
        <v>4084</v>
      </c>
      <c r="C3087" s="42" t="s">
        <v>4085</v>
      </c>
      <c r="D3087" s="42" t="s">
        <v>4499</v>
      </c>
      <c r="E3087" s="42" t="s">
        <v>779</v>
      </c>
      <c r="F3087" s="4">
        <v>136700</v>
      </c>
      <c r="G3087" s="45" t="s">
        <v>18</v>
      </c>
      <c r="H3087" s="12">
        <v>997157</v>
      </c>
      <c r="I3087" s="4">
        <v>0</v>
      </c>
      <c r="J3087" s="4">
        <v>0</v>
      </c>
      <c r="K3087" s="4">
        <v>248.85</v>
      </c>
      <c r="L3087" s="4">
        <v>0</v>
      </c>
      <c r="M3087" s="14" t="s">
        <v>19</v>
      </c>
      <c r="N3087" s="15">
        <f t="shared" si="73"/>
        <v>248.85</v>
      </c>
    </row>
    <row r="3088" spans="1:14">
      <c r="A3088" s="12">
        <v>3087</v>
      </c>
      <c r="B3088" s="1" t="s">
        <v>4084</v>
      </c>
      <c r="C3088" s="42" t="s">
        <v>4085</v>
      </c>
      <c r="D3088" s="42" t="s">
        <v>4500</v>
      </c>
      <c r="E3088" s="42" t="s">
        <v>779</v>
      </c>
      <c r="F3088" s="4">
        <v>132800.85</v>
      </c>
      <c r="G3088" s="45" t="s">
        <v>18</v>
      </c>
      <c r="H3088" s="12">
        <v>997157</v>
      </c>
      <c r="I3088" s="4">
        <v>0</v>
      </c>
      <c r="J3088" s="4">
        <v>0</v>
      </c>
      <c r="K3088" s="4">
        <v>245.49</v>
      </c>
      <c r="L3088" s="4">
        <v>0</v>
      </c>
      <c r="M3088" s="14" t="s">
        <v>19</v>
      </c>
      <c r="N3088" s="15">
        <f t="shared" si="73"/>
        <v>245.49</v>
      </c>
    </row>
    <row r="3089" spans="1:14">
      <c r="A3089" s="12">
        <v>3088</v>
      </c>
      <c r="B3089" s="1" t="s">
        <v>4501</v>
      </c>
      <c r="C3089" s="42" t="s">
        <v>4502</v>
      </c>
      <c r="D3089" s="42" t="s">
        <v>4503</v>
      </c>
      <c r="E3089" s="42" t="s">
        <v>783</v>
      </c>
      <c r="F3089" s="4">
        <v>378120</v>
      </c>
      <c r="G3089" s="45" t="s">
        <v>18</v>
      </c>
      <c r="H3089" s="14">
        <v>996791</v>
      </c>
      <c r="I3089" s="4">
        <v>0</v>
      </c>
      <c r="J3089" s="4">
        <v>0</v>
      </c>
      <c r="K3089" s="4">
        <v>0</v>
      </c>
      <c r="L3089" s="4">
        <v>0</v>
      </c>
      <c r="M3089" s="14" t="s">
        <v>19</v>
      </c>
      <c r="N3089" s="15">
        <f t="shared" si="73"/>
        <v>0</v>
      </c>
    </row>
    <row r="3090" spans="1:14">
      <c r="A3090" s="12">
        <v>3089</v>
      </c>
      <c r="B3090" s="1" t="s">
        <v>4501</v>
      </c>
      <c r="C3090" s="42" t="s">
        <v>4502</v>
      </c>
      <c r="D3090" s="42" t="s">
        <v>4504</v>
      </c>
      <c r="E3090" s="42" t="s">
        <v>783</v>
      </c>
      <c r="F3090" s="4">
        <v>81361</v>
      </c>
      <c r="G3090" s="45" t="s">
        <v>18</v>
      </c>
      <c r="H3090" s="14">
        <v>996791</v>
      </c>
      <c r="I3090" s="4">
        <v>0</v>
      </c>
      <c r="J3090" s="4">
        <v>0</v>
      </c>
      <c r="K3090" s="4">
        <v>12411</v>
      </c>
      <c r="L3090" s="4">
        <v>0</v>
      </c>
      <c r="M3090" s="14" t="s">
        <v>19</v>
      </c>
      <c r="N3090" s="15">
        <f t="shared" si="73"/>
        <v>12411</v>
      </c>
    </row>
    <row r="3091" spans="1:14">
      <c r="A3091" s="12">
        <v>3090</v>
      </c>
      <c r="B3091" s="1" t="s">
        <v>4501</v>
      </c>
      <c r="C3091" s="42" t="s">
        <v>4502</v>
      </c>
      <c r="D3091" s="42" t="s">
        <v>4505</v>
      </c>
      <c r="E3091" s="42" t="s">
        <v>783</v>
      </c>
      <c r="F3091" s="4">
        <v>378120</v>
      </c>
      <c r="G3091" s="45" t="s">
        <v>18</v>
      </c>
      <c r="H3091" s="14">
        <v>996791</v>
      </c>
      <c r="I3091" s="4">
        <v>0</v>
      </c>
      <c r="J3091" s="4">
        <v>0</v>
      </c>
      <c r="K3091" s="4">
        <v>0</v>
      </c>
      <c r="L3091" s="4">
        <v>0</v>
      </c>
      <c r="M3091" s="14" t="s">
        <v>19</v>
      </c>
      <c r="N3091" s="15">
        <f t="shared" si="73"/>
        <v>0</v>
      </c>
    </row>
    <row r="3092" spans="1:14">
      <c r="A3092" s="12">
        <v>3091</v>
      </c>
      <c r="B3092" s="1" t="s">
        <v>4501</v>
      </c>
      <c r="C3092" s="42" t="s">
        <v>4502</v>
      </c>
      <c r="D3092" s="42" t="s">
        <v>4506</v>
      </c>
      <c r="E3092" s="42" t="s">
        <v>783</v>
      </c>
      <c r="F3092" s="4">
        <v>77172</v>
      </c>
      <c r="G3092" s="45" t="s">
        <v>18</v>
      </c>
      <c r="H3092" s="14">
        <v>996791</v>
      </c>
      <c r="I3092" s="4">
        <v>0</v>
      </c>
      <c r="J3092" s="4">
        <v>0</v>
      </c>
      <c r="K3092" s="4">
        <v>11772</v>
      </c>
      <c r="L3092" s="4">
        <v>0</v>
      </c>
      <c r="M3092" s="14" t="s">
        <v>19</v>
      </c>
      <c r="N3092" s="15">
        <f t="shared" si="73"/>
        <v>11772</v>
      </c>
    </row>
    <row r="3093" spans="1:14">
      <c r="A3093" s="12">
        <v>3092</v>
      </c>
      <c r="B3093" s="1" t="s">
        <v>4507</v>
      </c>
      <c r="C3093" s="42" t="s">
        <v>989</v>
      </c>
      <c r="D3093" s="42" t="s">
        <v>4508</v>
      </c>
      <c r="E3093" s="42" t="s">
        <v>775</v>
      </c>
      <c r="F3093" s="4">
        <v>110124.68</v>
      </c>
      <c r="G3093" s="45" t="s">
        <v>18</v>
      </c>
      <c r="H3093" s="14">
        <v>998346</v>
      </c>
      <c r="I3093" s="4">
        <v>0</v>
      </c>
      <c r="J3093" s="4">
        <v>0</v>
      </c>
      <c r="K3093" s="4">
        <v>16798.68</v>
      </c>
      <c r="L3093" s="4">
        <v>0</v>
      </c>
      <c r="M3093" s="14" t="s">
        <v>19</v>
      </c>
      <c r="N3093" s="15">
        <f t="shared" si="73"/>
        <v>16798.68</v>
      </c>
    </row>
    <row r="3094" spans="1:14">
      <c r="A3094" s="12">
        <v>3093</v>
      </c>
      <c r="B3094" s="1" t="s">
        <v>4509</v>
      </c>
      <c r="C3094" s="42" t="s">
        <v>4510</v>
      </c>
      <c r="D3094" s="42" t="s">
        <v>4511</v>
      </c>
      <c r="E3094" s="42" t="s">
        <v>454</v>
      </c>
      <c r="F3094" s="4">
        <v>1353450</v>
      </c>
      <c r="G3094" s="45" t="s">
        <v>24</v>
      </c>
      <c r="H3094" s="14">
        <v>10063010</v>
      </c>
      <c r="I3094" s="4">
        <v>0</v>
      </c>
      <c r="J3094" s="4">
        <v>0</v>
      </c>
      <c r="K3094" s="4">
        <v>64450</v>
      </c>
      <c r="L3094" s="4">
        <v>0</v>
      </c>
      <c r="M3094" s="14" t="s">
        <v>19</v>
      </c>
      <c r="N3094" s="15">
        <f t="shared" si="73"/>
        <v>64450</v>
      </c>
    </row>
    <row r="3095" spans="1:14">
      <c r="A3095" s="12">
        <v>3094</v>
      </c>
      <c r="B3095" s="1" t="s">
        <v>3936</v>
      </c>
      <c r="C3095" s="42" t="s">
        <v>3937</v>
      </c>
      <c r="D3095" s="42" t="s">
        <v>4512</v>
      </c>
      <c r="E3095" s="42" t="s">
        <v>4459</v>
      </c>
      <c r="F3095" s="4">
        <v>19717.21</v>
      </c>
      <c r="G3095" s="45" t="s">
        <v>18</v>
      </c>
      <c r="H3095" s="3">
        <v>9971</v>
      </c>
      <c r="I3095" s="4">
        <v>1503.86</v>
      </c>
      <c r="J3095" s="4">
        <v>1503.86</v>
      </c>
      <c r="K3095" s="4">
        <v>0</v>
      </c>
      <c r="L3095" s="4">
        <v>0</v>
      </c>
      <c r="M3095" s="14" t="s">
        <v>19</v>
      </c>
      <c r="N3095" s="15">
        <f t="shared" si="73"/>
        <v>3007.72</v>
      </c>
    </row>
    <row r="3096" spans="1:14">
      <c r="A3096" s="12">
        <v>3095</v>
      </c>
      <c r="B3096" s="1" t="s">
        <v>3936</v>
      </c>
      <c r="C3096" s="42" t="s">
        <v>3937</v>
      </c>
      <c r="D3096" s="42" t="s">
        <v>4513</v>
      </c>
      <c r="E3096" s="42" t="s">
        <v>4459</v>
      </c>
      <c r="F3096" s="4">
        <v>354</v>
      </c>
      <c r="G3096" s="45" t="s">
        <v>18</v>
      </c>
      <c r="H3096" s="3">
        <v>9971</v>
      </c>
      <c r="I3096" s="4">
        <v>27</v>
      </c>
      <c r="J3096" s="4">
        <v>27</v>
      </c>
      <c r="K3096" s="4">
        <v>0</v>
      </c>
      <c r="L3096" s="4">
        <v>0</v>
      </c>
      <c r="M3096" s="14" t="s">
        <v>19</v>
      </c>
      <c r="N3096" s="15">
        <f t="shared" si="73"/>
        <v>54</v>
      </c>
    </row>
    <row r="3097" spans="1:14">
      <c r="A3097" s="12">
        <v>3096</v>
      </c>
      <c r="B3097" s="1" t="s">
        <v>3936</v>
      </c>
      <c r="C3097" s="42" t="s">
        <v>3937</v>
      </c>
      <c r="D3097" s="42" t="s">
        <v>4514</v>
      </c>
      <c r="E3097" s="42" t="s">
        <v>1281</v>
      </c>
      <c r="F3097" s="4">
        <v>12542.48</v>
      </c>
      <c r="G3097" s="45" t="s">
        <v>18</v>
      </c>
      <c r="H3097" s="3">
        <v>9971</v>
      </c>
      <c r="I3097" s="4">
        <v>956.63</v>
      </c>
      <c r="J3097" s="4">
        <v>956.63</v>
      </c>
      <c r="K3097" s="4">
        <v>0</v>
      </c>
      <c r="L3097" s="4">
        <v>0</v>
      </c>
      <c r="M3097" s="14" t="s">
        <v>19</v>
      </c>
      <c r="N3097" s="15">
        <f t="shared" si="73"/>
        <v>1913.26</v>
      </c>
    </row>
    <row r="3098" spans="1:14">
      <c r="A3098" s="12">
        <v>3097</v>
      </c>
      <c r="B3098" s="1" t="s">
        <v>3936</v>
      </c>
      <c r="C3098" s="42" t="s">
        <v>3937</v>
      </c>
      <c r="D3098" s="42" t="s">
        <v>4515</v>
      </c>
      <c r="E3098" s="42" t="s">
        <v>775</v>
      </c>
      <c r="F3098" s="4">
        <v>5.9</v>
      </c>
      <c r="G3098" s="45" t="s">
        <v>18</v>
      </c>
      <c r="H3098" s="3">
        <v>9971</v>
      </c>
      <c r="I3098" s="4">
        <v>0.45</v>
      </c>
      <c r="J3098" s="4">
        <v>0.45</v>
      </c>
      <c r="K3098" s="4">
        <v>0</v>
      </c>
      <c r="L3098" s="4">
        <v>0</v>
      </c>
      <c r="M3098" s="14" t="s">
        <v>19</v>
      </c>
      <c r="N3098" s="15">
        <f t="shared" si="73"/>
        <v>0.9</v>
      </c>
    </row>
    <row r="3099" spans="1:14">
      <c r="A3099" s="12">
        <v>3098</v>
      </c>
      <c r="B3099" s="1" t="s">
        <v>3936</v>
      </c>
      <c r="C3099" s="42" t="s">
        <v>3937</v>
      </c>
      <c r="D3099" s="42" t="s">
        <v>4516</v>
      </c>
      <c r="E3099" s="42" t="s">
        <v>1281</v>
      </c>
      <c r="F3099" s="4">
        <v>354</v>
      </c>
      <c r="G3099" s="45" t="s">
        <v>18</v>
      </c>
      <c r="H3099" s="3">
        <v>9971</v>
      </c>
      <c r="I3099" s="4">
        <v>27</v>
      </c>
      <c r="J3099" s="4">
        <v>27</v>
      </c>
      <c r="K3099" s="4">
        <v>0</v>
      </c>
      <c r="L3099" s="4">
        <v>0</v>
      </c>
      <c r="M3099" s="14" t="s">
        <v>19</v>
      </c>
      <c r="N3099" s="15">
        <f t="shared" si="73"/>
        <v>54</v>
      </c>
    </row>
    <row r="3100" spans="1:14">
      <c r="A3100" s="12">
        <v>3099</v>
      </c>
      <c r="B3100" s="1" t="s">
        <v>3936</v>
      </c>
      <c r="C3100" s="42" t="s">
        <v>3937</v>
      </c>
      <c r="D3100" s="42" t="s">
        <v>4517</v>
      </c>
      <c r="E3100" s="42" t="s">
        <v>1207</v>
      </c>
      <c r="F3100" s="4">
        <v>8854.98</v>
      </c>
      <c r="G3100" s="45" t="s">
        <v>18</v>
      </c>
      <c r="H3100" s="3">
        <v>9971</v>
      </c>
      <c r="I3100" s="4">
        <v>675.38</v>
      </c>
      <c r="J3100" s="4">
        <v>675.38</v>
      </c>
      <c r="K3100" s="4">
        <v>0</v>
      </c>
      <c r="L3100" s="4">
        <v>0</v>
      </c>
      <c r="M3100" s="14" t="s">
        <v>19</v>
      </c>
      <c r="N3100" s="15">
        <f t="shared" si="73"/>
        <v>1350.76</v>
      </c>
    </row>
    <row r="3101" spans="1:14">
      <c r="A3101" s="12">
        <v>3100</v>
      </c>
      <c r="B3101" s="1" t="s">
        <v>3936</v>
      </c>
      <c r="C3101" s="42" t="s">
        <v>3937</v>
      </c>
      <c r="D3101" s="42" t="s">
        <v>4518</v>
      </c>
      <c r="E3101" s="42" t="s">
        <v>788</v>
      </c>
      <c r="F3101" s="4">
        <v>12447.89</v>
      </c>
      <c r="G3101" s="45" t="s">
        <v>18</v>
      </c>
      <c r="H3101" s="3">
        <v>9971</v>
      </c>
      <c r="I3101" s="4">
        <v>949.42</v>
      </c>
      <c r="J3101" s="4">
        <v>949.42</v>
      </c>
      <c r="K3101" s="4">
        <v>0</v>
      </c>
      <c r="L3101" s="4">
        <v>0</v>
      </c>
      <c r="M3101" s="14" t="s">
        <v>19</v>
      </c>
      <c r="N3101" s="15">
        <f t="shared" si="73"/>
        <v>1898.84</v>
      </c>
    </row>
    <row r="3102" spans="1:14">
      <c r="A3102" s="12">
        <v>3101</v>
      </c>
      <c r="B3102" s="1" t="s">
        <v>3936</v>
      </c>
      <c r="C3102" s="42" t="s">
        <v>3937</v>
      </c>
      <c r="D3102" s="42" t="s">
        <v>4519</v>
      </c>
      <c r="E3102" s="42" t="s">
        <v>51</v>
      </c>
      <c r="F3102" s="4">
        <v>3337.22</v>
      </c>
      <c r="G3102" s="45" t="s">
        <v>18</v>
      </c>
      <c r="H3102" s="3">
        <v>9971</v>
      </c>
      <c r="I3102" s="4">
        <v>254.53</v>
      </c>
      <c r="J3102" s="4">
        <v>254.53</v>
      </c>
      <c r="K3102" s="4">
        <v>0</v>
      </c>
      <c r="L3102" s="4">
        <v>0</v>
      </c>
      <c r="M3102" s="14" t="s">
        <v>19</v>
      </c>
      <c r="N3102" s="15">
        <f t="shared" si="73"/>
        <v>509.06</v>
      </c>
    </row>
    <row r="3103" spans="1:14">
      <c r="A3103" s="12">
        <v>3102</v>
      </c>
      <c r="B3103" s="1" t="s">
        <v>3936</v>
      </c>
      <c r="C3103" s="42" t="s">
        <v>3937</v>
      </c>
      <c r="D3103" s="42" t="s">
        <v>4520</v>
      </c>
      <c r="E3103" s="42" t="s">
        <v>51</v>
      </c>
      <c r="F3103" s="4">
        <v>2349.75</v>
      </c>
      <c r="G3103" s="45" t="s">
        <v>18</v>
      </c>
      <c r="H3103" s="3">
        <v>9971</v>
      </c>
      <c r="I3103" s="4">
        <v>179.22</v>
      </c>
      <c r="J3103" s="4">
        <v>179.22</v>
      </c>
      <c r="K3103" s="4">
        <v>0</v>
      </c>
      <c r="L3103" s="4">
        <v>0</v>
      </c>
      <c r="M3103" s="14" t="s">
        <v>19</v>
      </c>
      <c r="N3103" s="15">
        <f t="shared" si="73"/>
        <v>358.44</v>
      </c>
    </row>
    <row r="3104" spans="1:14">
      <c r="A3104" s="12">
        <v>3103</v>
      </c>
      <c r="B3104" s="1" t="s">
        <v>3936</v>
      </c>
      <c r="C3104" s="42" t="s">
        <v>3937</v>
      </c>
      <c r="D3104" s="42" t="s">
        <v>4521</v>
      </c>
      <c r="E3104" s="42" t="s">
        <v>51</v>
      </c>
      <c r="F3104" s="4">
        <v>590</v>
      </c>
      <c r="G3104" s="45" t="s">
        <v>18</v>
      </c>
      <c r="H3104" s="3">
        <v>9971</v>
      </c>
      <c r="I3104" s="4">
        <v>45</v>
      </c>
      <c r="J3104" s="4">
        <v>45</v>
      </c>
      <c r="K3104" s="4">
        <v>0</v>
      </c>
      <c r="L3104" s="4">
        <v>0</v>
      </c>
      <c r="M3104" s="14" t="s">
        <v>19</v>
      </c>
      <c r="N3104" s="15">
        <f t="shared" si="73"/>
        <v>90</v>
      </c>
    </row>
    <row r="3105" spans="1:14">
      <c r="A3105" s="12">
        <v>3104</v>
      </c>
      <c r="B3105" s="1" t="s">
        <v>3936</v>
      </c>
      <c r="C3105" s="42" t="s">
        <v>3937</v>
      </c>
      <c r="D3105" s="42" t="s">
        <v>4522</v>
      </c>
      <c r="E3105" s="42" t="s">
        <v>51</v>
      </c>
      <c r="F3105" s="4">
        <v>1180</v>
      </c>
      <c r="G3105" s="45" t="s">
        <v>18</v>
      </c>
      <c r="H3105" s="3">
        <v>9971</v>
      </c>
      <c r="I3105" s="4">
        <v>90</v>
      </c>
      <c r="J3105" s="4">
        <v>90</v>
      </c>
      <c r="K3105" s="4">
        <v>0</v>
      </c>
      <c r="L3105" s="4">
        <v>0</v>
      </c>
      <c r="M3105" s="14" t="s">
        <v>19</v>
      </c>
      <c r="N3105" s="15">
        <f t="shared" si="73"/>
        <v>180</v>
      </c>
    </row>
    <row r="3106" spans="1:14">
      <c r="A3106" s="12">
        <v>3105</v>
      </c>
      <c r="B3106" s="1" t="s">
        <v>3936</v>
      </c>
      <c r="C3106" s="42" t="s">
        <v>3937</v>
      </c>
      <c r="D3106" s="42" t="s">
        <v>4523</v>
      </c>
      <c r="E3106" s="42" t="s">
        <v>1418</v>
      </c>
      <c r="F3106" s="4">
        <v>26686.880000000001</v>
      </c>
      <c r="G3106" s="45" t="s">
        <v>18</v>
      </c>
      <c r="H3106" s="3">
        <v>9971</v>
      </c>
      <c r="I3106" s="4">
        <v>2035.44</v>
      </c>
      <c r="J3106" s="4">
        <v>2035.44</v>
      </c>
      <c r="K3106" s="4">
        <v>0</v>
      </c>
      <c r="L3106" s="4">
        <v>0</v>
      </c>
      <c r="M3106" s="14" t="s">
        <v>19</v>
      </c>
      <c r="N3106" s="15">
        <f t="shared" si="73"/>
        <v>4070.88</v>
      </c>
    </row>
    <row r="3107" spans="1:14">
      <c r="A3107" s="12">
        <v>3106</v>
      </c>
      <c r="B3107" s="1" t="s">
        <v>3936</v>
      </c>
      <c r="C3107" s="42" t="s">
        <v>3937</v>
      </c>
      <c r="D3107" s="42" t="s">
        <v>4524</v>
      </c>
      <c r="E3107" s="42" t="s">
        <v>1207</v>
      </c>
      <c r="F3107" s="4">
        <v>354</v>
      </c>
      <c r="G3107" s="45" t="s">
        <v>18</v>
      </c>
      <c r="H3107" s="3">
        <v>9971</v>
      </c>
      <c r="I3107" s="4">
        <v>27</v>
      </c>
      <c r="J3107" s="4">
        <v>27</v>
      </c>
      <c r="K3107" s="4">
        <v>0</v>
      </c>
      <c r="L3107" s="4">
        <v>0</v>
      </c>
      <c r="M3107" s="14" t="s">
        <v>19</v>
      </c>
      <c r="N3107" s="15">
        <f t="shared" si="73"/>
        <v>54</v>
      </c>
    </row>
    <row r="3108" spans="1:14">
      <c r="A3108" s="12">
        <v>3107</v>
      </c>
      <c r="B3108" s="1" t="s">
        <v>3936</v>
      </c>
      <c r="C3108" s="42" t="s">
        <v>3937</v>
      </c>
      <c r="D3108" s="42" t="s">
        <v>4525</v>
      </c>
      <c r="E3108" s="42" t="s">
        <v>779</v>
      </c>
      <c r="F3108" s="4">
        <v>1475</v>
      </c>
      <c r="G3108" s="45" t="s">
        <v>18</v>
      </c>
      <c r="H3108" s="3">
        <v>9971</v>
      </c>
      <c r="I3108" s="4">
        <v>112.5</v>
      </c>
      <c r="J3108" s="4">
        <v>112.5</v>
      </c>
      <c r="K3108" s="4">
        <v>0</v>
      </c>
      <c r="L3108" s="4">
        <v>0</v>
      </c>
      <c r="M3108" s="14" t="s">
        <v>19</v>
      </c>
      <c r="N3108" s="15">
        <f t="shared" si="73"/>
        <v>225</v>
      </c>
    </row>
    <row r="3109" spans="1:14">
      <c r="A3109" s="12">
        <v>3108</v>
      </c>
      <c r="B3109" s="1" t="s">
        <v>3936</v>
      </c>
      <c r="C3109" s="42" t="s">
        <v>3937</v>
      </c>
      <c r="D3109" s="42" t="s">
        <v>4526</v>
      </c>
      <c r="E3109" s="42" t="s">
        <v>1418</v>
      </c>
      <c r="F3109" s="4">
        <v>354</v>
      </c>
      <c r="G3109" s="45" t="s">
        <v>18</v>
      </c>
      <c r="H3109" s="3">
        <v>9971</v>
      </c>
      <c r="I3109" s="4">
        <v>27</v>
      </c>
      <c r="J3109" s="4">
        <v>27</v>
      </c>
      <c r="K3109" s="4">
        <v>0</v>
      </c>
      <c r="L3109" s="4">
        <v>0</v>
      </c>
      <c r="M3109" s="14" t="s">
        <v>19</v>
      </c>
      <c r="N3109" s="15">
        <f t="shared" si="73"/>
        <v>54</v>
      </c>
    </row>
    <row r="3110" spans="1:14">
      <c r="A3110" s="12">
        <v>3109</v>
      </c>
      <c r="B3110" s="1" t="s">
        <v>3936</v>
      </c>
      <c r="C3110" s="42" t="s">
        <v>3937</v>
      </c>
      <c r="D3110" s="42" t="s">
        <v>4527</v>
      </c>
      <c r="E3110" s="42" t="s">
        <v>1418</v>
      </c>
      <c r="F3110" s="4">
        <v>5605</v>
      </c>
      <c r="G3110" s="45" t="s">
        <v>18</v>
      </c>
      <c r="H3110" s="3">
        <v>9971</v>
      </c>
      <c r="I3110" s="4">
        <v>427.5</v>
      </c>
      <c r="J3110" s="4">
        <v>427.5</v>
      </c>
      <c r="K3110" s="4">
        <v>0</v>
      </c>
      <c r="L3110" s="4">
        <v>0</v>
      </c>
      <c r="M3110" s="14" t="s">
        <v>19</v>
      </c>
      <c r="N3110" s="15">
        <f t="shared" ref="N3110:N3130" si="74">SUM(I3110:L3110)</f>
        <v>855</v>
      </c>
    </row>
    <row r="3111" spans="1:14">
      <c r="A3111" s="12">
        <v>3110</v>
      </c>
      <c r="B3111" s="1" t="s">
        <v>3936</v>
      </c>
      <c r="C3111" s="42" t="s">
        <v>3937</v>
      </c>
      <c r="D3111" s="42" t="s">
        <v>4528</v>
      </c>
      <c r="E3111" s="42" t="s">
        <v>777</v>
      </c>
      <c r="F3111" s="4">
        <v>2667.97</v>
      </c>
      <c r="G3111" s="45" t="s">
        <v>18</v>
      </c>
      <c r="H3111" s="3">
        <v>9971</v>
      </c>
      <c r="I3111" s="4">
        <v>203.49</v>
      </c>
      <c r="J3111" s="4">
        <v>203.49</v>
      </c>
      <c r="K3111" s="4">
        <v>0</v>
      </c>
      <c r="L3111" s="4">
        <v>0</v>
      </c>
      <c r="M3111" s="14" t="s">
        <v>19</v>
      </c>
      <c r="N3111" s="15">
        <f t="shared" si="74"/>
        <v>406.98</v>
      </c>
    </row>
    <row r="3112" spans="1:14">
      <c r="A3112" s="12">
        <v>3111</v>
      </c>
      <c r="B3112" s="1" t="s">
        <v>3936</v>
      </c>
      <c r="C3112" s="42" t="s">
        <v>3937</v>
      </c>
      <c r="D3112" s="42" t="s">
        <v>4529</v>
      </c>
      <c r="E3112" s="42" t="s">
        <v>777</v>
      </c>
      <c r="F3112" s="4">
        <v>1180</v>
      </c>
      <c r="G3112" s="45" t="s">
        <v>18</v>
      </c>
      <c r="H3112" s="3">
        <v>9971</v>
      </c>
      <c r="I3112" s="4">
        <v>90</v>
      </c>
      <c r="J3112" s="4">
        <v>90</v>
      </c>
      <c r="K3112" s="4">
        <v>0</v>
      </c>
      <c r="L3112" s="4">
        <v>0</v>
      </c>
      <c r="M3112" s="14" t="s">
        <v>19</v>
      </c>
      <c r="N3112" s="15">
        <f t="shared" si="74"/>
        <v>180</v>
      </c>
    </row>
    <row r="3113" spans="1:14">
      <c r="A3113" s="12">
        <v>3112</v>
      </c>
      <c r="B3113" s="1" t="s">
        <v>3936</v>
      </c>
      <c r="C3113" s="42" t="s">
        <v>3937</v>
      </c>
      <c r="D3113" s="42" t="s">
        <v>4530</v>
      </c>
      <c r="E3113" s="42" t="s">
        <v>777</v>
      </c>
      <c r="F3113" s="4">
        <v>590</v>
      </c>
      <c r="G3113" s="45" t="s">
        <v>18</v>
      </c>
      <c r="H3113" s="3">
        <v>9971</v>
      </c>
      <c r="I3113" s="4">
        <v>45</v>
      </c>
      <c r="J3113" s="4">
        <v>45</v>
      </c>
      <c r="K3113" s="4">
        <v>0</v>
      </c>
      <c r="L3113" s="4">
        <v>0</v>
      </c>
      <c r="M3113" s="14" t="s">
        <v>19</v>
      </c>
      <c r="N3113" s="15">
        <f t="shared" si="74"/>
        <v>90</v>
      </c>
    </row>
    <row r="3114" spans="1:14">
      <c r="A3114" s="12">
        <v>3113</v>
      </c>
      <c r="B3114" s="1" t="s">
        <v>3936</v>
      </c>
      <c r="C3114" s="42" t="s">
        <v>3937</v>
      </c>
      <c r="D3114" s="42" t="s">
        <v>4531</v>
      </c>
      <c r="E3114" s="42" t="s">
        <v>456</v>
      </c>
      <c r="F3114" s="4">
        <v>1180</v>
      </c>
      <c r="G3114" s="45" t="s">
        <v>18</v>
      </c>
      <c r="H3114" s="3">
        <v>9971</v>
      </c>
      <c r="I3114" s="4">
        <v>90</v>
      </c>
      <c r="J3114" s="4">
        <v>90</v>
      </c>
      <c r="K3114" s="4">
        <v>0</v>
      </c>
      <c r="L3114" s="4">
        <v>0</v>
      </c>
      <c r="M3114" s="14" t="s">
        <v>19</v>
      </c>
      <c r="N3114" s="15">
        <f t="shared" si="74"/>
        <v>180</v>
      </c>
    </row>
    <row r="3115" spans="1:14">
      <c r="A3115" s="12">
        <v>3114</v>
      </c>
      <c r="B3115" s="1" t="s">
        <v>3936</v>
      </c>
      <c r="C3115" s="42" t="s">
        <v>3937</v>
      </c>
      <c r="D3115" s="42" t="s">
        <v>4532</v>
      </c>
      <c r="E3115" s="42" t="s">
        <v>456</v>
      </c>
      <c r="F3115" s="4">
        <v>354</v>
      </c>
      <c r="G3115" s="45" t="s">
        <v>18</v>
      </c>
      <c r="H3115" s="3">
        <v>9971</v>
      </c>
      <c r="I3115" s="4">
        <v>27</v>
      </c>
      <c r="J3115" s="4">
        <v>27</v>
      </c>
      <c r="K3115" s="4">
        <v>0</v>
      </c>
      <c r="L3115" s="4">
        <v>0</v>
      </c>
      <c r="M3115" s="14" t="s">
        <v>19</v>
      </c>
      <c r="N3115" s="15">
        <f t="shared" si="74"/>
        <v>54</v>
      </c>
    </row>
    <row r="3116" spans="1:14">
      <c r="A3116" s="12">
        <v>3115</v>
      </c>
      <c r="B3116" s="1" t="s">
        <v>3936</v>
      </c>
      <c r="C3116" s="42" t="s">
        <v>3937</v>
      </c>
      <c r="D3116" s="42" t="s">
        <v>4533</v>
      </c>
      <c r="E3116" s="42" t="s">
        <v>456</v>
      </c>
      <c r="F3116" s="4">
        <v>590</v>
      </c>
      <c r="G3116" s="45" t="s">
        <v>18</v>
      </c>
      <c r="H3116" s="3">
        <v>9971</v>
      </c>
      <c r="I3116" s="4">
        <v>45</v>
      </c>
      <c r="J3116" s="4">
        <v>45</v>
      </c>
      <c r="K3116" s="4">
        <v>0</v>
      </c>
      <c r="L3116" s="4">
        <v>0</v>
      </c>
      <c r="M3116" s="14" t="s">
        <v>19</v>
      </c>
      <c r="N3116" s="15">
        <f t="shared" si="74"/>
        <v>90</v>
      </c>
    </row>
    <row r="3117" spans="1:14">
      <c r="A3117" s="12">
        <v>3116</v>
      </c>
      <c r="B3117" s="1" t="s">
        <v>3936</v>
      </c>
      <c r="C3117" s="42" t="s">
        <v>3937</v>
      </c>
      <c r="D3117" s="42" t="s">
        <v>4534</v>
      </c>
      <c r="E3117" s="42" t="s">
        <v>456</v>
      </c>
      <c r="F3117" s="4">
        <v>1180</v>
      </c>
      <c r="G3117" s="45" t="s">
        <v>18</v>
      </c>
      <c r="H3117" s="3">
        <v>9971</v>
      </c>
      <c r="I3117" s="4">
        <v>90</v>
      </c>
      <c r="J3117" s="4">
        <v>90</v>
      </c>
      <c r="K3117" s="4">
        <v>0</v>
      </c>
      <c r="L3117" s="4">
        <v>0</v>
      </c>
      <c r="M3117" s="14" t="s">
        <v>19</v>
      </c>
      <c r="N3117" s="15">
        <f t="shared" si="74"/>
        <v>180</v>
      </c>
    </row>
    <row r="3118" spans="1:14">
      <c r="A3118" s="12">
        <v>3117</v>
      </c>
      <c r="B3118" s="1" t="s">
        <v>3936</v>
      </c>
      <c r="C3118" s="42" t="s">
        <v>3937</v>
      </c>
      <c r="D3118" s="42" t="s">
        <v>4535</v>
      </c>
      <c r="E3118" s="42" t="s">
        <v>456</v>
      </c>
      <c r="F3118" s="4">
        <v>1475</v>
      </c>
      <c r="G3118" s="45" t="s">
        <v>18</v>
      </c>
      <c r="H3118" s="3">
        <v>9971</v>
      </c>
      <c r="I3118" s="4">
        <v>112.5</v>
      </c>
      <c r="J3118" s="4">
        <v>112.5</v>
      </c>
      <c r="K3118" s="4">
        <v>0</v>
      </c>
      <c r="L3118" s="4">
        <v>0</v>
      </c>
      <c r="M3118" s="14" t="s">
        <v>19</v>
      </c>
      <c r="N3118" s="15">
        <f t="shared" si="74"/>
        <v>225</v>
      </c>
    </row>
    <row r="3119" spans="1:14">
      <c r="A3119" s="12">
        <v>3118</v>
      </c>
      <c r="B3119" s="1" t="s">
        <v>3936</v>
      </c>
      <c r="C3119" s="42" t="s">
        <v>3937</v>
      </c>
      <c r="D3119" s="42" t="s">
        <v>4536</v>
      </c>
      <c r="E3119" s="42" t="s">
        <v>456</v>
      </c>
      <c r="F3119" s="4">
        <v>628.52</v>
      </c>
      <c r="G3119" s="45" t="s">
        <v>18</v>
      </c>
      <c r="H3119" s="3">
        <v>9971</v>
      </c>
      <c r="I3119" s="4">
        <v>47.94</v>
      </c>
      <c r="J3119" s="4">
        <v>47.94</v>
      </c>
      <c r="K3119" s="4">
        <v>0</v>
      </c>
      <c r="L3119" s="4">
        <v>0</v>
      </c>
      <c r="M3119" s="14" t="s">
        <v>19</v>
      </c>
      <c r="N3119" s="15">
        <f t="shared" si="74"/>
        <v>95.88</v>
      </c>
    </row>
    <row r="3120" spans="1:14">
      <c r="A3120" s="12">
        <v>3119</v>
      </c>
      <c r="B3120" s="1" t="s">
        <v>3936</v>
      </c>
      <c r="C3120" s="42" t="s">
        <v>3937</v>
      </c>
      <c r="D3120" s="42" t="s">
        <v>4537</v>
      </c>
      <c r="E3120" s="42" t="s">
        <v>788</v>
      </c>
      <c r="F3120" s="4">
        <v>28492.35</v>
      </c>
      <c r="G3120" s="45" t="s">
        <v>18</v>
      </c>
      <c r="H3120" s="3">
        <v>9971</v>
      </c>
      <c r="I3120" s="4">
        <v>2173.15</v>
      </c>
      <c r="J3120" s="4">
        <v>2173.15</v>
      </c>
      <c r="K3120" s="4">
        <v>0</v>
      </c>
      <c r="L3120" s="4">
        <v>0</v>
      </c>
      <c r="M3120" s="14" t="s">
        <v>19</v>
      </c>
      <c r="N3120" s="15">
        <f t="shared" si="74"/>
        <v>4346.3</v>
      </c>
    </row>
    <row r="3121" spans="1:14">
      <c r="A3121" s="12">
        <v>3120</v>
      </c>
      <c r="B3121" s="1" t="s">
        <v>3936</v>
      </c>
      <c r="C3121" s="42" t="s">
        <v>3937</v>
      </c>
      <c r="D3121" s="42" t="s">
        <v>4538</v>
      </c>
      <c r="E3121" s="42" t="s">
        <v>1212</v>
      </c>
      <c r="F3121" s="4">
        <v>1475</v>
      </c>
      <c r="G3121" s="45" t="s">
        <v>18</v>
      </c>
      <c r="H3121" s="3">
        <v>9971</v>
      </c>
      <c r="I3121" s="4">
        <v>112.5</v>
      </c>
      <c r="J3121" s="4">
        <v>112.5</v>
      </c>
      <c r="K3121" s="4">
        <v>0</v>
      </c>
      <c r="L3121" s="4">
        <v>0</v>
      </c>
      <c r="M3121" s="14" t="s">
        <v>19</v>
      </c>
      <c r="N3121" s="15">
        <f t="shared" si="74"/>
        <v>225</v>
      </c>
    </row>
    <row r="3122" spans="1:14">
      <c r="A3122" s="12">
        <v>3121</v>
      </c>
      <c r="B3122" s="1" t="s">
        <v>3936</v>
      </c>
      <c r="C3122" s="42" t="s">
        <v>3937</v>
      </c>
      <c r="D3122" s="42" t="s">
        <v>4539</v>
      </c>
      <c r="E3122" s="42" t="s">
        <v>454</v>
      </c>
      <c r="F3122" s="4">
        <v>118</v>
      </c>
      <c r="G3122" s="45" t="s">
        <v>18</v>
      </c>
      <c r="H3122" s="3">
        <v>9971</v>
      </c>
      <c r="I3122" s="4">
        <v>9</v>
      </c>
      <c r="J3122" s="4">
        <v>9</v>
      </c>
      <c r="K3122" s="4">
        <v>0</v>
      </c>
      <c r="L3122" s="4">
        <v>0</v>
      </c>
      <c r="M3122" s="14" t="s">
        <v>19</v>
      </c>
      <c r="N3122" s="15">
        <f t="shared" si="74"/>
        <v>18</v>
      </c>
    </row>
    <row r="3123" spans="1:14">
      <c r="A3123" s="12">
        <v>3122</v>
      </c>
      <c r="B3123" s="1" t="s">
        <v>3936</v>
      </c>
      <c r="C3123" s="42" t="s">
        <v>3937</v>
      </c>
      <c r="D3123" s="42" t="s">
        <v>4540</v>
      </c>
      <c r="E3123" s="42" t="s">
        <v>1216</v>
      </c>
      <c r="F3123" s="4">
        <v>19990.580000000002</v>
      </c>
      <c r="G3123" s="45" t="s">
        <v>18</v>
      </c>
      <c r="H3123" s="3">
        <v>9971</v>
      </c>
      <c r="I3123" s="4">
        <v>1524.71</v>
      </c>
      <c r="J3123" s="4">
        <v>1524.71</v>
      </c>
      <c r="K3123" s="4">
        <v>0</v>
      </c>
      <c r="L3123" s="4">
        <v>0</v>
      </c>
      <c r="M3123" s="14" t="s">
        <v>19</v>
      </c>
      <c r="N3123" s="15">
        <f t="shared" si="74"/>
        <v>3049.42</v>
      </c>
    </row>
    <row r="3124" spans="1:14">
      <c r="A3124" s="12">
        <v>3123</v>
      </c>
      <c r="B3124" s="1" t="s">
        <v>3936</v>
      </c>
      <c r="C3124" s="42" t="s">
        <v>3937</v>
      </c>
      <c r="D3124" s="42" t="s">
        <v>4541</v>
      </c>
      <c r="E3124" s="42" t="s">
        <v>1216</v>
      </c>
      <c r="F3124" s="4">
        <v>354</v>
      </c>
      <c r="G3124" s="45" t="s">
        <v>18</v>
      </c>
      <c r="H3124" s="3">
        <v>9971</v>
      </c>
      <c r="I3124" s="4">
        <v>27</v>
      </c>
      <c r="J3124" s="4">
        <v>27</v>
      </c>
      <c r="K3124" s="4">
        <v>0</v>
      </c>
      <c r="L3124" s="4">
        <v>0</v>
      </c>
      <c r="M3124" s="14" t="s">
        <v>19</v>
      </c>
      <c r="N3124" s="15">
        <f t="shared" si="74"/>
        <v>54</v>
      </c>
    </row>
    <row r="3125" spans="1:14">
      <c r="A3125" s="12">
        <v>3124</v>
      </c>
      <c r="B3125" s="1" t="s">
        <v>3936</v>
      </c>
      <c r="C3125" s="42" t="s">
        <v>3937</v>
      </c>
      <c r="D3125" s="42" t="s">
        <v>4542</v>
      </c>
      <c r="E3125" s="42" t="s">
        <v>4543</v>
      </c>
      <c r="F3125" s="4">
        <v>1180</v>
      </c>
      <c r="G3125" s="45" t="s">
        <v>18</v>
      </c>
      <c r="H3125" s="3">
        <v>9971</v>
      </c>
      <c r="I3125" s="4">
        <v>90</v>
      </c>
      <c r="J3125" s="4">
        <v>90</v>
      </c>
      <c r="K3125" s="4">
        <v>0</v>
      </c>
      <c r="L3125" s="4">
        <v>0</v>
      </c>
      <c r="M3125" s="14" t="s">
        <v>19</v>
      </c>
      <c r="N3125" s="15">
        <f t="shared" si="74"/>
        <v>180</v>
      </c>
    </row>
    <row r="3126" spans="1:14">
      <c r="A3126" s="12">
        <v>3125</v>
      </c>
      <c r="B3126" s="1" t="s">
        <v>3936</v>
      </c>
      <c r="C3126" s="42" t="s">
        <v>3937</v>
      </c>
      <c r="D3126" s="42" t="s">
        <v>4544</v>
      </c>
      <c r="E3126" s="42" t="s">
        <v>4543</v>
      </c>
      <c r="F3126" s="4">
        <v>590</v>
      </c>
      <c r="G3126" s="45" t="s">
        <v>18</v>
      </c>
      <c r="H3126" s="3">
        <v>9971</v>
      </c>
      <c r="I3126" s="4">
        <v>45</v>
      </c>
      <c r="J3126" s="4">
        <v>45</v>
      </c>
      <c r="K3126" s="4">
        <v>0</v>
      </c>
      <c r="L3126" s="4">
        <v>0</v>
      </c>
      <c r="M3126" s="14" t="s">
        <v>19</v>
      </c>
      <c r="N3126" s="15">
        <f t="shared" si="74"/>
        <v>90</v>
      </c>
    </row>
    <row r="3127" spans="1:14">
      <c r="A3127" s="12">
        <v>3126</v>
      </c>
      <c r="B3127" s="1" t="s">
        <v>3936</v>
      </c>
      <c r="C3127" s="42" t="s">
        <v>3937</v>
      </c>
      <c r="D3127" s="42" t="s">
        <v>4545</v>
      </c>
      <c r="E3127" s="42" t="s">
        <v>4543</v>
      </c>
      <c r="F3127" s="4">
        <v>5313.75</v>
      </c>
      <c r="G3127" s="45" t="s">
        <v>18</v>
      </c>
      <c r="H3127" s="3">
        <v>9971</v>
      </c>
      <c r="I3127" s="4">
        <v>405.29</v>
      </c>
      <c r="J3127" s="4">
        <v>405.29</v>
      </c>
      <c r="K3127" s="4">
        <v>0</v>
      </c>
      <c r="L3127" s="4">
        <v>0</v>
      </c>
      <c r="M3127" s="14" t="s">
        <v>19</v>
      </c>
      <c r="N3127" s="15">
        <f t="shared" si="74"/>
        <v>810.58</v>
      </c>
    </row>
    <row r="3128" spans="1:14">
      <c r="A3128" s="12">
        <v>3127</v>
      </c>
      <c r="B3128" s="1" t="s">
        <v>4546</v>
      </c>
      <c r="C3128" s="42" t="s">
        <v>4547</v>
      </c>
      <c r="D3128" s="42" t="s">
        <v>4548</v>
      </c>
      <c r="E3128" s="42" t="s">
        <v>30</v>
      </c>
      <c r="F3128" s="4">
        <v>8850</v>
      </c>
      <c r="G3128" s="45" t="s">
        <v>18</v>
      </c>
      <c r="H3128" s="14">
        <v>998346</v>
      </c>
      <c r="I3128" s="4">
        <v>0</v>
      </c>
      <c r="J3128" s="4">
        <v>0</v>
      </c>
      <c r="K3128" s="4">
        <v>1350</v>
      </c>
      <c r="L3128" s="4">
        <v>0</v>
      </c>
      <c r="M3128" s="14" t="s">
        <v>19</v>
      </c>
      <c r="N3128" s="15">
        <f t="shared" si="74"/>
        <v>1350</v>
      </c>
    </row>
    <row r="3129" spans="1:14">
      <c r="A3129" s="12">
        <v>3128</v>
      </c>
      <c r="B3129" s="1" t="s">
        <v>1799</v>
      </c>
      <c r="C3129" s="42" t="s">
        <v>1800</v>
      </c>
      <c r="D3129" s="42" t="s">
        <v>4549</v>
      </c>
      <c r="E3129" s="42" t="s">
        <v>63</v>
      </c>
      <c r="F3129" s="4">
        <v>6961.48</v>
      </c>
      <c r="G3129" s="45" t="s">
        <v>18</v>
      </c>
      <c r="H3129" s="29" t="s">
        <v>847</v>
      </c>
      <c r="I3129" s="4">
        <v>530.95000000000005</v>
      </c>
      <c r="J3129" s="4">
        <v>530.95000000000005</v>
      </c>
      <c r="K3129" s="4">
        <v>0</v>
      </c>
      <c r="L3129" s="4">
        <v>0</v>
      </c>
      <c r="M3129" s="14" t="s">
        <v>19</v>
      </c>
      <c r="N3129" s="15">
        <f t="shared" si="74"/>
        <v>1061.9000000000001</v>
      </c>
    </row>
    <row r="3130" spans="1:14">
      <c r="A3130" s="12">
        <v>3129</v>
      </c>
      <c r="B3130" s="1" t="s">
        <v>4550</v>
      </c>
      <c r="C3130" s="42" t="s">
        <v>4551</v>
      </c>
      <c r="D3130" s="42" t="s">
        <v>4552</v>
      </c>
      <c r="E3130" s="42" t="s">
        <v>1212</v>
      </c>
      <c r="F3130" s="4">
        <v>82600</v>
      </c>
      <c r="G3130" s="45" t="s">
        <v>18</v>
      </c>
      <c r="H3130" s="14">
        <v>998399</v>
      </c>
      <c r="I3130" s="4">
        <v>0</v>
      </c>
      <c r="J3130" s="4">
        <v>0</v>
      </c>
      <c r="K3130" s="4">
        <v>12600</v>
      </c>
      <c r="L3130" s="4">
        <v>0</v>
      </c>
      <c r="M3130" s="14" t="s">
        <v>19</v>
      </c>
      <c r="N3130" s="15">
        <f t="shared" si="74"/>
        <v>12600</v>
      </c>
    </row>
    <row r="3131" spans="1:14">
      <c r="A3131" s="12">
        <v>3130</v>
      </c>
      <c r="B3131" s="1" t="s">
        <v>4553</v>
      </c>
      <c r="C3131" s="42" t="s">
        <v>4554</v>
      </c>
      <c r="D3131" s="42" t="s">
        <v>4503</v>
      </c>
      <c r="E3131" s="42" t="s">
        <v>783</v>
      </c>
      <c r="F3131" s="4">
        <v>378120</v>
      </c>
      <c r="G3131" s="45" t="s">
        <v>18</v>
      </c>
      <c r="H3131" s="14">
        <v>998713</v>
      </c>
      <c r="I3131" s="4">
        <v>0</v>
      </c>
      <c r="J3131" s="4">
        <v>0</v>
      </c>
      <c r="K3131" s="4">
        <v>0</v>
      </c>
      <c r="L3131" s="4">
        <v>0</v>
      </c>
      <c r="M3131" s="14" t="s">
        <v>157</v>
      </c>
      <c r="N3131" s="15" t="s">
        <v>202</v>
      </c>
    </row>
    <row r="3132" spans="1:14">
      <c r="A3132" s="12">
        <v>3131</v>
      </c>
      <c r="B3132" s="1" t="s">
        <v>4553</v>
      </c>
      <c r="C3132" s="42" t="s">
        <v>4554</v>
      </c>
      <c r="D3132" s="42" t="s">
        <v>4504</v>
      </c>
      <c r="E3132" s="42" t="s">
        <v>783</v>
      </c>
      <c r="F3132" s="4">
        <v>81361</v>
      </c>
      <c r="G3132" s="45" t="s">
        <v>18</v>
      </c>
      <c r="H3132" s="14">
        <v>998713</v>
      </c>
      <c r="I3132" s="4">
        <v>0</v>
      </c>
      <c r="J3132" s="4">
        <v>0</v>
      </c>
      <c r="K3132" s="4">
        <v>12411</v>
      </c>
      <c r="L3132" s="4">
        <v>0</v>
      </c>
      <c r="M3132" s="14" t="s">
        <v>157</v>
      </c>
      <c r="N3132" s="15" t="s">
        <v>202</v>
      </c>
    </row>
    <row r="3133" spans="1:14">
      <c r="A3133" s="12">
        <v>3132</v>
      </c>
      <c r="B3133" s="1" t="s">
        <v>4553</v>
      </c>
      <c r="C3133" s="42" t="s">
        <v>4554</v>
      </c>
      <c r="D3133" s="42" t="s">
        <v>4505</v>
      </c>
      <c r="E3133" s="42" t="s">
        <v>783</v>
      </c>
      <c r="F3133" s="4">
        <v>378120</v>
      </c>
      <c r="G3133" s="45" t="s">
        <v>18</v>
      </c>
      <c r="H3133" s="14">
        <v>998713</v>
      </c>
      <c r="I3133" s="4">
        <v>0</v>
      </c>
      <c r="J3133" s="4">
        <v>0</v>
      </c>
      <c r="K3133" s="4">
        <v>0</v>
      </c>
      <c r="L3133" s="4">
        <v>0</v>
      </c>
      <c r="M3133" s="14" t="s">
        <v>157</v>
      </c>
      <c r="N3133" s="15" t="s">
        <v>202</v>
      </c>
    </row>
    <row r="3134" spans="1:14">
      <c r="A3134" s="12">
        <v>3133</v>
      </c>
      <c r="B3134" s="1" t="s">
        <v>4553</v>
      </c>
      <c r="C3134" s="42" t="s">
        <v>4554</v>
      </c>
      <c r="D3134" s="42" t="s">
        <v>4506</v>
      </c>
      <c r="E3134" s="42" t="s">
        <v>783</v>
      </c>
      <c r="F3134" s="4">
        <v>77172</v>
      </c>
      <c r="G3134" s="45" t="s">
        <v>18</v>
      </c>
      <c r="H3134" s="14">
        <v>998713</v>
      </c>
      <c r="I3134" s="4">
        <v>0</v>
      </c>
      <c r="J3134" s="4">
        <v>0</v>
      </c>
      <c r="K3134" s="4">
        <v>11772</v>
      </c>
      <c r="L3134" s="4">
        <v>0</v>
      </c>
      <c r="M3134" s="14" t="s">
        <v>157</v>
      </c>
      <c r="N3134" s="15" t="s">
        <v>202</v>
      </c>
    </row>
    <row r="3135" spans="1:14">
      <c r="A3135" s="12">
        <v>3134</v>
      </c>
      <c r="B3135" s="1" t="s">
        <v>4555</v>
      </c>
      <c r="C3135" s="42" t="s">
        <v>4556</v>
      </c>
      <c r="D3135" s="42" t="s">
        <v>4557</v>
      </c>
      <c r="E3135" s="42" t="s">
        <v>1090</v>
      </c>
      <c r="F3135" s="4">
        <v>4897</v>
      </c>
      <c r="G3135" s="45" t="s">
        <v>18</v>
      </c>
      <c r="H3135" s="5" t="s">
        <v>1839</v>
      </c>
      <c r="I3135" s="4">
        <v>373.5</v>
      </c>
      <c r="J3135" s="4">
        <v>373.5</v>
      </c>
      <c r="K3135" s="4">
        <v>0</v>
      </c>
      <c r="L3135" s="4">
        <v>0</v>
      </c>
      <c r="M3135" s="14" t="s">
        <v>19</v>
      </c>
      <c r="N3135" s="15">
        <f t="shared" ref="N3135:N3145" si="75">SUM(I3135:L3135)</f>
        <v>747</v>
      </c>
    </row>
    <row r="3136" spans="1:14">
      <c r="A3136" s="12">
        <v>3135</v>
      </c>
      <c r="B3136" s="1" t="s">
        <v>4390</v>
      </c>
      <c r="C3136" s="42" t="s">
        <v>4391</v>
      </c>
      <c r="D3136" s="42" t="s">
        <v>4558</v>
      </c>
      <c r="E3136" s="42" t="s">
        <v>1207</v>
      </c>
      <c r="F3136" s="4">
        <v>1646216.25</v>
      </c>
      <c r="G3136" s="45" t="s">
        <v>18</v>
      </c>
      <c r="H3136" s="14">
        <v>996521</v>
      </c>
      <c r="I3136" s="4">
        <v>0</v>
      </c>
      <c r="J3136" s="4">
        <v>0</v>
      </c>
      <c r="K3136" s="4">
        <v>78391.25</v>
      </c>
      <c r="L3136" s="4">
        <v>0</v>
      </c>
      <c r="M3136" s="14" t="s">
        <v>19</v>
      </c>
      <c r="N3136" s="15">
        <f t="shared" si="75"/>
        <v>78391.25</v>
      </c>
    </row>
    <row r="3137" spans="1:14">
      <c r="A3137" s="12">
        <v>3136</v>
      </c>
      <c r="B3137" s="1" t="s">
        <v>4390</v>
      </c>
      <c r="C3137" s="42" t="s">
        <v>4391</v>
      </c>
      <c r="D3137" s="42" t="s">
        <v>4559</v>
      </c>
      <c r="E3137" s="42" t="s">
        <v>777</v>
      </c>
      <c r="F3137" s="4">
        <v>305209.36</v>
      </c>
      <c r="G3137" s="45" t="s">
        <v>18</v>
      </c>
      <c r="H3137" s="14">
        <v>996711</v>
      </c>
      <c r="I3137" s="4">
        <v>0</v>
      </c>
      <c r="J3137" s="4">
        <v>0</v>
      </c>
      <c r="K3137" s="4">
        <v>46557.36</v>
      </c>
      <c r="L3137" s="4">
        <v>0</v>
      </c>
      <c r="M3137" s="14" t="s">
        <v>19</v>
      </c>
      <c r="N3137" s="15">
        <f t="shared" si="75"/>
        <v>46557.36</v>
      </c>
    </row>
    <row r="3138" spans="1:14">
      <c r="A3138" s="12">
        <v>3137</v>
      </c>
      <c r="B3138" s="1" t="s">
        <v>4560</v>
      </c>
      <c r="C3138" s="42" t="s">
        <v>4561</v>
      </c>
      <c r="D3138" s="42" t="s">
        <v>4562</v>
      </c>
      <c r="E3138" s="42" t="s">
        <v>781</v>
      </c>
      <c r="F3138" s="4">
        <v>236</v>
      </c>
      <c r="G3138" s="45" t="s">
        <v>18</v>
      </c>
      <c r="H3138" s="14">
        <v>998349</v>
      </c>
      <c r="I3138" s="4">
        <v>0</v>
      </c>
      <c r="J3138" s="4">
        <v>0</v>
      </c>
      <c r="K3138" s="4">
        <v>36</v>
      </c>
      <c r="L3138" s="4">
        <v>0</v>
      </c>
      <c r="M3138" s="14" t="s">
        <v>19</v>
      </c>
      <c r="N3138" s="15">
        <f t="shared" si="75"/>
        <v>36</v>
      </c>
    </row>
    <row r="3139" spans="1:14">
      <c r="A3139" s="12">
        <v>3138</v>
      </c>
      <c r="B3139" s="1" t="s">
        <v>4560</v>
      </c>
      <c r="C3139" s="42" t="s">
        <v>4561</v>
      </c>
      <c r="D3139" s="42" t="s">
        <v>4563</v>
      </c>
      <c r="E3139" s="42" t="s">
        <v>781</v>
      </c>
      <c r="F3139" s="4">
        <v>236</v>
      </c>
      <c r="G3139" s="45" t="s">
        <v>18</v>
      </c>
      <c r="H3139" s="14">
        <v>998349</v>
      </c>
      <c r="I3139" s="4">
        <v>0</v>
      </c>
      <c r="J3139" s="4">
        <v>0</v>
      </c>
      <c r="K3139" s="4">
        <v>36</v>
      </c>
      <c r="L3139" s="4">
        <v>0</v>
      </c>
      <c r="M3139" s="14" t="s">
        <v>19</v>
      </c>
      <c r="N3139" s="15">
        <f t="shared" si="75"/>
        <v>36</v>
      </c>
    </row>
    <row r="3140" spans="1:14">
      <c r="A3140" s="12">
        <v>3139</v>
      </c>
      <c r="B3140" s="1" t="s">
        <v>4560</v>
      </c>
      <c r="C3140" s="42" t="s">
        <v>4561</v>
      </c>
      <c r="D3140" s="42" t="s">
        <v>4564</v>
      </c>
      <c r="E3140" s="42" t="s">
        <v>783</v>
      </c>
      <c r="F3140" s="4">
        <v>236</v>
      </c>
      <c r="G3140" s="45" t="s">
        <v>18</v>
      </c>
      <c r="H3140" s="14">
        <v>998349</v>
      </c>
      <c r="I3140" s="4">
        <v>0</v>
      </c>
      <c r="J3140" s="4">
        <v>0</v>
      </c>
      <c r="K3140" s="4">
        <v>36</v>
      </c>
      <c r="L3140" s="4">
        <v>0</v>
      </c>
      <c r="M3140" s="14" t="s">
        <v>19</v>
      </c>
      <c r="N3140" s="15">
        <f t="shared" si="75"/>
        <v>36</v>
      </c>
    </row>
    <row r="3141" spans="1:14">
      <c r="A3141" s="12">
        <v>3140</v>
      </c>
      <c r="B3141" s="1" t="s">
        <v>4560</v>
      </c>
      <c r="C3141" s="42" t="s">
        <v>4561</v>
      </c>
      <c r="D3141" s="42" t="s">
        <v>4565</v>
      </c>
      <c r="E3141" s="42" t="s">
        <v>783</v>
      </c>
      <c r="F3141" s="4">
        <v>236</v>
      </c>
      <c r="G3141" s="45" t="s">
        <v>18</v>
      </c>
      <c r="H3141" s="14">
        <v>998349</v>
      </c>
      <c r="I3141" s="4">
        <v>0</v>
      </c>
      <c r="J3141" s="4">
        <v>0</v>
      </c>
      <c r="K3141" s="4">
        <v>36</v>
      </c>
      <c r="L3141" s="4">
        <v>0</v>
      </c>
      <c r="M3141" s="14" t="s">
        <v>19</v>
      </c>
      <c r="N3141" s="15">
        <f t="shared" si="75"/>
        <v>36</v>
      </c>
    </row>
    <row r="3142" spans="1:14">
      <c r="A3142" s="12">
        <v>3141</v>
      </c>
      <c r="B3142" s="1" t="s">
        <v>1479</v>
      </c>
      <c r="C3142" s="42" t="s">
        <v>1480</v>
      </c>
      <c r="D3142" s="42" t="s">
        <v>4566</v>
      </c>
      <c r="E3142" s="42" t="s">
        <v>777</v>
      </c>
      <c r="F3142" s="4">
        <v>55608</v>
      </c>
      <c r="G3142" s="45" t="s">
        <v>24</v>
      </c>
      <c r="H3142" s="12">
        <v>63053923</v>
      </c>
      <c r="I3142" s="4">
        <v>4241.25</v>
      </c>
      <c r="J3142" s="4">
        <v>4241.25</v>
      </c>
      <c r="K3142" s="4">
        <v>0</v>
      </c>
      <c r="L3142" s="4">
        <v>0</v>
      </c>
      <c r="M3142" s="14" t="s">
        <v>19</v>
      </c>
      <c r="N3142" s="15">
        <f t="shared" si="75"/>
        <v>8482.5</v>
      </c>
    </row>
    <row r="3143" spans="1:14">
      <c r="A3143" s="12">
        <v>3142</v>
      </c>
      <c r="B3143" s="1" t="s">
        <v>1479</v>
      </c>
      <c r="C3143" s="42" t="s">
        <v>1480</v>
      </c>
      <c r="D3143" s="42" t="s">
        <v>4567</v>
      </c>
      <c r="E3143" s="42" t="s">
        <v>777</v>
      </c>
      <c r="F3143" s="4">
        <v>271666</v>
      </c>
      <c r="G3143" s="45" t="s">
        <v>24</v>
      </c>
      <c r="H3143" s="12">
        <v>63053923</v>
      </c>
      <c r="I3143" s="4">
        <v>20720.25</v>
      </c>
      <c r="J3143" s="4">
        <v>20720.25</v>
      </c>
      <c r="K3143" s="4">
        <v>0</v>
      </c>
      <c r="L3143" s="4">
        <v>0</v>
      </c>
      <c r="M3143" s="14" t="s">
        <v>19</v>
      </c>
      <c r="N3143" s="15">
        <f t="shared" si="75"/>
        <v>41440.5</v>
      </c>
    </row>
    <row r="3144" spans="1:14">
      <c r="A3144" s="12">
        <v>3143</v>
      </c>
      <c r="B3144" s="1" t="s">
        <v>1479</v>
      </c>
      <c r="C3144" s="42" t="s">
        <v>1480</v>
      </c>
      <c r="D3144" s="42" t="s">
        <v>4568</v>
      </c>
      <c r="E3144" s="42" t="s">
        <v>4465</v>
      </c>
      <c r="F3144" s="4">
        <v>96447</v>
      </c>
      <c r="G3144" s="45" t="s">
        <v>24</v>
      </c>
      <c r="H3144" s="12">
        <v>63053923</v>
      </c>
      <c r="I3144" s="4">
        <v>7356.15</v>
      </c>
      <c r="J3144" s="4">
        <v>7356.15</v>
      </c>
      <c r="K3144" s="4">
        <v>0</v>
      </c>
      <c r="L3144" s="4">
        <v>0</v>
      </c>
      <c r="M3144" s="14" t="s">
        <v>19</v>
      </c>
      <c r="N3144" s="15">
        <f t="shared" si="75"/>
        <v>14712.3</v>
      </c>
    </row>
    <row r="3145" spans="1:14">
      <c r="A3145" s="12">
        <v>3144</v>
      </c>
      <c r="B3145" s="1" t="s">
        <v>4569</v>
      </c>
      <c r="C3145" s="42" t="s">
        <v>4570</v>
      </c>
      <c r="D3145" s="42" t="s">
        <v>4571</v>
      </c>
      <c r="E3145" s="42" t="s">
        <v>1090</v>
      </c>
      <c r="F3145" s="4">
        <v>59000</v>
      </c>
      <c r="G3145" s="45" t="s">
        <v>18</v>
      </c>
      <c r="H3145" s="14">
        <v>998311</v>
      </c>
      <c r="I3145" s="4">
        <v>4500</v>
      </c>
      <c r="J3145" s="4">
        <v>4500</v>
      </c>
      <c r="K3145" s="4">
        <v>0</v>
      </c>
      <c r="L3145" s="4">
        <v>0</v>
      </c>
      <c r="M3145" s="14" t="s">
        <v>19</v>
      </c>
      <c r="N3145" s="15">
        <f t="shared" si="75"/>
        <v>9000</v>
      </c>
    </row>
    <row r="3146" spans="1:14">
      <c r="A3146" s="12">
        <v>3145</v>
      </c>
      <c r="B3146" s="1" t="s">
        <v>4572</v>
      </c>
      <c r="C3146" s="42" t="s">
        <v>4573</v>
      </c>
      <c r="D3146" s="42" t="s">
        <v>4574</v>
      </c>
      <c r="E3146" s="42" t="s">
        <v>783</v>
      </c>
      <c r="F3146" s="4">
        <v>1999.01</v>
      </c>
      <c r="G3146" s="45" t="s">
        <v>156</v>
      </c>
      <c r="H3146" s="2">
        <v>87089900</v>
      </c>
      <c r="I3146" s="4">
        <v>152.47</v>
      </c>
      <c r="J3146" s="4">
        <v>152.47</v>
      </c>
      <c r="K3146" s="4">
        <v>0</v>
      </c>
      <c r="L3146" s="4">
        <v>0</v>
      </c>
      <c r="M3146" s="14" t="s">
        <v>157</v>
      </c>
      <c r="N3146" s="15" t="s">
        <v>202</v>
      </c>
    </row>
    <row r="3147" spans="1:14">
      <c r="A3147" s="12">
        <v>3146</v>
      </c>
      <c r="B3147" s="1" t="s">
        <v>4572</v>
      </c>
      <c r="C3147" s="42" t="s">
        <v>4573</v>
      </c>
      <c r="D3147" s="42" t="s">
        <v>4575</v>
      </c>
      <c r="E3147" s="42" t="s">
        <v>783</v>
      </c>
      <c r="F3147" s="4">
        <v>43964</v>
      </c>
      <c r="G3147" s="45" t="s">
        <v>156</v>
      </c>
      <c r="H3147" s="2">
        <v>87089900</v>
      </c>
      <c r="I3147" s="4">
        <v>4202.97</v>
      </c>
      <c r="J3147" s="4">
        <v>4202.97</v>
      </c>
      <c r="K3147" s="4">
        <v>0</v>
      </c>
      <c r="L3147" s="4">
        <v>0</v>
      </c>
      <c r="M3147" s="14" t="s">
        <v>157</v>
      </c>
      <c r="N3147" s="15" t="s">
        <v>202</v>
      </c>
    </row>
    <row r="3148" spans="1:14">
      <c r="A3148" s="12">
        <v>3147</v>
      </c>
      <c r="B3148" s="1" t="s">
        <v>4576</v>
      </c>
      <c r="C3148" s="42" t="s">
        <v>4577</v>
      </c>
      <c r="D3148" s="42" t="s">
        <v>4578</v>
      </c>
      <c r="E3148" s="42" t="s">
        <v>788</v>
      </c>
      <c r="F3148" s="4">
        <v>278688.09000000003</v>
      </c>
      <c r="G3148" s="45" t="s">
        <v>18</v>
      </c>
      <c r="H3148" s="14">
        <v>996799</v>
      </c>
      <c r="I3148" s="4">
        <v>0</v>
      </c>
      <c r="J3148" s="4">
        <v>0</v>
      </c>
      <c r="K3148" s="4">
        <v>42511.74</v>
      </c>
      <c r="L3148" s="4">
        <v>0</v>
      </c>
      <c r="M3148" s="14" t="s">
        <v>19</v>
      </c>
      <c r="N3148" s="15">
        <f t="shared" ref="N3148:N3162" si="76">SUM(I3148:L3148)</f>
        <v>42511.74</v>
      </c>
    </row>
    <row r="3149" spans="1:14">
      <c r="A3149" s="12">
        <v>3148</v>
      </c>
      <c r="B3149" s="1" t="s">
        <v>4579</v>
      </c>
      <c r="C3149" s="42" t="s">
        <v>4580</v>
      </c>
      <c r="D3149" s="42" t="s">
        <v>4581</v>
      </c>
      <c r="E3149" s="42" t="s">
        <v>775</v>
      </c>
      <c r="F3149" s="4">
        <v>8850</v>
      </c>
      <c r="G3149" s="45" t="s">
        <v>18</v>
      </c>
      <c r="H3149" s="14">
        <v>998346</v>
      </c>
      <c r="I3149" s="4">
        <v>0</v>
      </c>
      <c r="J3149" s="4">
        <v>0</v>
      </c>
      <c r="K3149" s="4">
        <v>1350</v>
      </c>
      <c r="L3149" s="4">
        <v>0</v>
      </c>
      <c r="M3149" s="14" t="s">
        <v>19</v>
      </c>
      <c r="N3149" s="15">
        <f t="shared" si="76"/>
        <v>1350</v>
      </c>
    </row>
    <row r="3150" spans="1:14">
      <c r="A3150" s="12">
        <v>3149</v>
      </c>
      <c r="B3150" s="1" t="s">
        <v>4579</v>
      </c>
      <c r="C3150" s="42" t="s">
        <v>4580</v>
      </c>
      <c r="D3150" s="42" t="s">
        <v>4582</v>
      </c>
      <c r="E3150" s="42" t="s">
        <v>775</v>
      </c>
      <c r="F3150" s="4">
        <v>8496</v>
      </c>
      <c r="G3150" s="45" t="s">
        <v>18</v>
      </c>
      <c r="H3150" s="14">
        <v>998346</v>
      </c>
      <c r="I3150" s="4">
        <v>0</v>
      </c>
      <c r="J3150" s="4">
        <v>0</v>
      </c>
      <c r="K3150" s="4">
        <v>1296</v>
      </c>
      <c r="L3150" s="4">
        <v>0</v>
      </c>
      <c r="M3150" s="14" t="s">
        <v>19</v>
      </c>
      <c r="N3150" s="15">
        <f t="shared" si="76"/>
        <v>1296</v>
      </c>
    </row>
    <row r="3151" spans="1:14">
      <c r="A3151" s="12">
        <v>3150</v>
      </c>
      <c r="B3151" s="1" t="s">
        <v>4579</v>
      </c>
      <c r="C3151" s="42" t="s">
        <v>4580</v>
      </c>
      <c r="D3151" s="42" t="s">
        <v>4583</v>
      </c>
      <c r="E3151" s="42" t="s">
        <v>775</v>
      </c>
      <c r="F3151" s="4">
        <v>8850</v>
      </c>
      <c r="G3151" s="45" t="s">
        <v>18</v>
      </c>
      <c r="H3151" s="14">
        <v>998346</v>
      </c>
      <c r="I3151" s="4">
        <v>0</v>
      </c>
      <c r="J3151" s="4">
        <v>0</v>
      </c>
      <c r="K3151" s="4">
        <v>1350</v>
      </c>
      <c r="L3151" s="4">
        <v>0</v>
      </c>
      <c r="M3151" s="14" t="s">
        <v>19</v>
      </c>
      <c r="N3151" s="15">
        <f t="shared" si="76"/>
        <v>1350</v>
      </c>
    </row>
    <row r="3152" spans="1:14">
      <c r="A3152" s="12">
        <v>3151</v>
      </c>
      <c r="B3152" s="1" t="s">
        <v>656</v>
      </c>
      <c r="C3152" s="42" t="s">
        <v>657</v>
      </c>
      <c r="D3152" s="42" t="s">
        <v>4584</v>
      </c>
      <c r="E3152" s="42" t="s">
        <v>63</v>
      </c>
      <c r="F3152" s="4">
        <v>6374.49</v>
      </c>
      <c r="G3152" s="45" t="s">
        <v>18</v>
      </c>
      <c r="H3152" s="12" t="s">
        <v>847</v>
      </c>
      <c r="I3152" s="4">
        <v>0</v>
      </c>
      <c r="J3152" s="4">
        <v>0</v>
      </c>
      <c r="K3152" s="4">
        <v>972.38</v>
      </c>
      <c r="L3152" s="4">
        <v>0</v>
      </c>
      <c r="M3152" s="14" t="s">
        <v>19</v>
      </c>
      <c r="N3152" s="15">
        <f t="shared" si="76"/>
        <v>972.38</v>
      </c>
    </row>
    <row r="3153" spans="1:14">
      <c r="A3153" s="12">
        <v>3152</v>
      </c>
      <c r="B3153" s="1" t="s">
        <v>4012</v>
      </c>
      <c r="C3153" s="42" t="s">
        <v>4013</v>
      </c>
      <c r="D3153" s="42" t="s">
        <v>4585</v>
      </c>
      <c r="E3153" s="42" t="s">
        <v>1107</v>
      </c>
      <c r="F3153" s="4">
        <v>500</v>
      </c>
      <c r="G3153" s="45" t="s">
        <v>18</v>
      </c>
      <c r="H3153" s="8">
        <v>997139</v>
      </c>
      <c r="I3153" s="4">
        <v>38.130000000000003</v>
      </c>
      <c r="J3153" s="4">
        <v>38.130000000000003</v>
      </c>
      <c r="K3153" s="4">
        <v>0</v>
      </c>
      <c r="L3153" s="4">
        <v>0</v>
      </c>
      <c r="M3153" s="14" t="s">
        <v>19</v>
      </c>
      <c r="N3153" s="15">
        <f t="shared" si="76"/>
        <v>76.260000000000005</v>
      </c>
    </row>
    <row r="3154" spans="1:14">
      <c r="A3154" s="12">
        <v>3153</v>
      </c>
      <c r="B3154" s="1" t="s">
        <v>4012</v>
      </c>
      <c r="C3154" s="42" t="s">
        <v>4013</v>
      </c>
      <c r="D3154" s="42" t="s">
        <v>4586</v>
      </c>
      <c r="E3154" s="42" t="s">
        <v>4543</v>
      </c>
      <c r="F3154" s="4">
        <v>500</v>
      </c>
      <c r="G3154" s="45" t="s">
        <v>18</v>
      </c>
      <c r="H3154" s="8">
        <v>997139</v>
      </c>
      <c r="I3154" s="4">
        <v>38.130000000000003</v>
      </c>
      <c r="J3154" s="4">
        <v>38.130000000000003</v>
      </c>
      <c r="K3154" s="4">
        <v>0</v>
      </c>
      <c r="L3154" s="4">
        <v>0</v>
      </c>
      <c r="M3154" s="14" t="s">
        <v>19</v>
      </c>
      <c r="N3154" s="15">
        <f t="shared" si="76"/>
        <v>76.260000000000005</v>
      </c>
    </row>
    <row r="3155" spans="1:14">
      <c r="A3155" s="12">
        <v>3154</v>
      </c>
      <c r="B3155" s="1" t="s">
        <v>4012</v>
      </c>
      <c r="C3155" s="42" t="s">
        <v>4013</v>
      </c>
      <c r="D3155" s="42" t="s">
        <v>4587</v>
      </c>
      <c r="E3155" s="42" t="s">
        <v>4543</v>
      </c>
      <c r="F3155" s="4">
        <v>500</v>
      </c>
      <c r="G3155" s="45" t="s">
        <v>18</v>
      </c>
      <c r="H3155" s="8">
        <v>997139</v>
      </c>
      <c r="I3155" s="4">
        <v>38.130000000000003</v>
      </c>
      <c r="J3155" s="4">
        <v>38.130000000000003</v>
      </c>
      <c r="K3155" s="4">
        <v>0</v>
      </c>
      <c r="L3155" s="4">
        <v>0</v>
      </c>
      <c r="M3155" s="14" t="s">
        <v>19</v>
      </c>
      <c r="N3155" s="15">
        <f t="shared" si="76"/>
        <v>76.260000000000005</v>
      </c>
    </row>
    <row r="3156" spans="1:14">
      <c r="A3156" s="12">
        <v>3155</v>
      </c>
      <c r="B3156" s="1" t="s">
        <v>1824</v>
      </c>
      <c r="C3156" s="42" t="s">
        <v>1825</v>
      </c>
      <c r="D3156" s="42" t="s">
        <v>4588</v>
      </c>
      <c r="E3156" s="42" t="s">
        <v>63</v>
      </c>
      <c r="F3156" s="4">
        <v>9326.2999999999993</v>
      </c>
      <c r="G3156" s="45" t="s">
        <v>18</v>
      </c>
      <c r="H3156" s="29" t="s">
        <v>847</v>
      </c>
      <c r="I3156" s="4">
        <v>0</v>
      </c>
      <c r="J3156" s="4">
        <v>0</v>
      </c>
      <c r="K3156" s="4">
        <v>1422.64</v>
      </c>
      <c r="L3156" s="4">
        <v>0</v>
      </c>
      <c r="M3156" s="14" t="s">
        <v>19</v>
      </c>
      <c r="N3156" s="15">
        <f t="shared" si="76"/>
        <v>1422.64</v>
      </c>
    </row>
    <row r="3157" spans="1:14">
      <c r="A3157" s="12">
        <v>3156</v>
      </c>
      <c r="B3157" s="1" t="s">
        <v>1824</v>
      </c>
      <c r="C3157" s="42" t="s">
        <v>1825</v>
      </c>
      <c r="D3157" s="42" t="s">
        <v>4589</v>
      </c>
      <c r="E3157" s="42" t="s">
        <v>63</v>
      </c>
      <c r="F3157" s="4">
        <v>7125.85</v>
      </c>
      <c r="G3157" s="45" t="s">
        <v>18</v>
      </c>
      <c r="H3157" s="29" t="s">
        <v>847</v>
      </c>
      <c r="I3157" s="4">
        <v>0</v>
      </c>
      <c r="J3157" s="4">
        <v>0</v>
      </c>
      <c r="K3157" s="4">
        <v>1086.97</v>
      </c>
      <c r="L3157" s="4">
        <v>0</v>
      </c>
      <c r="M3157" s="14" t="s">
        <v>19</v>
      </c>
      <c r="N3157" s="15">
        <f t="shared" si="76"/>
        <v>1086.97</v>
      </c>
    </row>
    <row r="3158" spans="1:14">
      <c r="A3158" s="12">
        <v>3157</v>
      </c>
      <c r="B3158" s="1" t="s">
        <v>1824</v>
      </c>
      <c r="C3158" s="42" t="s">
        <v>1825</v>
      </c>
      <c r="D3158" s="42" t="s">
        <v>4590</v>
      </c>
      <c r="E3158" s="42" t="s">
        <v>63</v>
      </c>
      <c r="F3158" s="4">
        <v>2199.56</v>
      </c>
      <c r="G3158" s="45" t="s">
        <v>18</v>
      </c>
      <c r="H3158" s="29" t="s">
        <v>847</v>
      </c>
      <c r="I3158" s="4">
        <v>0</v>
      </c>
      <c r="J3158" s="4">
        <v>0</v>
      </c>
      <c r="K3158" s="4">
        <v>335.49</v>
      </c>
      <c r="L3158" s="4">
        <v>0</v>
      </c>
      <c r="M3158" s="14" t="s">
        <v>19</v>
      </c>
      <c r="N3158" s="15">
        <f t="shared" si="76"/>
        <v>335.49</v>
      </c>
    </row>
    <row r="3159" spans="1:14">
      <c r="A3159" s="12">
        <v>3158</v>
      </c>
      <c r="B3159" s="1" t="s">
        <v>4003</v>
      </c>
      <c r="C3159" s="42" t="s">
        <v>4004</v>
      </c>
      <c r="D3159" s="42" t="s">
        <v>4591</v>
      </c>
      <c r="E3159" s="42" t="s">
        <v>63</v>
      </c>
      <c r="F3159" s="4">
        <v>4602</v>
      </c>
      <c r="G3159" s="45" t="s">
        <v>18</v>
      </c>
      <c r="H3159" s="12">
        <v>996812</v>
      </c>
      <c r="I3159" s="4">
        <v>351</v>
      </c>
      <c r="J3159" s="4">
        <v>351</v>
      </c>
      <c r="K3159" s="4">
        <v>0</v>
      </c>
      <c r="L3159" s="4">
        <v>0</v>
      </c>
      <c r="M3159" s="14" t="s">
        <v>19</v>
      </c>
      <c r="N3159" s="15">
        <f t="shared" si="76"/>
        <v>702</v>
      </c>
    </row>
    <row r="3160" spans="1:14">
      <c r="A3160" s="12">
        <v>3159</v>
      </c>
      <c r="B3160" s="1" t="s">
        <v>4097</v>
      </c>
      <c r="C3160" s="42" t="s">
        <v>4098</v>
      </c>
      <c r="D3160" s="42" t="s">
        <v>4592</v>
      </c>
      <c r="E3160" s="42" t="s">
        <v>1207</v>
      </c>
      <c r="F3160" s="4">
        <v>-141600</v>
      </c>
      <c r="G3160" s="45" t="s">
        <v>18</v>
      </c>
      <c r="H3160" s="12">
        <v>996713</v>
      </c>
      <c r="I3160" s="12">
        <v>0</v>
      </c>
      <c r="J3160" s="12">
        <v>0</v>
      </c>
      <c r="K3160" s="12">
        <v>-21600</v>
      </c>
      <c r="L3160" s="4">
        <v>0</v>
      </c>
      <c r="M3160" s="14" t="s">
        <v>19</v>
      </c>
      <c r="N3160" s="15">
        <f t="shared" si="76"/>
        <v>-21600</v>
      </c>
    </row>
    <row r="3161" spans="1:14">
      <c r="A3161" s="12">
        <v>3160</v>
      </c>
      <c r="B3161" s="1" t="s">
        <v>4097</v>
      </c>
      <c r="C3161" s="42" t="s">
        <v>4098</v>
      </c>
      <c r="D3161" s="42" t="s">
        <v>4593</v>
      </c>
      <c r="E3161" s="42" t="s">
        <v>1207</v>
      </c>
      <c r="F3161" s="4">
        <v>-19993.919999999998</v>
      </c>
      <c r="G3161" s="45" t="s">
        <v>18</v>
      </c>
      <c r="H3161" s="12">
        <v>996713</v>
      </c>
      <c r="I3161" s="12">
        <v>0</v>
      </c>
      <c r="J3161" s="12">
        <v>0</v>
      </c>
      <c r="K3161" s="12">
        <v>-3049.92</v>
      </c>
      <c r="L3161" s="4">
        <v>0</v>
      </c>
      <c r="M3161" s="14" t="s">
        <v>19</v>
      </c>
      <c r="N3161" s="15">
        <f t="shared" si="76"/>
        <v>-3049.92</v>
      </c>
    </row>
    <row r="3162" spans="1:14">
      <c r="A3162" s="12">
        <v>3161</v>
      </c>
      <c r="B3162" s="1" t="s">
        <v>1824</v>
      </c>
      <c r="C3162" s="42" t="s">
        <v>1825</v>
      </c>
      <c r="D3162" s="42" t="s">
        <v>4594</v>
      </c>
      <c r="E3162" s="42" t="s">
        <v>63</v>
      </c>
      <c r="F3162" s="4">
        <v>-3168.38</v>
      </c>
      <c r="G3162" s="45" t="s">
        <v>18</v>
      </c>
      <c r="H3162" s="29" t="s">
        <v>847</v>
      </c>
      <c r="I3162" s="12">
        <v>0</v>
      </c>
      <c r="J3162" s="12">
        <v>0</v>
      </c>
      <c r="K3162" s="12">
        <v>-483.3</v>
      </c>
      <c r="L3162" s="4">
        <v>0</v>
      </c>
      <c r="M3162" s="14" t="s">
        <v>19</v>
      </c>
      <c r="N3162" s="15">
        <f t="shared" si="76"/>
        <v>-483.3</v>
      </c>
    </row>
    <row r="3163" spans="1:14">
      <c r="A3163" s="12">
        <v>3162</v>
      </c>
      <c r="B3163" s="40" t="s">
        <v>4595</v>
      </c>
      <c r="C3163" s="49" t="s">
        <v>4596</v>
      </c>
      <c r="D3163" s="49" t="s">
        <v>4597</v>
      </c>
      <c r="E3163" s="49" t="s">
        <v>229</v>
      </c>
      <c r="F3163" s="59">
        <v>270451</v>
      </c>
      <c r="G3163" s="62" t="s">
        <v>18</v>
      </c>
      <c r="H3163" s="66" t="s">
        <v>950</v>
      </c>
      <c r="I3163" s="59">
        <v>175.5</v>
      </c>
      <c r="J3163" s="59">
        <v>175.5</v>
      </c>
      <c r="K3163" s="59">
        <v>0</v>
      </c>
      <c r="L3163" s="4">
        <v>0</v>
      </c>
      <c r="M3163" s="67" t="s">
        <v>19</v>
      </c>
      <c r="N3163" s="70">
        <f>SUM(I3163:L3163)</f>
        <v>351</v>
      </c>
    </row>
    <row r="3164" spans="1:14">
      <c r="A3164" s="12">
        <v>3163</v>
      </c>
      <c r="B3164" s="40" t="s">
        <v>4598</v>
      </c>
      <c r="C3164" s="49" t="s">
        <v>4599</v>
      </c>
      <c r="D3164" s="49" t="s">
        <v>4600</v>
      </c>
      <c r="E3164" s="49" t="s">
        <v>227</v>
      </c>
      <c r="F3164" s="59">
        <v>1163162</v>
      </c>
      <c r="G3164" s="62" t="s">
        <v>24</v>
      </c>
      <c r="H3164" s="67">
        <v>1006</v>
      </c>
      <c r="I3164" s="59">
        <v>0</v>
      </c>
      <c r="J3164" s="59">
        <v>0</v>
      </c>
      <c r="K3164" s="59">
        <v>1162</v>
      </c>
      <c r="L3164" s="4">
        <v>0</v>
      </c>
      <c r="M3164" s="67" t="s">
        <v>108</v>
      </c>
      <c r="N3164" s="70">
        <f t="shared" ref="N3164:N3226" si="77">SUM(I3164:L3164)</f>
        <v>1162</v>
      </c>
    </row>
    <row r="3165" spans="1:14">
      <c r="A3165" s="12">
        <v>3164</v>
      </c>
      <c r="B3165" s="40" t="s">
        <v>4598</v>
      </c>
      <c r="C3165" s="49" t="s">
        <v>4599</v>
      </c>
      <c r="D3165" s="49" t="s">
        <v>4601</v>
      </c>
      <c r="E3165" s="49" t="s">
        <v>201</v>
      </c>
      <c r="F3165" s="59">
        <v>996996</v>
      </c>
      <c r="G3165" s="62" t="s">
        <v>24</v>
      </c>
      <c r="H3165" s="67">
        <v>1006</v>
      </c>
      <c r="I3165" s="59">
        <v>0</v>
      </c>
      <c r="J3165" s="59">
        <v>0</v>
      </c>
      <c r="K3165" s="59">
        <v>996</v>
      </c>
      <c r="L3165" s="4">
        <v>0</v>
      </c>
      <c r="M3165" s="67" t="s">
        <v>108</v>
      </c>
      <c r="N3165" s="70">
        <f t="shared" si="77"/>
        <v>996</v>
      </c>
    </row>
    <row r="3166" spans="1:14">
      <c r="A3166" s="12">
        <v>3165</v>
      </c>
      <c r="B3166" s="40" t="s">
        <v>4598</v>
      </c>
      <c r="C3166" s="49" t="s">
        <v>4599</v>
      </c>
      <c r="D3166" s="49" t="s">
        <v>4602</v>
      </c>
      <c r="E3166" s="49" t="s">
        <v>4603</v>
      </c>
      <c r="F3166" s="59">
        <v>996996</v>
      </c>
      <c r="G3166" s="62" t="s">
        <v>24</v>
      </c>
      <c r="H3166" s="67">
        <v>1006</v>
      </c>
      <c r="I3166" s="59">
        <v>0</v>
      </c>
      <c r="J3166" s="59">
        <v>0</v>
      </c>
      <c r="K3166" s="59">
        <v>996</v>
      </c>
      <c r="L3166" s="4">
        <v>0</v>
      </c>
      <c r="M3166" s="67" t="s">
        <v>108</v>
      </c>
      <c r="N3166" s="70">
        <f t="shared" si="77"/>
        <v>996</v>
      </c>
    </row>
    <row r="3167" spans="1:14">
      <c r="A3167" s="12">
        <v>3166</v>
      </c>
      <c r="B3167" s="40" t="s">
        <v>4598</v>
      </c>
      <c r="C3167" s="49" t="s">
        <v>4599</v>
      </c>
      <c r="D3167" s="49" t="s">
        <v>2094</v>
      </c>
      <c r="E3167" s="49" t="s">
        <v>4603</v>
      </c>
      <c r="F3167" s="59">
        <v>963763</v>
      </c>
      <c r="G3167" s="62" t="s">
        <v>24</v>
      </c>
      <c r="H3167" s="67">
        <v>1006</v>
      </c>
      <c r="I3167" s="59">
        <v>0</v>
      </c>
      <c r="J3167" s="59">
        <v>0</v>
      </c>
      <c r="K3167" s="59">
        <v>962.8</v>
      </c>
      <c r="L3167" s="4">
        <v>0</v>
      </c>
      <c r="M3167" s="67" t="s">
        <v>108</v>
      </c>
      <c r="N3167" s="70">
        <f t="shared" si="77"/>
        <v>962.8</v>
      </c>
    </row>
    <row r="3168" spans="1:14">
      <c r="A3168" s="12">
        <v>3167</v>
      </c>
      <c r="B3168" s="40" t="s">
        <v>4003</v>
      </c>
      <c r="C3168" s="49" t="s">
        <v>4004</v>
      </c>
      <c r="D3168" s="49" t="s">
        <v>4604</v>
      </c>
      <c r="E3168" s="49" t="s">
        <v>210</v>
      </c>
      <c r="F3168" s="59">
        <v>12445</v>
      </c>
      <c r="G3168" s="62" t="s">
        <v>18</v>
      </c>
      <c r="H3168" s="66">
        <v>996812</v>
      </c>
      <c r="I3168" s="59">
        <v>949.22</v>
      </c>
      <c r="J3168" s="59">
        <v>949.22</v>
      </c>
      <c r="K3168" s="59">
        <v>0</v>
      </c>
      <c r="L3168" s="4">
        <v>0</v>
      </c>
      <c r="M3168" s="67" t="s">
        <v>19</v>
      </c>
      <c r="N3168" s="70">
        <f t="shared" si="77"/>
        <v>1898.44</v>
      </c>
    </row>
    <row r="3169" spans="1:14">
      <c r="A3169" s="12">
        <v>3168</v>
      </c>
      <c r="B3169" s="40" t="s">
        <v>4605</v>
      </c>
      <c r="C3169" s="49" t="s">
        <v>4606</v>
      </c>
      <c r="D3169" s="49" t="s">
        <v>4607</v>
      </c>
      <c r="E3169" s="49" t="s">
        <v>3521</v>
      </c>
      <c r="F3169" s="59">
        <v>29498.82</v>
      </c>
      <c r="G3169" s="62" t="s">
        <v>18</v>
      </c>
      <c r="H3169" s="68">
        <v>997139</v>
      </c>
      <c r="I3169" s="59">
        <v>2249.91</v>
      </c>
      <c r="J3169" s="59">
        <v>2249.91</v>
      </c>
      <c r="K3169" s="59">
        <v>0</v>
      </c>
      <c r="L3169" s="4">
        <v>0</v>
      </c>
      <c r="M3169" s="67" t="s">
        <v>19</v>
      </c>
      <c r="N3169" s="70">
        <f t="shared" si="77"/>
        <v>4499.82</v>
      </c>
    </row>
    <row r="3170" spans="1:14">
      <c r="A3170" s="12">
        <v>3169</v>
      </c>
      <c r="B3170" s="40" t="s">
        <v>4384</v>
      </c>
      <c r="C3170" s="49" t="s">
        <v>4385</v>
      </c>
      <c r="D3170" s="49" t="s">
        <v>4608</v>
      </c>
      <c r="E3170" s="49" t="s">
        <v>4609</v>
      </c>
      <c r="F3170" s="59">
        <v>23611.8</v>
      </c>
      <c r="G3170" s="62" t="s">
        <v>18</v>
      </c>
      <c r="H3170" s="66">
        <v>999799</v>
      </c>
      <c r="I3170" s="59">
        <v>1800.9</v>
      </c>
      <c r="J3170" s="59">
        <v>1800.9</v>
      </c>
      <c r="K3170" s="59">
        <v>0</v>
      </c>
      <c r="L3170" s="4">
        <v>0</v>
      </c>
      <c r="M3170" s="67" t="s">
        <v>19</v>
      </c>
      <c r="N3170" s="70">
        <f t="shared" si="77"/>
        <v>3601.8</v>
      </c>
    </row>
    <row r="3171" spans="1:14">
      <c r="A3171" s="12">
        <v>3170</v>
      </c>
      <c r="B3171" s="40" t="s">
        <v>4384</v>
      </c>
      <c r="C3171" s="49" t="s">
        <v>4385</v>
      </c>
      <c r="D3171" s="49" t="s">
        <v>4610</v>
      </c>
      <c r="E3171" s="49" t="s">
        <v>4609</v>
      </c>
      <c r="F3171" s="59">
        <v>23611.8</v>
      </c>
      <c r="G3171" s="62" t="s">
        <v>18</v>
      </c>
      <c r="H3171" s="66">
        <v>999799</v>
      </c>
      <c r="I3171" s="59">
        <v>1800.9</v>
      </c>
      <c r="J3171" s="59">
        <v>1800.9</v>
      </c>
      <c r="K3171" s="59">
        <v>0</v>
      </c>
      <c r="L3171" s="4">
        <v>0</v>
      </c>
      <c r="M3171" s="67" t="s">
        <v>19</v>
      </c>
      <c r="N3171" s="70">
        <f t="shared" si="77"/>
        <v>3601.8</v>
      </c>
    </row>
    <row r="3172" spans="1:14">
      <c r="A3172" s="12">
        <v>3171</v>
      </c>
      <c r="B3172" s="40" t="s">
        <v>4384</v>
      </c>
      <c r="C3172" s="49" t="s">
        <v>4385</v>
      </c>
      <c r="D3172" s="49" t="s">
        <v>4611</v>
      </c>
      <c r="E3172" s="49" t="s">
        <v>4609</v>
      </c>
      <c r="F3172" s="59">
        <v>11805.9</v>
      </c>
      <c r="G3172" s="62" t="s">
        <v>18</v>
      </c>
      <c r="H3172" s="66">
        <v>999799</v>
      </c>
      <c r="I3172" s="59">
        <v>900.45</v>
      </c>
      <c r="J3172" s="59">
        <v>900.45</v>
      </c>
      <c r="K3172" s="59">
        <v>0</v>
      </c>
      <c r="L3172" s="4">
        <v>0</v>
      </c>
      <c r="M3172" s="67" t="s">
        <v>19</v>
      </c>
      <c r="N3172" s="70">
        <f t="shared" si="77"/>
        <v>1800.9</v>
      </c>
    </row>
    <row r="3173" spans="1:14">
      <c r="A3173" s="12">
        <v>3172</v>
      </c>
      <c r="B3173" s="40" t="s">
        <v>3967</v>
      </c>
      <c r="C3173" s="49" t="s">
        <v>3968</v>
      </c>
      <c r="D3173" s="49" t="s">
        <v>4612</v>
      </c>
      <c r="E3173" s="49" t="s">
        <v>503</v>
      </c>
      <c r="F3173" s="59">
        <v>51271</v>
      </c>
      <c r="G3173" s="62" t="s">
        <v>18</v>
      </c>
      <c r="H3173" s="66">
        <v>998346</v>
      </c>
      <c r="I3173" s="59">
        <v>0</v>
      </c>
      <c r="J3173" s="59">
        <v>0</v>
      </c>
      <c r="K3173" s="59">
        <v>7821</v>
      </c>
      <c r="L3173" s="4">
        <v>0</v>
      </c>
      <c r="M3173" s="67" t="s">
        <v>19</v>
      </c>
      <c r="N3173" s="70">
        <f t="shared" si="77"/>
        <v>7821</v>
      </c>
    </row>
    <row r="3174" spans="1:14">
      <c r="A3174" s="12">
        <v>3173</v>
      </c>
      <c r="B3174" s="40" t="s">
        <v>3967</v>
      </c>
      <c r="C3174" s="49" t="s">
        <v>3968</v>
      </c>
      <c r="D3174" s="49" t="s">
        <v>4613</v>
      </c>
      <c r="E3174" s="49" t="s">
        <v>218</v>
      </c>
      <c r="F3174" s="59">
        <v>32804</v>
      </c>
      <c r="G3174" s="62" t="s">
        <v>18</v>
      </c>
      <c r="H3174" s="66">
        <v>998346</v>
      </c>
      <c r="I3174" s="59">
        <v>0</v>
      </c>
      <c r="J3174" s="59">
        <v>0</v>
      </c>
      <c r="K3174" s="59">
        <v>5004</v>
      </c>
      <c r="L3174" s="4">
        <v>0</v>
      </c>
      <c r="M3174" s="67" t="s">
        <v>19</v>
      </c>
      <c r="N3174" s="70">
        <f t="shared" si="77"/>
        <v>5004</v>
      </c>
    </row>
    <row r="3175" spans="1:14">
      <c r="A3175" s="12">
        <v>3174</v>
      </c>
      <c r="B3175" s="40" t="s">
        <v>3967</v>
      </c>
      <c r="C3175" s="49" t="s">
        <v>3968</v>
      </c>
      <c r="D3175" s="49" t="s">
        <v>4614</v>
      </c>
      <c r="E3175" s="49" t="s">
        <v>206</v>
      </c>
      <c r="F3175" s="59">
        <v>3280</v>
      </c>
      <c r="G3175" s="62" t="s">
        <v>18</v>
      </c>
      <c r="H3175" s="66">
        <v>998346</v>
      </c>
      <c r="I3175" s="59">
        <v>0</v>
      </c>
      <c r="J3175" s="59">
        <v>0</v>
      </c>
      <c r="K3175" s="59">
        <v>500.4</v>
      </c>
      <c r="L3175" s="4">
        <v>0</v>
      </c>
      <c r="M3175" s="67" t="s">
        <v>19</v>
      </c>
      <c r="N3175" s="70">
        <f t="shared" si="77"/>
        <v>500.4</v>
      </c>
    </row>
    <row r="3176" spans="1:14">
      <c r="A3176" s="12">
        <v>3175</v>
      </c>
      <c r="B3176" s="40" t="s">
        <v>3967</v>
      </c>
      <c r="C3176" s="49" t="s">
        <v>3968</v>
      </c>
      <c r="D3176" s="49" t="s">
        <v>4615</v>
      </c>
      <c r="E3176" s="49" t="s">
        <v>4616</v>
      </c>
      <c r="F3176" s="59">
        <v>50209</v>
      </c>
      <c r="G3176" s="62" t="s">
        <v>18</v>
      </c>
      <c r="H3176" s="66">
        <v>998346</v>
      </c>
      <c r="I3176" s="59">
        <v>0</v>
      </c>
      <c r="J3176" s="59">
        <v>0</v>
      </c>
      <c r="K3176" s="59">
        <v>7659</v>
      </c>
      <c r="L3176" s="4">
        <v>0</v>
      </c>
      <c r="M3176" s="67" t="s">
        <v>19</v>
      </c>
      <c r="N3176" s="70">
        <f t="shared" si="77"/>
        <v>7659</v>
      </c>
    </row>
    <row r="3177" spans="1:14">
      <c r="A3177" s="12">
        <v>3176</v>
      </c>
      <c r="B3177" s="40" t="s">
        <v>1294</v>
      </c>
      <c r="C3177" s="49" t="s">
        <v>1295</v>
      </c>
      <c r="D3177" s="49" t="s">
        <v>4617</v>
      </c>
      <c r="E3177" s="49" t="s">
        <v>4618</v>
      </c>
      <c r="F3177" s="59">
        <v>50445</v>
      </c>
      <c r="G3177" s="62" t="s">
        <v>18</v>
      </c>
      <c r="H3177" s="66" t="s">
        <v>3985</v>
      </c>
      <c r="I3177" s="59">
        <v>0</v>
      </c>
      <c r="J3177" s="59">
        <v>0</v>
      </c>
      <c r="K3177" s="59">
        <v>7695</v>
      </c>
      <c r="L3177" s="4">
        <v>0</v>
      </c>
      <c r="M3177" s="67" t="s">
        <v>19</v>
      </c>
      <c r="N3177" s="70">
        <f t="shared" si="77"/>
        <v>7695</v>
      </c>
    </row>
    <row r="3178" spans="1:14">
      <c r="A3178" s="12">
        <v>3177</v>
      </c>
      <c r="B3178" s="40" t="s">
        <v>1294</v>
      </c>
      <c r="C3178" s="49" t="s">
        <v>1295</v>
      </c>
      <c r="D3178" s="49" t="s">
        <v>4619</v>
      </c>
      <c r="E3178" s="49" t="s">
        <v>4618</v>
      </c>
      <c r="F3178" s="59">
        <v>41005</v>
      </c>
      <c r="G3178" s="62" t="s">
        <v>18</v>
      </c>
      <c r="H3178" s="66" t="s">
        <v>3985</v>
      </c>
      <c r="I3178" s="59">
        <v>0</v>
      </c>
      <c r="J3178" s="59">
        <v>0</v>
      </c>
      <c r="K3178" s="59">
        <v>6255</v>
      </c>
      <c r="L3178" s="4">
        <v>0</v>
      </c>
      <c r="M3178" s="67" t="s">
        <v>19</v>
      </c>
      <c r="N3178" s="70">
        <f t="shared" si="77"/>
        <v>6255</v>
      </c>
    </row>
    <row r="3179" spans="1:14">
      <c r="A3179" s="12">
        <v>3178</v>
      </c>
      <c r="B3179" s="40" t="s">
        <v>1294</v>
      </c>
      <c r="C3179" s="49" t="s">
        <v>1295</v>
      </c>
      <c r="D3179" s="49" t="s">
        <v>4620</v>
      </c>
      <c r="E3179" s="49" t="s">
        <v>4618</v>
      </c>
      <c r="F3179" s="59">
        <v>64900</v>
      </c>
      <c r="G3179" s="62" t="s">
        <v>18</v>
      </c>
      <c r="H3179" s="66" t="s">
        <v>3985</v>
      </c>
      <c r="I3179" s="59">
        <v>0</v>
      </c>
      <c r="J3179" s="59">
        <v>0</v>
      </c>
      <c r="K3179" s="59">
        <v>9900</v>
      </c>
      <c r="L3179" s="4">
        <v>0</v>
      </c>
      <c r="M3179" s="67" t="s">
        <v>19</v>
      </c>
      <c r="N3179" s="70">
        <f t="shared" si="77"/>
        <v>9900</v>
      </c>
    </row>
    <row r="3180" spans="1:14">
      <c r="A3180" s="12">
        <v>3179</v>
      </c>
      <c r="B3180" s="40" t="s">
        <v>1294</v>
      </c>
      <c r="C3180" s="49" t="s">
        <v>1295</v>
      </c>
      <c r="D3180" s="49" t="s">
        <v>4621</v>
      </c>
      <c r="E3180" s="49" t="s">
        <v>4622</v>
      </c>
      <c r="F3180" s="59">
        <v>64900</v>
      </c>
      <c r="G3180" s="62" t="s">
        <v>18</v>
      </c>
      <c r="H3180" s="66" t="s">
        <v>3985</v>
      </c>
      <c r="I3180" s="59">
        <v>0</v>
      </c>
      <c r="J3180" s="59">
        <v>0</v>
      </c>
      <c r="K3180" s="59">
        <v>9900</v>
      </c>
      <c r="L3180" s="4">
        <v>0</v>
      </c>
      <c r="M3180" s="67" t="s">
        <v>19</v>
      </c>
      <c r="N3180" s="70">
        <f t="shared" si="77"/>
        <v>9900</v>
      </c>
    </row>
    <row r="3181" spans="1:14">
      <c r="A3181" s="12">
        <v>3180</v>
      </c>
      <c r="B3181" s="40" t="s">
        <v>1294</v>
      </c>
      <c r="C3181" s="49" t="s">
        <v>1295</v>
      </c>
      <c r="D3181" s="49" t="s">
        <v>4623</v>
      </c>
      <c r="E3181" s="49" t="s">
        <v>4624</v>
      </c>
      <c r="F3181" s="59">
        <v>71980</v>
      </c>
      <c r="G3181" s="62" t="s">
        <v>18</v>
      </c>
      <c r="H3181" s="66" t="s">
        <v>3985</v>
      </c>
      <c r="I3181" s="59">
        <v>0</v>
      </c>
      <c r="J3181" s="59">
        <v>0</v>
      </c>
      <c r="K3181" s="59">
        <v>10980</v>
      </c>
      <c r="L3181" s="4">
        <v>0</v>
      </c>
      <c r="M3181" s="67" t="s">
        <v>19</v>
      </c>
      <c r="N3181" s="70">
        <f t="shared" si="77"/>
        <v>10980</v>
      </c>
    </row>
    <row r="3182" spans="1:14">
      <c r="A3182" s="12">
        <v>3181</v>
      </c>
      <c r="B3182" s="40" t="s">
        <v>1432</v>
      </c>
      <c r="C3182" s="49" t="s">
        <v>1433</v>
      </c>
      <c r="D3182" s="49" t="s">
        <v>4625</v>
      </c>
      <c r="E3182" s="49" t="s">
        <v>218</v>
      </c>
      <c r="F3182" s="59">
        <v>167442</v>
      </c>
      <c r="G3182" s="63" t="s">
        <v>182</v>
      </c>
      <c r="H3182" s="66">
        <v>39232990</v>
      </c>
      <c r="I3182" s="59">
        <v>0</v>
      </c>
      <c r="J3182" s="59">
        <v>0</v>
      </c>
      <c r="K3182" s="59">
        <v>25542</v>
      </c>
      <c r="L3182" s="4">
        <v>0</v>
      </c>
      <c r="M3182" s="67" t="s">
        <v>108</v>
      </c>
      <c r="N3182" s="70">
        <f t="shared" si="77"/>
        <v>25542</v>
      </c>
    </row>
    <row r="3183" spans="1:14">
      <c r="A3183" s="12">
        <v>3182</v>
      </c>
      <c r="B3183" s="40" t="s">
        <v>4626</v>
      </c>
      <c r="C3183" s="49" t="s">
        <v>4627</v>
      </c>
      <c r="D3183" s="49" t="s">
        <v>4628</v>
      </c>
      <c r="E3183" s="49" t="s">
        <v>4629</v>
      </c>
      <c r="F3183" s="59">
        <v>1166608</v>
      </c>
      <c r="G3183" s="62" t="s">
        <v>182</v>
      </c>
      <c r="H3183" s="66">
        <v>1006</v>
      </c>
      <c r="I3183" s="59">
        <v>0</v>
      </c>
      <c r="J3183" s="59">
        <v>0</v>
      </c>
      <c r="K3183" s="59">
        <v>1107.75</v>
      </c>
      <c r="L3183" s="4">
        <v>0</v>
      </c>
      <c r="M3183" s="67" t="s">
        <v>108</v>
      </c>
      <c r="N3183" s="70">
        <f t="shared" si="77"/>
        <v>1107.75</v>
      </c>
    </row>
    <row r="3184" spans="1:14">
      <c r="A3184" s="12">
        <v>3183</v>
      </c>
      <c r="B3184" s="40" t="s">
        <v>4626</v>
      </c>
      <c r="C3184" s="49" t="s">
        <v>4627</v>
      </c>
      <c r="D3184" s="49" t="s">
        <v>4630</v>
      </c>
      <c r="E3184" s="49" t="s">
        <v>206</v>
      </c>
      <c r="F3184" s="59">
        <v>1166608</v>
      </c>
      <c r="G3184" s="62" t="s">
        <v>182</v>
      </c>
      <c r="H3184" s="66">
        <v>1006</v>
      </c>
      <c r="I3184" s="59">
        <v>0</v>
      </c>
      <c r="J3184" s="59">
        <v>0</v>
      </c>
      <c r="K3184" s="59">
        <v>1107.75</v>
      </c>
      <c r="L3184" s="4">
        <v>0</v>
      </c>
      <c r="M3184" s="67" t="s">
        <v>108</v>
      </c>
      <c r="N3184" s="70">
        <f t="shared" si="77"/>
        <v>1107.75</v>
      </c>
    </row>
    <row r="3185" spans="1:14">
      <c r="A3185" s="12">
        <v>3184</v>
      </c>
      <c r="B3185" s="40" t="s">
        <v>4626</v>
      </c>
      <c r="C3185" s="49" t="s">
        <v>4627</v>
      </c>
      <c r="D3185" s="49" t="s">
        <v>4631</v>
      </c>
      <c r="E3185" s="49" t="s">
        <v>206</v>
      </c>
      <c r="F3185" s="59">
        <v>166658</v>
      </c>
      <c r="G3185" s="62" t="s">
        <v>182</v>
      </c>
      <c r="H3185" s="66">
        <v>1006</v>
      </c>
      <c r="I3185" s="59">
        <v>0</v>
      </c>
      <c r="J3185" s="59">
        <v>0</v>
      </c>
      <c r="K3185" s="59">
        <v>158.25</v>
      </c>
      <c r="L3185" s="4">
        <v>0</v>
      </c>
      <c r="M3185" s="67" t="s">
        <v>108</v>
      </c>
      <c r="N3185" s="70">
        <f t="shared" si="77"/>
        <v>158.25</v>
      </c>
    </row>
    <row r="3186" spans="1:14">
      <c r="A3186" s="12">
        <v>3185</v>
      </c>
      <c r="B3186" s="40" t="s">
        <v>4626</v>
      </c>
      <c r="C3186" s="49" t="s">
        <v>4627</v>
      </c>
      <c r="D3186" s="49" t="s">
        <v>4632</v>
      </c>
      <c r="E3186" s="49" t="s">
        <v>503</v>
      </c>
      <c r="F3186" s="59">
        <v>1166610</v>
      </c>
      <c r="G3186" s="62" t="s">
        <v>182</v>
      </c>
      <c r="H3186" s="66">
        <v>1006</v>
      </c>
      <c r="I3186" s="59">
        <v>0</v>
      </c>
      <c r="J3186" s="59">
        <v>0</v>
      </c>
      <c r="K3186" s="59">
        <v>1109.5</v>
      </c>
      <c r="L3186" s="4">
        <v>0</v>
      </c>
      <c r="M3186" s="67" t="s">
        <v>108</v>
      </c>
      <c r="N3186" s="70">
        <f t="shared" si="77"/>
        <v>1109.5</v>
      </c>
    </row>
    <row r="3187" spans="1:14">
      <c r="A3187" s="12">
        <v>3186</v>
      </c>
      <c r="B3187" s="40" t="s">
        <v>4626</v>
      </c>
      <c r="C3187" s="49" t="s">
        <v>4627</v>
      </c>
      <c r="D3187" s="49" t="s">
        <v>4633</v>
      </c>
      <c r="E3187" s="49" t="s">
        <v>503</v>
      </c>
      <c r="F3187" s="59">
        <v>999953</v>
      </c>
      <c r="G3187" s="62" t="s">
        <v>182</v>
      </c>
      <c r="H3187" s="66">
        <v>1006</v>
      </c>
      <c r="I3187" s="59">
        <v>0</v>
      </c>
      <c r="J3187" s="59">
        <v>0</v>
      </c>
      <c r="K3187" s="59">
        <v>952.5</v>
      </c>
      <c r="L3187" s="4">
        <v>0</v>
      </c>
      <c r="M3187" s="67" t="s">
        <v>108</v>
      </c>
      <c r="N3187" s="70">
        <f t="shared" si="77"/>
        <v>952.5</v>
      </c>
    </row>
    <row r="3188" spans="1:14">
      <c r="A3188" s="12">
        <v>3187</v>
      </c>
      <c r="B3188" s="40" t="s">
        <v>4626</v>
      </c>
      <c r="C3188" s="49" t="s">
        <v>4627</v>
      </c>
      <c r="D3188" s="49" t="s">
        <v>2549</v>
      </c>
      <c r="E3188" s="49" t="s">
        <v>4634</v>
      </c>
      <c r="F3188" s="59">
        <v>999953</v>
      </c>
      <c r="G3188" s="62" t="s">
        <v>182</v>
      </c>
      <c r="H3188" s="66">
        <v>1006</v>
      </c>
      <c r="I3188" s="59">
        <v>0</v>
      </c>
      <c r="J3188" s="59">
        <v>0</v>
      </c>
      <c r="K3188" s="59">
        <v>952.5</v>
      </c>
      <c r="L3188" s="4">
        <v>0</v>
      </c>
      <c r="M3188" s="67" t="s">
        <v>108</v>
      </c>
      <c r="N3188" s="70">
        <f t="shared" si="77"/>
        <v>952.5</v>
      </c>
    </row>
    <row r="3189" spans="1:14">
      <c r="A3189" s="12">
        <v>3188</v>
      </c>
      <c r="B3189" s="40" t="s">
        <v>4626</v>
      </c>
      <c r="C3189" s="49" t="s">
        <v>4627</v>
      </c>
      <c r="D3189" s="49" t="s">
        <v>4635</v>
      </c>
      <c r="E3189" s="49" t="s">
        <v>4636</v>
      </c>
      <c r="F3189" s="59">
        <v>1166608</v>
      </c>
      <c r="G3189" s="62" t="s">
        <v>182</v>
      </c>
      <c r="H3189" s="66">
        <v>1006</v>
      </c>
      <c r="I3189" s="59">
        <v>0</v>
      </c>
      <c r="J3189" s="59">
        <v>0</v>
      </c>
      <c r="K3189" s="59">
        <v>1107.75</v>
      </c>
      <c r="L3189" s="4">
        <v>0</v>
      </c>
      <c r="M3189" s="67" t="s">
        <v>108</v>
      </c>
      <c r="N3189" s="70">
        <f t="shared" si="77"/>
        <v>1107.75</v>
      </c>
    </row>
    <row r="3190" spans="1:14">
      <c r="A3190" s="12">
        <v>3189</v>
      </c>
      <c r="B3190" s="40" t="s">
        <v>4626</v>
      </c>
      <c r="C3190" s="49" t="s">
        <v>4627</v>
      </c>
      <c r="D3190" s="49" t="s">
        <v>1103</v>
      </c>
      <c r="E3190" s="49" t="s">
        <v>218</v>
      </c>
      <c r="F3190" s="59">
        <v>999950</v>
      </c>
      <c r="G3190" s="62" t="s">
        <v>182</v>
      </c>
      <c r="H3190" s="66">
        <v>1006</v>
      </c>
      <c r="I3190" s="59">
        <v>0</v>
      </c>
      <c r="J3190" s="59">
        <v>0</v>
      </c>
      <c r="K3190" s="59">
        <v>949.5</v>
      </c>
      <c r="L3190" s="4">
        <v>0</v>
      </c>
      <c r="M3190" s="67" t="s">
        <v>108</v>
      </c>
      <c r="N3190" s="70">
        <f t="shared" si="77"/>
        <v>949.5</v>
      </c>
    </row>
    <row r="3191" spans="1:14">
      <c r="A3191" s="12">
        <v>3190</v>
      </c>
      <c r="B3191" s="40" t="s">
        <v>4626</v>
      </c>
      <c r="C3191" s="49" t="s">
        <v>4627</v>
      </c>
      <c r="D3191" s="49" t="s">
        <v>1524</v>
      </c>
      <c r="E3191" s="49" t="s">
        <v>218</v>
      </c>
      <c r="F3191" s="59">
        <v>1166608</v>
      </c>
      <c r="G3191" s="62" t="s">
        <v>182</v>
      </c>
      <c r="H3191" s="66">
        <v>1006</v>
      </c>
      <c r="I3191" s="59">
        <v>0</v>
      </c>
      <c r="J3191" s="59">
        <v>0</v>
      </c>
      <c r="K3191" s="59">
        <v>1107.75</v>
      </c>
      <c r="L3191" s="4">
        <v>0</v>
      </c>
      <c r="M3191" s="67" t="s">
        <v>108</v>
      </c>
      <c r="N3191" s="70">
        <f t="shared" si="77"/>
        <v>1107.75</v>
      </c>
    </row>
    <row r="3192" spans="1:14">
      <c r="A3192" s="12">
        <v>3191</v>
      </c>
      <c r="B3192" s="40" t="s">
        <v>3936</v>
      </c>
      <c r="C3192" s="49" t="s">
        <v>3937</v>
      </c>
      <c r="D3192" s="49" t="s">
        <v>4637</v>
      </c>
      <c r="E3192" s="49" t="s">
        <v>229</v>
      </c>
      <c r="F3192" s="59">
        <v>10211.719999999999</v>
      </c>
      <c r="G3192" s="62" t="s">
        <v>18</v>
      </c>
      <c r="H3192" s="66">
        <v>9971</v>
      </c>
      <c r="I3192" s="59">
        <v>778.86</v>
      </c>
      <c r="J3192" s="59">
        <v>778.86</v>
      </c>
      <c r="K3192" s="59">
        <v>0</v>
      </c>
      <c r="L3192" s="4">
        <v>0</v>
      </c>
      <c r="M3192" s="67" t="s">
        <v>19</v>
      </c>
      <c r="N3192" s="70">
        <f t="shared" si="77"/>
        <v>1557.72</v>
      </c>
    </row>
    <row r="3193" spans="1:14">
      <c r="A3193" s="12">
        <v>3192</v>
      </c>
      <c r="B3193" s="40" t="s">
        <v>3936</v>
      </c>
      <c r="C3193" s="49" t="s">
        <v>3937</v>
      </c>
      <c r="D3193" s="49" t="s">
        <v>4638</v>
      </c>
      <c r="E3193" s="49" t="s">
        <v>4603</v>
      </c>
      <c r="F3193" s="59">
        <v>15615.33</v>
      </c>
      <c r="G3193" s="62" t="s">
        <v>18</v>
      </c>
      <c r="H3193" s="66">
        <v>9971</v>
      </c>
      <c r="I3193" s="59">
        <v>1191</v>
      </c>
      <c r="J3193" s="59">
        <v>1191</v>
      </c>
      <c r="K3193" s="59">
        <v>0</v>
      </c>
      <c r="L3193" s="4">
        <v>0</v>
      </c>
      <c r="M3193" s="67" t="s">
        <v>19</v>
      </c>
      <c r="N3193" s="70">
        <f t="shared" si="77"/>
        <v>2382</v>
      </c>
    </row>
    <row r="3194" spans="1:14">
      <c r="A3194" s="12">
        <v>3193</v>
      </c>
      <c r="B3194" s="40" t="s">
        <v>3936</v>
      </c>
      <c r="C3194" s="49" t="s">
        <v>3937</v>
      </c>
      <c r="D3194" s="49" t="s">
        <v>4639</v>
      </c>
      <c r="E3194" s="49" t="s">
        <v>503</v>
      </c>
      <c r="F3194" s="59">
        <v>59</v>
      </c>
      <c r="G3194" s="62" t="s">
        <v>18</v>
      </c>
      <c r="H3194" s="66">
        <v>9971</v>
      </c>
      <c r="I3194" s="59">
        <v>4.5</v>
      </c>
      <c r="J3194" s="59">
        <v>4.5</v>
      </c>
      <c r="K3194" s="59">
        <v>0</v>
      </c>
      <c r="L3194" s="4">
        <v>0</v>
      </c>
      <c r="M3194" s="67" t="s">
        <v>19</v>
      </c>
      <c r="N3194" s="70">
        <f t="shared" si="77"/>
        <v>9</v>
      </c>
    </row>
    <row r="3195" spans="1:14">
      <c r="A3195" s="12">
        <v>3194</v>
      </c>
      <c r="B3195" s="40" t="s">
        <v>3936</v>
      </c>
      <c r="C3195" s="49" t="s">
        <v>3937</v>
      </c>
      <c r="D3195" s="49" t="s">
        <v>4640</v>
      </c>
      <c r="E3195" s="49" t="s">
        <v>218</v>
      </c>
      <c r="F3195" s="59">
        <v>29.5</v>
      </c>
      <c r="G3195" s="62" t="s">
        <v>18</v>
      </c>
      <c r="H3195" s="66">
        <v>9971</v>
      </c>
      <c r="I3195" s="59">
        <v>2.25</v>
      </c>
      <c r="J3195" s="59">
        <v>2.25</v>
      </c>
      <c r="K3195" s="59">
        <v>0</v>
      </c>
      <c r="L3195" s="4">
        <v>0</v>
      </c>
      <c r="M3195" s="67" t="s">
        <v>19</v>
      </c>
      <c r="N3195" s="70">
        <f t="shared" si="77"/>
        <v>4.5</v>
      </c>
    </row>
    <row r="3196" spans="1:14">
      <c r="A3196" s="12">
        <v>3195</v>
      </c>
      <c r="B3196" s="40" t="s">
        <v>3936</v>
      </c>
      <c r="C3196" s="49" t="s">
        <v>3937</v>
      </c>
      <c r="D3196" s="49" t="s">
        <v>4641</v>
      </c>
      <c r="E3196" s="49" t="s">
        <v>4618</v>
      </c>
      <c r="F3196" s="59">
        <v>59</v>
      </c>
      <c r="G3196" s="62" t="s">
        <v>18</v>
      </c>
      <c r="H3196" s="66">
        <v>9971</v>
      </c>
      <c r="I3196" s="59">
        <v>4.5</v>
      </c>
      <c r="J3196" s="59">
        <v>4.5</v>
      </c>
      <c r="K3196" s="59">
        <v>0</v>
      </c>
      <c r="L3196" s="4">
        <v>0</v>
      </c>
      <c r="M3196" s="67" t="s">
        <v>19</v>
      </c>
      <c r="N3196" s="70">
        <f t="shared" si="77"/>
        <v>9</v>
      </c>
    </row>
    <row r="3197" spans="1:14">
      <c r="A3197" s="12">
        <v>3196</v>
      </c>
      <c r="B3197" s="40" t="s">
        <v>3936</v>
      </c>
      <c r="C3197" s="49" t="s">
        <v>3937</v>
      </c>
      <c r="D3197" s="49" t="s">
        <v>4642</v>
      </c>
      <c r="E3197" s="49" t="s">
        <v>523</v>
      </c>
      <c r="F3197" s="59">
        <v>5.9</v>
      </c>
      <c r="G3197" s="62" t="s">
        <v>18</v>
      </c>
      <c r="H3197" s="66">
        <v>9971</v>
      </c>
      <c r="I3197" s="59">
        <v>0.45</v>
      </c>
      <c r="J3197" s="59">
        <v>0.45</v>
      </c>
      <c r="K3197" s="59">
        <v>0</v>
      </c>
      <c r="L3197" s="4">
        <v>0</v>
      </c>
      <c r="M3197" s="67" t="s">
        <v>19</v>
      </c>
      <c r="N3197" s="70">
        <f t="shared" si="77"/>
        <v>0.9</v>
      </c>
    </row>
    <row r="3198" spans="1:14">
      <c r="A3198" s="12">
        <v>3197</v>
      </c>
      <c r="B3198" s="40" t="s">
        <v>3936</v>
      </c>
      <c r="C3198" s="49" t="s">
        <v>3937</v>
      </c>
      <c r="D3198" s="49" t="s">
        <v>4643</v>
      </c>
      <c r="E3198" s="49" t="s">
        <v>206</v>
      </c>
      <c r="F3198" s="59">
        <v>5.9</v>
      </c>
      <c r="G3198" s="62" t="s">
        <v>18</v>
      </c>
      <c r="H3198" s="66">
        <v>9971</v>
      </c>
      <c r="I3198" s="59">
        <v>0.45</v>
      </c>
      <c r="J3198" s="59">
        <v>0.45</v>
      </c>
      <c r="K3198" s="59">
        <v>0</v>
      </c>
      <c r="L3198" s="4">
        <v>0</v>
      </c>
      <c r="M3198" s="67" t="s">
        <v>19</v>
      </c>
      <c r="N3198" s="70">
        <f t="shared" si="77"/>
        <v>0.9</v>
      </c>
    </row>
    <row r="3199" spans="1:14">
      <c r="A3199" s="12">
        <v>3198</v>
      </c>
      <c r="B3199" s="40" t="s">
        <v>3936</v>
      </c>
      <c r="C3199" s="49" t="s">
        <v>3937</v>
      </c>
      <c r="D3199" s="49" t="s">
        <v>4644</v>
      </c>
      <c r="E3199" s="49" t="s">
        <v>229</v>
      </c>
      <c r="F3199" s="59">
        <v>59</v>
      </c>
      <c r="G3199" s="62" t="s">
        <v>18</v>
      </c>
      <c r="H3199" s="66">
        <v>9971</v>
      </c>
      <c r="I3199" s="59">
        <v>4.5</v>
      </c>
      <c r="J3199" s="59">
        <v>4.5</v>
      </c>
      <c r="K3199" s="59">
        <v>0</v>
      </c>
      <c r="L3199" s="4">
        <v>0</v>
      </c>
      <c r="M3199" s="67" t="s">
        <v>19</v>
      </c>
      <c r="N3199" s="70">
        <f t="shared" si="77"/>
        <v>9</v>
      </c>
    </row>
    <row r="3200" spans="1:14">
      <c r="A3200" s="12">
        <v>3199</v>
      </c>
      <c r="B3200" s="40" t="s">
        <v>3936</v>
      </c>
      <c r="C3200" s="49" t="s">
        <v>3937</v>
      </c>
      <c r="D3200" s="49" t="s">
        <v>4645</v>
      </c>
      <c r="E3200" s="49" t="s">
        <v>229</v>
      </c>
      <c r="F3200" s="59">
        <v>59</v>
      </c>
      <c r="G3200" s="62" t="s">
        <v>18</v>
      </c>
      <c r="H3200" s="66">
        <v>9971</v>
      </c>
      <c r="I3200" s="59">
        <v>4.5</v>
      </c>
      <c r="J3200" s="59">
        <v>4.5</v>
      </c>
      <c r="K3200" s="59">
        <v>0</v>
      </c>
      <c r="L3200" s="4">
        <v>0</v>
      </c>
      <c r="M3200" s="67" t="s">
        <v>19</v>
      </c>
      <c r="N3200" s="70">
        <f t="shared" si="77"/>
        <v>9</v>
      </c>
    </row>
    <row r="3201" spans="1:14">
      <c r="A3201" s="12">
        <v>3200</v>
      </c>
      <c r="B3201" s="40" t="s">
        <v>3936</v>
      </c>
      <c r="C3201" s="49" t="s">
        <v>3937</v>
      </c>
      <c r="D3201" s="49" t="s">
        <v>4646</v>
      </c>
      <c r="E3201" s="49" t="s">
        <v>229</v>
      </c>
      <c r="F3201" s="59">
        <v>354</v>
      </c>
      <c r="G3201" s="62" t="s">
        <v>18</v>
      </c>
      <c r="H3201" s="66">
        <v>9971</v>
      </c>
      <c r="I3201" s="59">
        <v>27</v>
      </c>
      <c r="J3201" s="59">
        <v>27</v>
      </c>
      <c r="K3201" s="59">
        <v>0</v>
      </c>
      <c r="L3201" s="4">
        <v>0</v>
      </c>
      <c r="M3201" s="67" t="s">
        <v>19</v>
      </c>
      <c r="N3201" s="70">
        <f t="shared" si="77"/>
        <v>54</v>
      </c>
    </row>
    <row r="3202" spans="1:14">
      <c r="A3202" s="12">
        <v>3201</v>
      </c>
      <c r="B3202" s="40" t="s">
        <v>3936</v>
      </c>
      <c r="C3202" s="49" t="s">
        <v>3937</v>
      </c>
      <c r="D3202" s="49" t="s">
        <v>4647</v>
      </c>
      <c r="E3202" s="49" t="s">
        <v>506</v>
      </c>
      <c r="F3202" s="59">
        <v>354</v>
      </c>
      <c r="G3202" s="62" t="s">
        <v>18</v>
      </c>
      <c r="H3202" s="66">
        <v>9971</v>
      </c>
      <c r="I3202" s="59">
        <v>27</v>
      </c>
      <c r="J3202" s="59">
        <v>27</v>
      </c>
      <c r="K3202" s="59">
        <v>0</v>
      </c>
      <c r="L3202" s="4">
        <v>0</v>
      </c>
      <c r="M3202" s="67" t="s">
        <v>19</v>
      </c>
      <c r="N3202" s="70">
        <f t="shared" si="77"/>
        <v>54</v>
      </c>
    </row>
    <row r="3203" spans="1:14">
      <c r="A3203" s="12">
        <v>3202</v>
      </c>
      <c r="B3203" s="40" t="s">
        <v>3936</v>
      </c>
      <c r="C3203" s="49" t="s">
        <v>3937</v>
      </c>
      <c r="D3203" s="49" t="s">
        <v>4648</v>
      </c>
      <c r="E3203" s="49" t="s">
        <v>4624</v>
      </c>
      <c r="F3203" s="59">
        <v>354</v>
      </c>
      <c r="G3203" s="62" t="s">
        <v>18</v>
      </c>
      <c r="H3203" s="66">
        <v>9971</v>
      </c>
      <c r="I3203" s="59">
        <v>27</v>
      </c>
      <c r="J3203" s="59">
        <v>27</v>
      </c>
      <c r="K3203" s="59">
        <v>0</v>
      </c>
      <c r="L3203" s="4">
        <v>0</v>
      </c>
      <c r="M3203" s="67" t="s">
        <v>19</v>
      </c>
      <c r="N3203" s="70">
        <f t="shared" si="77"/>
        <v>54</v>
      </c>
    </row>
    <row r="3204" spans="1:14">
      <c r="A3204" s="12">
        <v>3203</v>
      </c>
      <c r="B3204" s="40" t="s">
        <v>3936</v>
      </c>
      <c r="C3204" s="49" t="s">
        <v>3937</v>
      </c>
      <c r="D3204" s="49" t="s">
        <v>4649</v>
      </c>
      <c r="E3204" s="49" t="s">
        <v>4624</v>
      </c>
      <c r="F3204" s="59">
        <v>5.9</v>
      </c>
      <c r="G3204" s="62" t="s">
        <v>18</v>
      </c>
      <c r="H3204" s="66">
        <v>9971</v>
      </c>
      <c r="I3204" s="59">
        <v>0.45</v>
      </c>
      <c r="J3204" s="59">
        <v>0.45</v>
      </c>
      <c r="K3204" s="59">
        <v>0</v>
      </c>
      <c r="L3204" s="4">
        <v>0</v>
      </c>
      <c r="M3204" s="67" t="s">
        <v>19</v>
      </c>
      <c r="N3204" s="70">
        <f t="shared" si="77"/>
        <v>0.9</v>
      </c>
    </row>
    <row r="3205" spans="1:14">
      <c r="A3205" s="12">
        <v>3204</v>
      </c>
      <c r="B3205" s="40" t="s">
        <v>3936</v>
      </c>
      <c r="C3205" s="49" t="s">
        <v>3937</v>
      </c>
      <c r="D3205" s="49" t="s">
        <v>4650</v>
      </c>
      <c r="E3205" s="49" t="s">
        <v>4616</v>
      </c>
      <c r="F3205" s="59">
        <v>590</v>
      </c>
      <c r="G3205" s="62" t="s">
        <v>18</v>
      </c>
      <c r="H3205" s="66">
        <v>9971</v>
      </c>
      <c r="I3205" s="59">
        <v>45</v>
      </c>
      <c r="J3205" s="59">
        <v>45</v>
      </c>
      <c r="K3205" s="59">
        <v>0</v>
      </c>
      <c r="L3205" s="4">
        <v>0</v>
      </c>
      <c r="M3205" s="67" t="s">
        <v>19</v>
      </c>
      <c r="N3205" s="70">
        <f t="shared" si="77"/>
        <v>90</v>
      </c>
    </row>
    <row r="3206" spans="1:14">
      <c r="A3206" s="12">
        <v>3205</v>
      </c>
      <c r="B3206" s="40" t="s">
        <v>3936</v>
      </c>
      <c r="C3206" s="49" t="s">
        <v>3937</v>
      </c>
      <c r="D3206" s="49" t="s">
        <v>4651</v>
      </c>
      <c r="E3206" s="49" t="s">
        <v>4616</v>
      </c>
      <c r="F3206" s="59">
        <v>1180</v>
      </c>
      <c r="G3206" s="62" t="s">
        <v>18</v>
      </c>
      <c r="H3206" s="66">
        <v>9971</v>
      </c>
      <c r="I3206" s="59">
        <v>90</v>
      </c>
      <c r="J3206" s="59">
        <v>90</v>
      </c>
      <c r="K3206" s="59">
        <v>0</v>
      </c>
      <c r="L3206" s="4">
        <v>0</v>
      </c>
      <c r="M3206" s="67" t="s">
        <v>19</v>
      </c>
      <c r="N3206" s="70">
        <f t="shared" si="77"/>
        <v>180</v>
      </c>
    </row>
    <row r="3207" spans="1:14">
      <c r="A3207" s="12">
        <v>3206</v>
      </c>
      <c r="B3207" s="40" t="s">
        <v>3936</v>
      </c>
      <c r="C3207" s="49" t="s">
        <v>3937</v>
      </c>
      <c r="D3207" s="49" t="s">
        <v>4652</v>
      </c>
      <c r="E3207" s="49" t="s">
        <v>4616</v>
      </c>
      <c r="F3207" s="59">
        <v>2010.24</v>
      </c>
      <c r="G3207" s="62" t="s">
        <v>18</v>
      </c>
      <c r="H3207" s="66">
        <v>9971</v>
      </c>
      <c r="I3207" s="59">
        <v>153.32</v>
      </c>
      <c r="J3207" s="59">
        <v>153.32</v>
      </c>
      <c r="K3207" s="59">
        <v>0</v>
      </c>
      <c r="L3207" s="4">
        <v>0</v>
      </c>
      <c r="M3207" s="67" t="s">
        <v>19</v>
      </c>
      <c r="N3207" s="70">
        <f t="shared" si="77"/>
        <v>306.64</v>
      </c>
    </row>
    <row r="3208" spans="1:14">
      <c r="A3208" s="12">
        <v>3207</v>
      </c>
      <c r="B3208" s="40" t="s">
        <v>3936</v>
      </c>
      <c r="C3208" s="49" t="s">
        <v>3937</v>
      </c>
      <c r="D3208" s="49" t="s">
        <v>4653</v>
      </c>
      <c r="E3208" s="49" t="s">
        <v>4616</v>
      </c>
      <c r="F3208" s="59">
        <v>357.68</v>
      </c>
      <c r="G3208" s="62" t="s">
        <v>18</v>
      </c>
      <c r="H3208" s="66">
        <v>9971</v>
      </c>
      <c r="I3208" s="59">
        <v>27.28</v>
      </c>
      <c r="J3208" s="59">
        <v>27.28</v>
      </c>
      <c r="K3208" s="59">
        <v>0</v>
      </c>
      <c r="L3208" s="4">
        <v>0</v>
      </c>
      <c r="M3208" s="67" t="s">
        <v>19</v>
      </c>
      <c r="N3208" s="70">
        <f t="shared" si="77"/>
        <v>54.56</v>
      </c>
    </row>
    <row r="3209" spans="1:14">
      <c r="A3209" s="12">
        <v>3208</v>
      </c>
      <c r="B3209" s="40" t="s">
        <v>3936</v>
      </c>
      <c r="C3209" s="49" t="s">
        <v>3937</v>
      </c>
      <c r="D3209" s="49" t="s">
        <v>4654</v>
      </c>
      <c r="E3209" s="49" t="s">
        <v>508</v>
      </c>
      <c r="F3209" s="59">
        <v>10456.11</v>
      </c>
      <c r="G3209" s="62" t="s">
        <v>18</v>
      </c>
      <c r="H3209" s="66">
        <v>9971</v>
      </c>
      <c r="I3209" s="59">
        <v>797.5</v>
      </c>
      <c r="J3209" s="59">
        <v>797.5</v>
      </c>
      <c r="K3209" s="59">
        <v>0</v>
      </c>
      <c r="L3209" s="4">
        <v>0</v>
      </c>
      <c r="M3209" s="67" t="s">
        <v>19</v>
      </c>
      <c r="N3209" s="70">
        <f t="shared" si="77"/>
        <v>1595</v>
      </c>
    </row>
    <row r="3210" spans="1:14">
      <c r="A3210" s="12">
        <v>3209</v>
      </c>
      <c r="B3210" s="40" t="s">
        <v>3936</v>
      </c>
      <c r="C3210" s="49" t="s">
        <v>3937</v>
      </c>
      <c r="D3210" s="49" t="s">
        <v>4655</v>
      </c>
      <c r="E3210" s="49" t="s">
        <v>4656</v>
      </c>
      <c r="F3210" s="59">
        <v>118</v>
      </c>
      <c r="G3210" s="62" t="s">
        <v>18</v>
      </c>
      <c r="H3210" s="66">
        <v>9971</v>
      </c>
      <c r="I3210" s="59">
        <v>9</v>
      </c>
      <c r="J3210" s="59">
        <v>9</v>
      </c>
      <c r="K3210" s="59">
        <v>0</v>
      </c>
      <c r="L3210" s="4">
        <v>0</v>
      </c>
      <c r="M3210" s="67" t="s">
        <v>19</v>
      </c>
      <c r="N3210" s="70">
        <f t="shared" si="77"/>
        <v>18</v>
      </c>
    </row>
    <row r="3211" spans="1:14">
      <c r="A3211" s="12">
        <v>3210</v>
      </c>
      <c r="B3211" s="40" t="s">
        <v>3936</v>
      </c>
      <c r="C3211" s="49" t="s">
        <v>3937</v>
      </c>
      <c r="D3211" s="49" t="s">
        <v>4657</v>
      </c>
      <c r="E3211" s="49" t="s">
        <v>4656</v>
      </c>
      <c r="F3211" s="59">
        <v>5.9</v>
      </c>
      <c r="G3211" s="62" t="s">
        <v>18</v>
      </c>
      <c r="H3211" s="66">
        <v>9971</v>
      </c>
      <c r="I3211" s="59">
        <v>0.45</v>
      </c>
      <c r="J3211" s="59">
        <v>0.45</v>
      </c>
      <c r="K3211" s="59">
        <v>0</v>
      </c>
      <c r="L3211" s="4">
        <v>0</v>
      </c>
      <c r="M3211" s="67" t="s">
        <v>19</v>
      </c>
      <c r="N3211" s="70">
        <f t="shared" si="77"/>
        <v>0.9</v>
      </c>
    </row>
    <row r="3212" spans="1:14">
      <c r="A3212" s="12">
        <v>3211</v>
      </c>
      <c r="B3212" s="40" t="s">
        <v>3936</v>
      </c>
      <c r="C3212" s="49" t="s">
        <v>3937</v>
      </c>
      <c r="D3212" s="49" t="s">
        <v>4658</v>
      </c>
      <c r="E3212" s="49" t="s">
        <v>4609</v>
      </c>
      <c r="F3212" s="59">
        <v>354</v>
      </c>
      <c r="G3212" s="62" t="s">
        <v>18</v>
      </c>
      <c r="H3212" s="66">
        <v>9971</v>
      </c>
      <c r="I3212" s="59">
        <v>27</v>
      </c>
      <c r="J3212" s="59">
        <v>27</v>
      </c>
      <c r="K3212" s="59">
        <v>0</v>
      </c>
      <c r="L3212" s="4">
        <v>0</v>
      </c>
      <c r="M3212" s="67" t="s">
        <v>19</v>
      </c>
      <c r="N3212" s="70">
        <f t="shared" si="77"/>
        <v>54</v>
      </c>
    </row>
    <row r="3213" spans="1:14">
      <c r="A3213" s="12">
        <v>3212</v>
      </c>
      <c r="B3213" s="40" t="s">
        <v>4659</v>
      </c>
      <c r="C3213" s="49" t="s">
        <v>4660</v>
      </c>
      <c r="D3213" s="49" t="s">
        <v>4661</v>
      </c>
      <c r="E3213" s="49" t="s">
        <v>4616</v>
      </c>
      <c r="F3213" s="59">
        <v>608603.63</v>
      </c>
      <c r="G3213" s="62" t="s">
        <v>18</v>
      </c>
      <c r="H3213" s="66">
        <v>996713</v>
      </c>
      <c r="I3213" s="59">
        <v>0</v>
      </c>
      <c r="J3213" s="59">
        <v>0</v>
      </c>
      <c r="K3213" s="59">
        <v>28981.13</v>
      </c>
      <c r="L3213" s="4">
        <v>0</v>
      </c>
      <c r="M3213" s="67" t="s">
        <v>19</v>
      </c>
      <c r="N3213" s="70">
        <f t="shared" si="77"/>
        <v>28981.13</v>
      </c>
    </row>
    <row r="3214" spans="1:14">
      <c r="A3214" s="12">
        <v>3213</v>
      </c>
      <c r="B3214" s="40" t="s">
        <v>4659</v>
      </c>
      <c r="C3214" s="49" t="s">
        <v>4660</v>
      </c>
      <c r="D3214" s="49" t="s">
        <v>4662</v>
      </c>
      <c r="E3214" s="49" t="s">
        <v>4616</v>
      </c>
      <c r="F3214" s="59">
        <v>64793.56</v>
      </c>
      <c r="G3214" s="62" t="s">
        <v>18</v>
      </c>
      <c r="H3214" s="66">
        <v>996713</v>
      </c>
      <c r="I3214" s="59">
        <v>0</v>
      </c>
      <c r="J3214" s="59">
        <v>0</v>
      </c>
      <c r="K3214" s="59">
        <v>9883.76</v>
      </c>
      <c r="L3214" s="4">
        <v>0</v>
      </c>
      <c r="M3214" s="67" t="s">
        <v>19</v>
      </c>
      <c r="N3214" s="70">
        <f t="shared" si="77"/>
        <v>9883.76</v>
      </c>
    </row>
    <row r="3215" spans="1:14">
      <c r="A3215" s="12">
        <v>3214</v>
      </c>
      <c r="B3215" s="40" t="s">
        <v>4659</v>
      </c>
      <c r="C3215" s="49" t="s">
        <v>4660</v>
      </c>
      <c r="D3215" s="49" t="s">
        <v>4663</v>
      </c>
      <c r="E3215" s="49" t="s">
        <v>4616</v>
      </c>
      <c r="F3215" s="59">
        <v>65383.56</v>
      </c>
      <c r="G3215" s="62" t="s">
        <v>18</v>
      </c>
      <c r="H3215" s="66">
        <v>996713</v>
      </c>
      <c r="I3215" s="59">
        <v>0</v>
      </c>
      <c r="J3215" s="59">
        <v>0</v>
      </c>
      <c r="K3215" s="59">
        <v>9973.76</v>
      </c>
      <c r="L3215" s="4">
        <v>0</v>
      </c>
      <c r="M3215" s="67" t="s">
        <v>19</v>
      </c>
      <c r="N3215" s="70">
        <f t="shared" si="77"/>
        <v>9973.76</v>
      </c>
    </row>
    <row r="3216" spans="1:14">
      <c r="A3216" s="12">
        <v>3215</v>
      </c>
      <c r="B3216" s="40" t="s">
        <v>4659</v>
      </c>
      <c r="C3216" s="49" t="s">
        <v>4660</v>
      </c>
      <c r="D3216" s="49" t="s">
        <v>4664</v>
      </c>
      <c r="E3216" s="49" t="s">
        <v>4616</v>
      </c>
      <c r="F3216" s="59">
        <v>608603.63</v>
      </c>
      <c r="G3216" s="62" t="s">
        <v>18</v>
      </c>
      <c r="H3216" s="66">
        <v>996713</v>
      </c>
      <c r="I3216" s="59">
        <v>0</v>
      </c>
      <c r="J3216" s="59">
        <v>0</v>
      </c>
      <c r="K3216" s="59">
        <v>28981.13</v>
      </c>
      <c r="L3216" s="4">
        <v>0</v>
      </c>
      <c r="M3216" s="67" t="s">
        <v>19</v>
      </c>
      <c r="N3216" s="70">
        <f t="shared" si="77"/>
        <v>28981.13</v>
      </c>
    </row>
    <row r="3217" spans="1:14">
      <c r="A3217" s="12">
        <v>3216</v>
      </c>
      <c r="B3217" s="40" t="s">
        <v>4659</v>
      </c>
      <c r="C3217" s="49" t="s">
        <v>4660</v>
      </c>
      <c r="D3217" s="49" t="s">
        <v>4665</v>
      </c>
      <c r="E3217" s="49" t="s">
        <v>508</v>
      </c>
      <c r="F3217" s="59">
        <v>125162.13</v>
      </c>
      <c r="G3217" s="62" t="s">
        <v>18</v>
      </c>
      <c r="H3217" s="66">
        <v>996713</v>
      </c>
      <c r="I3217" s="59">
        <v>0</v>
      </c>
      <c r="J3217" s="59">
        <v>0</v>
      </c>
      <c r="K3217" s="59">
        <v>19092.53</v>
      </c>
      <c r="L3217" s="4">
        <v>0</v>
      </c>
      <c r="M3217" s="67" t="s">
        <v>19</v>
      </c>
      <c r="N3217" s="70">
        <f t="shared" si="77"/>
        <v>19092.53</v>
      </c>
    </row>
    <row r="3218" spans="1:14">
      <c r="A3218" s="12">
        <v>3217</v>
      </c>
      <c r="B3218" s="40" t="s">
        <v>4659</v>
      </c>
      <c r="C3218" s="49" t="s">
        <v>4660</v>
      </c>
      <c r="D3218" s="49" t="s">
        <v>4666</v>
      </c>
      <c r="E3218" s="49" t="s">
        <v>508</v>
      </c>
      <c r="F3218" s="59">
        <v>1217207.25</v>
      </c>
      <c r="G3218" s="62" t="s">
        <v>18</v>
      </c>
      <c r="H3218" s="66">
        <v>996713</v>
      </c>
      <c r="I3218" s="59">
        <v>0</v>
      </c>
      <c r="J3218" s="59">
        <v>0</v>
      </c>
      <c r="K3218" s="59">
        <v>57962.25</v>
      </c>
      <c r="L3218" s="4">
        <v>0</v>
      </c>
      <c r="M3218" s="67" t="s">
        <v>19</v>
      </c>
      <c r="N3218" s="70">
        <f t="shared" si="77"/>
        <v>57962.25</v>
      </c>
    </row>
    <row r="3219" spans="1:14">
      <c r="A3219" s="12">
        <v>3218</v>
      </c>
      <c r="B3219" s="40" t="s">
        <v>4659</v>
      </c>
      <c r="C3219" s="49" t="s">
        <v>4660</v>
      </c>
      <c r="D3219" s="49" t="s">
        <v>4667</v>
      </c>
      <c r="E3219" s="49" t="s">
        <v>4668</v>
      </c>
      <c r="F3219" s="59">
        <v>3717</v>
      </c>
      <c r="G3219" s="62" t="s">
        <v>18</v>
      </c>
      <c r="H3219" s="66">
        <v>996713</v>
      </c>
      <c r="I3219" s="59">
        <v>0</v>
      </c>
      <c r="J3219" s="59">
        <v>0</v>
      </c>
      <c r="K3219" s="59">
        <v>567</v>
      </c>
      <c r="L3219" s="4">
        <v>0</v>
      </c>
      <c r="M3219" s="67" t="s">
        <v>19</v>
      </c>
      <c r="N3219" s="70">
        <f t="shared" si="77"/>
        <v>567</v>
      </c>
    </row>
    <row r="3220" spans="1:14">
      <c r="A3220" s="12">
        <v>3219</v>
      </c>
      <c r="B3220" s="40" t="s">
        <v>4659</v>
      </c>
      <c r="C3220" s="49" t="s">
        <v>4660</v>
      </c>
      <c r="D3220" s="49" t="s">
        <v>4669</v>
      </c>
      <c r="E3220" s="49" t="s">
        <v>497</v>
      </c>
      <c r="F3220" s="59">
        <v>124572.13</v>
      </c>
      <c r="G3220" s="62" t="s">
        <v>18</v>
      </c>
      <c r="H3220" s="66">
        <v>996713</v>
      </c>
      <c r="I3220" s="59">
        <v>0</v>
      </c>
      <c r="J3220" s="59">
        <v>0</v>
      </c>
      <c r="K3220" s="59">
        <v>19002.53</v>
      </c>
      <c r="L3220" s="4">
        <v>0</v>
      </c>
      <c r="M3220" s="67" t="s">
        <v>19</v>
      </c>
      <c r="N3220" s="70">
        <f t="shared" si="77"/>
        <v>19002.53</v>
      </c>
    </row>
    <row r="3221" spans="1:14">
      <c r="A3221" s="12">
        <v>3220</v>
      </c>
      <c r="B3221" s="40" t="s">
        <v>4659</v>
      </c>
      <c r="C3221" s="49" t="s">
        <v>4660</v>
      </c>
      <c r="D3221" s="49" t="s">
        <v>4670</v>
      </c>
      <c r="E3221" s="49" t="s">
        <v>497</v>
      </c>
      <c r="F3221" s="59">
        <v>1217207.25</v>
      </c>
      <c r="G3221" s="62" t="s">
        <v>18</v>
      </c>
      <c r="H3221" s="66">
        <v>996713</v>
      </c>
      <c r="I3221" s="59">
        <v>0</v>
      </c>
      <c r="J3221" s="59">
        <v>0</v>
      </c>
      <c r="K3221" s="59">
        <v>57962.25</v>
      </c>
      <c r="L3221" s="4">
        <v>0</v>
      </c>
      <c r="M3221" s="67" t="s">
        <v>19</v>
      </c>
      <c r="N3221" s="70">
        <f t="shared" si="77"/>
        <v>57962.25</v>
      </c>
    </row>
    <row r="3222" spans="1:14">
      <c r="A3222" s="12">
        <v>3221</v>
      </c>
      <c r="B3222" s="40" t="s">
        <v>4659</v>
      </c>
      <c r="C3222" s="49" t="s">
        <v>4660</v>
      </c>
      <c r="D3222" s="49" t="s">
        <v>4671</v>
      </c>
      <c r="E3222" s="49" t="s">
        <v>497</v>
      </c>
      <c r="F3222" s="59">
        <v>590</v>
      </c>
      <c r="G3222" s="62" t="s">
        <v>18</v>
      </c>
      <c r="H3222" s="66">
        <v>996713</v>
      </c>
      <c r="I3222" s="59">
        <v>0</v>
      </c>
      <c r="J3222" s="59">
        <v>0</v>
      </c>
      <c r="K3222" s="59">
        <v>90</v>
      </c>
      <c r="L3222" s="4">
        <v>0</v>
      </c>
      <c r="M3222" s="67" t="s">
        <v>19</v>
      </c>
      <c r="N3222" s="70">
        <f t="shared" si="77"/>
        <v>90</v>
      </c>
    </row>
    <row r="3223" spans="1:14">
      <c r="A3223" s="12">
        <v>3222</v>
      </c>
      <c r="B3223" s="40" t="s">
        <v>4659</v>
      </c>
      <c r="C3223" s="49" t="s">
        <v>4660</v>
      </c>
      <c r="D3223" s="49" t="s">
        <v>4672</v>
      </c>
      <c r="E3223" s="49" t="s">
        <v>210</v>
      </c>
      <c r="F3223" s="59">
        <v>1575105</v>
      </c>
      <c r="G3223" s="62" t="s">
        <v>18</v>
      </c>
      <c r="H3223" s="66">
        <v>996713</v>
      </c>
      <c r="I3223" s="59">
        <v>0</v>
      </c>
      <c r="J3223" s="59">
        <v>0</v>
      </c>
      <c r="K3223" s="59">
        <v>75005</v>
      </c>
      <c r="L3223" s="4">
        <v>0</v>
      </c>
      <c r="M3223" s="67" t="s">
        <v>19</v>
      </c>
      <c r="N3223" s="70">
        <f t="shared" si="77"/>
        <v>75005</v>
      </c>
    </row>
    <row r="3224" spans="1:14">
      <c r="A3224" s="12">
        <v>3223</v>
      </c>
      <c r="B3224" s="40" t="s">
        <v>4659</v>
      </c>
      <c r="C3224" s="49" t="s">
        <v>4660</v>
      </c>
      <c r="D3224" s="49" t="s">
        <v>4673</v>
      </c>
      <c r="E3224" s="49" t="s">
        <v>210</v>
      </c>
      <c r="F3224" s="59">
        <v>124557.97</v>
      </c>
      <c r="G3224" s="62" t="s">
        <v>18</v>
      </c>
      <c r="H3224" s="66">
        <v>996713</v>
      </c>
      <c r="I3224" s="59">
        <v>0</v>
      </c>
      <c r="J3224" s="59">
        <v>0</v>
      </c>
      <c r="K3224" s="59">
        <v>19000.37</v>
      </c>
      <c r="L3224" s="4">
        <v>0</v>
      </c>
      <c r="M3224" s="67" t="s">
        <v>19</v>
      </c>
      <c r="N3224" s="70">
        <f t="shared" si="77"/>
        <v>19000.37</v>
      </c>
    </row>
    <row r="3225" spans="1:14">
      <c r="A3225" s="12">
        <v>3224</v>
      </c>
      <c r="B3225" s="40" t="s">
        <v>4674</v>
      </c>
      <c r="C3225" s="49" t="s">
        <v>1470</v>
      </c>
      <c r="D3225" s="49" t="s">
        <v>4675</v>
      </c>
      <c r="E3225" s="49" t="s">
        <v>4622</v>
      </c>
      <c r="F3225" s="59">
        <v>149691.79</v>
      </c>
      <c r="G3225" s="63" t="s">
        <v>18</v>
      </c>
      <c r="H3225" s="66">
        <v>998349</v>
      </c>
      <c r="I3225" s="59">
        <v>0</v>
      </c>
      <c r="J3225" s="59">
        <v>0</v>
      </c>
      <c r="K3225" s="59">
        <v>22834.34</v>
      </c>
      <c r="L3225" s="4">
        <v>0</v>
      </c>
      <c r="M3225" s="67" t="s">
        <v>19</v>
      </c>
      <c r="N3225" s="70">
        <f t="shared" si="77"/>
        <v>22834.34</v>
      </c>
    </row>
    <row r="3226" spans="1:14">
      <c r="A3226" s="12">
        <v>3225</v>
      </c>
      <c r="B3226" s="40" t="s">
        <v>1303</v>
      </c>
      <c r="C3226" s="49" t="s">
        <v>1304</v>
      </c>
      <c r="D3226" s="49" t="s">
        <v>4676</v>
      </c>
      <c r="E3226" s="49" t="s">
        <v>4629</v>
      </c>
      <c r="F3226" s="59">
        <v>137711.9</v>
      </c>
      <c r="G3226" s="64" t="s">
        <v>18</v>
      </c>
      <c r="H3226" s="66" t="s">
        <v>847</v>
      </c>
      <c r="I3226" s="59">
        <v>0</v>
      </c>
      <c r="J3226" s="59">
        <v>0</v>
      </c>
      <c r="K3226" s="59">
        <v>21006.9</v>
      </c>
      <c r="L3226" s="4">
        <v>0</v>
      </c>
      <c r="M3226" s="67" t="s">
        <v>19</v>
      </c>
      <c r="N3226" s="70">
        <f t="shared" si="77"/>
        <v>21006.9</v>
      </c>
    </row>
    <row r="3227" spans="1:14">
      <c r="A3227" s="12">
        <v>3226</v>
      </c>
      <c r="B3227" s="40" t="s">
        <v>4677</v>
      </c>
      <c r="C3227" s="49" t="s">
        <v>4678</v>
      </c>
      <c r="D3227" s="49" t="s">
        <v>4679</v>
      </c>
      <c r="E3227" s="49" t="s">
        <v>229</v>
      </c>
      <c r="F3227" s="59">
        <v>135500</v>
      </c>
      <c r="G3227" s="63" t="s">
        <v>156</v>
      </c>
      <c r="H3227" s="66">
        <v>8517</v>
      </c>
      <c r="I3227" s="59">
        <v>10334.75</v>
      </c>
      <c r="J3227" s="59">
        <v>10334.75</v>
      </c>
      <c r="K3227" s="59">
        <v>0</v>
      </c>
      <c r="L3227" s="4">
        <v>0</v>
      </c>
      <c r="M3227" s="14" t="s">
        <v>157</v>
      </c>
      <c r="N3227" s="15" t="s">
        <v>202</v>
      </c>
    </row>
    <row r="3228" spans="1:14">
      <c r="A3228" s="12">
        <v>3227</v>
      </c>
      <c r="B3228" s="40" t="s">
        <v>1531</v>
      </c>
      <c r="C3228" s="49" t="s">
        <v>1532</v>
      </c>
      <c r="D3228" s="49" t="s">
        <v>4680</v>
      </c>
      <c r="E3228" s="49" t="s">
        <v>497</v>
      </c>
      <c r="F3228" s="59">
        <v>48427</v>
      </c>
      <c r="G3228" s="63" t="s">
        <v>182</v>
      </c>
      <c r="H3228" s="66">
        <v>84422010</v>
      </c>
      <c r="I3228" s="59">
        <v>0</v>
      </c>
      <c r="J3228" s="59">
        <v>0</v>
      </c>
      <c r="K3228" s="59">
        <v>7387.2</v>
      </c>
      <c r="L3228" s="4">
        <v>0</v>
      </c>
      <c r="M3228" s="67" t="s">
        <v>108</v>
      </c>
      <c r="N3228" s="70">
        <f t="shared" ref="N3228:N3236" si="78">SUM(I3228:L3228)</f>
        <v>7387.2</v>
      </c>
    </row>
    <row r="3229" spans="1:14">
      <c r="A3229" s="12">
        <v>3228</v>
      </c>
      <c r="B3229" s="40" t="s">
        <v>4681</v>
      </c>
      <c r="C3229" s="49" t="s">
        <v>4682</v>
      </c>
      <c r="D3229" s="49" t="s">
        <v>4683</v>
      </c>
      <c r="E3229" s="49" t="s">
        <v>4684</v>
      </c>
      <c r="F3229" s="59">
        <v>136290</v>
      </c>
      <c r="G3229" s="62" t="s">
        <v>182</v>
      </c>
      <c r="H3229" s="66">
        <v>39269080</v>
      </c>
      <c r="I3229" s="59">
        <v>0</v>
      </c>
      <c r="J3229" s="59">
        <v>0</v>
      </c>
      <c r="K3229" s="59">
        <v>20790</v>
      </c>
      <c r="L3229" s="4">
        <v>0</v>
      </c>
      <c r="M3229" s="67" t="s">
        <v>108</v>
      </c>
      <c r="N3229" s="70">
        <f t="shared" si="78"/>
        <v>20790</v>
      </c>
    </row>
    <row r="3230" spans="1:14">
      <c r="A3230" s="12">
        <v>3229</v>
      </c>
      <c r="B3230" s="40" t="s">
        <v>4598</v>
      </c>
      <c r="C3230" s="49" t="s">
        <v>4599</v>
      </c>
      <c r="D3230" s="49" t="s">
        <v>4685</v>
      </c>
      <c r="E3230" s="49" t="s">
        <v>4624</v>
      </c>
      <c r="F3230" s="60">
        <v>-500000</v>
      </c>
      <c r="G3230" s="62" t="s">
        <v>24</v>
      </c>
      <c r="H3230" s="66">
        <v>1006</v>
      </c>
      <c r="I3230" s="60">
        <v>0</v>
      </c>
      <c r="J3230" s="60">
        <v>0</v>
      </c>
      <c r="K3230" s="60">
        <v>0</v>
      </c>
      <c r="L3230" s="4">
        <v>0</v>
      </c>
      <c r="M3230" s="67" t="s">
        <v>108</v>
      </c>
      <c r="N3230" s="70">
        <f t="shared" si="78"/>
        <v>0</v>
      </c>
    </row>
    <row r="3231" spans="1:14">
      <c r="A3231" s="12">
        <v>3230</v>
      </c>
      <c r="B3231" s="40" t="s">
        <v>1303</v>
      </c>
      <c r="C3231" s="49" t="s">
        <v>1304</v>
      </c>
      <c r="D3231" s="49" t="s">
        <v>4686</v>
      </c>
      <c r="E3231" s="49" t="s">
        <v>4687</v>
      </c>
      <c r="F3231" s="60">
        <v>-137711.9</v>
      </c>
      <c r="G3231" s="64" t="s">
        <v>18</v>
      </c>
      <c r="H3231" s="66" t="s">
        <v>847</v>
      </c>
      <c r="I3231" s="60">
        <v>0</v>
      </c>
      <c r="J3231" s="60">
        <v>0</v>
      </c>
      <c r="K3231" s="60">
        <v>-21006.9</v>
      </c>
      <c r="L3231" s="4">
        <v>0</v>
      </c>
      <c r="M3231" s="67" t="s">
        <v>19</v>
      </c>
      <c r="N3231" s="70">
        <f t="shared" si="78"/>
        <v>-21006.9</v>
      </c>
    </row>
    <row r="3232" spans="1:14">
      <c r="A3232" s="12">
        <v>3231</v>
      </c>
      <c r="B3232" s="40" t="s">
        <v>4688</v>
      </c>
      <c r="C3232" s="49" t="s">
        <v>4689</v>
      </c>
      <c r="D3232" s="49" t="s">
        <v>4690</v>
      </c>
      <c r="E3232" s="49" t="s">
        <v>233</v>
      </c>
      <c r="F3232" s="59">
        <v>3717</v>
      </c>
      <c r="G3232" s="65" t="s">
        <v>18</v>
      </c>
      <c r="H3232" s="66">
        <v>996759</v>
      </c>
      <c r="I3232" s="59">
        <v>0</v>
      </c>
      <c r="J3232" s="59">
        <v>0</v>
      </c>
      <c r="K3232" s="59">
        <v>567</v>
      </c>
      <c r="L3232" s="4">
        <v>0</v>
      </c>
      <c r="M3232" s="67" t="s">
        <v>19</v>
      </c>
      <c r="N3232" s="70">
        <f t="shared" si="78"/>
        <v>567</v>
      </c>
    </row>
    <row r="3233" spans="1:14">
      <c r="A3233" s="12">
        <v>3232</v>
      </c>
      <c r="B3233" s="40" t="s">
        <v>4688</v>
      </c>
      <c r="C3233" s="49" t="s">
        <v>4689</v>
      </c>
      <c r="D3233" s="49" t="s">
        <v>4691</v>
      </c>
      <c r="E3233" s="49" t="s">
        <v>4692</v>
      </c>
      <c r="F3233" s="59">
        <v>1152117</v>
      </c>
      <c r="G3233" s="65" t="s">
        <v>18</v>
      </c>
      <c r="H3233" s="66">
        <v>996521</v>
      </c>
      <c r="I3233" s="59">
        <v>0</v>
      </c>
      <c r="J3233" s="59">
        <v>0</v>
      </c>
      <c r="K3233" s="59">
        <v>54862.68</v>
      </c>
      <c r="L3233" s="4">
        <v>0</v>
      </c>
      <c r="M3233" s="67" t="s">
        <v>19</v>
      </c>
      <c r="N3233" s="70">
        <f t="shared" si="78"/>
        <v>54862.68</v>
      </c>
    </row>
    <row r="3234" spans="1:14">
      <c r="A3234" s="12">
        <v>3233</v>
      </c>
      <c r="B3234" s="40" t="s">
        <v>4688</v>
      </c>
      <c r="C3234" s="49" t="s">
        <v>4689</v>
      </c>
      <c r="D3234" s="49" t="s">
        <v>4693</v>
      </c>
      <c r="E3234" s="49" t="s">
        <v>4692</v>
      </c>
      <c r="F3234" s="59">
        <v>112131</v>
      </c>
      <c r="G3234" s="65" t="s">
        <v>18</v>
      </c>
      <c r="H3234" s="66">
        <v>996751</v>
      </c>
      <c r="I3234" s="59">
        <v>0</v>
      </c>
      <c r="J3234" s="59">
        <v>0</v>
      </c>
      <c r="K3234" s="59">
        <v>17104.63</v>
      </c>
      <c r="L3234" s="4">
        <v>0</v>
      </c>
      <c r="M3234" s="67" t="s">
        <v>19</v>
      </c>
      <c r="N3234" s="70">
        <f t="shared" si="78"/>
        <v>17104.63</v>
      </c>
    </row>
    <row r="3235" spans="1:14">
      <c r="A3235" s="12">
        <v>3234</v>
      </c>
      <c r="B3235" s="40" t="s">
        <v>4688</v>
      </c>
      <c r="C3235" s="49" t="s">
        <v>4689</v>
      </c>
      <c r="D3235" s="49" t="s">
        <v>4694</v>
      </c>
      <c r="E3235" s="49" t="s">
        <v>4692</v>
      </c>
      <c r="F3235" s="59">
        <v>11800</v>
      </c>
      <c r="G3235" s="65" t="s">
        <v>18</v>
      </c>
      <c r="H3235" s="66">
        <v>998539</v>
      </c>
      <c r="I3235" s="59">
        <v>0</v>
      </c>
      <c r="J3235" s="59">
        <v>0</v>
      </c>
      <c r="K3235" s="59">
        <v>1800</v>
      </c>
      <c r="L3235" s="4">
        <v>0</v>
      </c>
      <c r="M3235" s="67" t="s">
        <v>19</v>
      </c>
      <c r="N3235" s="70">
        <f t="shared" si="78"/>
        <v>1800</v>
      </c>
    </row>
    <row r="3236" spans="1:14">
      <c r="A3236" s="12">
        <v>3235</v>
      </c>
      <c r="B3236" s="40" t="s">
        <v>1432</v>
      </c>
      <c r="C3236" s="49" t="s">
        <v>1433</v>
      </c>
      <c r="D3236" s="49" t="s">
        <v>4695</v>
      </c>
      <c r="E3236" s="49" t="s">
        <v>256</v>
      </c>
      <c r="F3236" s="59">
        <v>412764</v>
      </c>
      <c r="G3236" s="63" t="s">
        <v>182</v>
      </c>
      <c r="H3236" s="66">
        <v>39232990</v>
      </c>
      <c r="I3236" s="59">
        <v>0</v>
      </c>
      <c r="J3236" s="59">
        <v>0</v>
      </c>
      <c r="K3236" s="59">
        <v>62964</v>
      </c>
      <c r="L3236" s="4">
        <v>0</v>
      </c>
      <c r="M3236" s="67" t="s">
        <v>108</v>
      </c>
      <c r="N3236" s="70">
        <f t="shared" si="78"/>
        <v>62964</v>
      </c>
    </row>
    <row r="3237" spans="1:14">
      <c r="A3237" s="12">
        <v>3236</v>
      </c>
      <c r="B3237" s="40" t="s">
        <v>4696</v>
      </c>
      <c r="C3237" s="49" t="s">
        <v>4697</v>
      </c>
      <c r="D3237" s="49" t="s">
        <v>4698</v>
      </c>
      <c r="E3237" s="49" t="s">
        <v>250</v>
      </c>
      <c r="F3237" s="59">
        <v>5000</v>
      </c>
      <c r="G3237" s="65" t="s">
        <v>156</v>
      </c>
      <c r="H3237" s="66">
        <v>85071000</v>
      </c>
      <c r="I3237" s="59">
        <v>546.88</v>
      </c>
      <c r="J3237" s="59">
        <v>546.88</v>
      </c>
      <c r="K3237" s="59">
        <v>0</v>
      </c>
      <c r="L3237" s="4">
        <v>0</v>
      </c>
      <c r="M3237" s="14" t="s">
        <v>157</v>
      </c>
      <c r="N3237" s="15" t="s">
        <v>202</v>
      </c>
    </row>
    <row r="3238" spans="1:14">
      <c r="A3238" s="12">
        <v>3237</v>
      </c>
      <c r="B3238" s="40" t="s">
        <v>3936</v>
      </c>
      <c r="C3238" s="49" t="s">
        <v>3937</v>
      </c>
      <c r="D3238" s="49" t="s">
        <v>4699</v>
      </c>
      <c r="E3238" s="49" t="s">
        <v>241</v>
      </c>
      <c r="F3238" s="59">
        <v>59</v>
      </c>
      <c r="G3238" s="62" t="s">
        <v>18</v>
      </c>
      <c r="H3238" s="66">
        <v>9971</v>
      </c>
      <c r="I3238" s="59">
        <v>4.5</v>
      </c>
      <c r="J3238" s="59">
        <v>4.5</v>
      </c>
      <c r="K3238" s="59">
        <v>0</v>
      </c>
      <c r="L3238" s="4">
        <v>0</v>
      </c>
      <c r="M3238" s="67" t="s">
        <v>19</v>
      </c>
      <c r="N3238" s="70">
        <f t="shared" ref="N3238:N3301" si="79">SUM(I3238:L3238)</f>
        <v>9</v>
      </c>
    </row>
    <row r="3239" spans="1:14">
      <c r="A3239" s="12">
        <v>3238</v>
      </c>
      <c r="B3239" s="40" t="s">
        <v>3936</v>
      </c>
      <c r="C3239" s="49" t="s">
        <v>3937</v>
      </c>
      <c r="D3239" s="49" t="s">
        <v>4700</v>
      </c>
      <c r="E3239" s="49" t="s">
        <v>248</v>
      </c>
      <c r="F3239" s="59">
        <v>10185.959999999999</v>
      </c>
      <c r="G3239" s="62" t="s">
        <v>18</v>
      </c>
      <c r="H3239" s="66">
        <v>9971</v>
      </c>
      <c r="I3239" s="59">
        <v>776.9</v>
      </c>
      <c r="J3239" s="59">
        <v>776.9</v>
      </c>
      <c r="K3239" s="59">
        <v>0</v>
      </c>
      <c r="L3239" s="4">
        <v>0</v>
      </c>
      <c r="M3239" s="67" t="s">
        <v>19</v>
      </c>
      <c r="N3239" s="70">
        <f t="shared" si="79"/>
        <v>1553.8</v>
      </c>
    </row>
    <row r="3240" spans="1:14">
      <c r="A3240" s="12">
        <v>3239</v>
      </c>
      <c r="B3240" s="40" t="s">
        <v>3936</v>
      </c>
      <c r="C3240" s="49" t="s">
        <v>3937</v>
      </c>
      <c r="D3240" s="49" t="s">
        <v>4701</v>
      </c>
      <c r="E3240" s="49" t="s">
        <v>248</v>
      </c>
      <c r="F3240" s="59">
        <v>354</v>
      </c>
      <c r="G3240" s="62" t="s">
        <v>18</v>
      </c>
      <c r="H3240" s="66">
        <v>9971</v>
      </c>
      <c r="I3240" s="59">
        <v>27</v>
      </c>
      <c r="J3240" s="59">
        <v>27</v>
      </c>
      <c r="K3240" s="59">
        <v>0</v>
      </c>
      <c r="L3240" s="4">
        <v>0</v>
      </c>
      <c r="M3240" s="67" t="s">
        <v>19</v>
      </c>
      <c r="N3240" s="70">
        <f t="shared" si="79"/>
        <v>54</v>
      </c>
    </row>
    <row r="3241" spans="1:14">
      <c r="A3241" s="12">
        <v>3240</v>
      </c>
      <c r="B3241" s="40" t="s">
        <v>3936</v>
      </c>
      <c r="C3241" s="49" t="s">
        <v>3937</v>
      </c>
      <c r="D3241" s="49" t="s">
        <v>4702</v>
      </c>
      <c r="E3241" s="49" t="s">
        <v>260</v>
      </c>
      <c r="F3241" s="59">
        <v>7860.24</v>
      </c>
      <c r="G3241" s="62" t="s">
        <v>18</v>
      </c>
      <c r="H3241" s="66">
        <v>9971</v>
      </c>
      <c r="I3241" s="59">
        <v>599.51</v>
      </c>
      <c r="J3241" s="59">
        <v>599.51</v>
      </c>
      <c r="K3241" s="59">
        <v>0</v>
      </c>
      <c r="L3241" s="4">
        <v>0</v>
      </c>
      <c r="M3241" s="67" t="s">
        <v>19</v>
      </c>
      <c r="N3241" s="70">
        <f t="shared" si="79"/>
        <v>1199.02</v>
      </c>
    </row>
    <row r="3242" spans="1:14">
      <c r="A3242" s="12">
        <v>3241</v>
      </c>
      <c r="B3242" s="40" t="s">
        <v>3936</v>
      </c>
      <c r="C3242" s="49" t="s">
        <v>3937</v>
      </c>
      <c r="D3242" s="49" t="s">
        <v>4703</v>
      </c>
      <c r="E3242" s="49" t="s">
        <v>260</v>
      </c>
      <c r="F3242" s="59">
        <v>354</v>
      </c>
      <c r="G3242" s="62" t="s">
        <v>18</v>
      </c>
      <c r="H3242" s="66">
        <v>9971</v>
      </c>
      <c r="I3242" s="59">
        <v>27</v>
      </c>
      <c r="J3242" s="59">
        <v>27</v>
      </c>
      <c r="K3242" s="59">
        <v>0</v>
      </c>
      <c r="L3242" s="4">
        <v>0</v>
      </c>
      <c r="M3242" s="67" t="s">
        <v>19</v>
      </c>
      <c r="N3242" s="70">
        <f t="shared" si="79"/>
        <v>54</v>
      </c>
    </row>
    <row r="3243" spans="1:14">
      <c r="A3243" s="12">
        <v>3242</v>
      </c>
      <c r="B3243" s="40" t="s">
        <v>3936</v>
      </c>
      <c r="C3243" s="49" t="s">
        <v>3937</v>
      </c>
      <c r="D3243" s="49" t="s">
        <v>4704</v>
      </c>
      <c r="E3243" s="49" t="s">
        <v>260</v>
      </c>
      <c r="F3243" s="59">
        <v>354</v>
      </c>
      <c r="G3243" s="62" t="s">
        <v>18</v>
      </c>
      <c r="H3243" s="66">
        <v>9971</v>
      </c>
      <c r="I3243" s="59">
        <v>27</v>
      </c>
      <c r="J3243" s="59">
        <v>27</v>
      </c>
      <c r="K3243" s="59">
        <v>0</v>
      </c>
      <c r="L3243" s="4">
        <v>0</v>
      </c>
      <c r="M3243" s="67" t="s">
        <v>19</v>
      </c>
      <c r="N3243" s="70">
        <f t="shared" si="79"/>
        <v>54</v>
      </c>
    </row>
    <row r="3244" spans="1:14">
      <c r="A3244" s="12">
        <v>3243</v>
      </c>
      <c r="B3244" s="40" t="s">
        <v>3936</v>
      </c>
      <c r="C3244" s="49" t="s">
        <v>3937</v>
      </c>
      <c r="D3244" s="49" t="s">
        <v>4705</v>
      </c>
      <c r="E3244" s="49" t="s">
        <v>254</v>
      </c>
      <c r="F3244" s="59">
        <v>11249.33</v>
      </c>
      <c r="G3244" s="62" t="s">
        <v>18</v>
      </c>
      <c r="H3244" s="66">
        <v>9971</v>
      </c>
      <c r="I3244" s="59">
        <v>858</v>
      </c>
      <c r="J3244" s="59">
        <v>858</v>
      </c>
      <c r="K3244" s="59">
        <v>0</v>
      </c>
      <c r="L3244" s="4">
        <v>0</v>
      </c>
      <c r="M3244" s="67" t="s">
        <v>19</v>
      </c>
      <c r="N3244" s="70">
        <f t="shared" si="79"/>
        <v>1716</v>
      </c>
    </row>
    <row r="3245" spans="1:14">
      <c r="A3245" s="12">
        <v>3244</v>
      </c>
      <c r="B3245" s="40" t="s">
        <v>3936</v>
      </c>
      <c r="C3245" s="49" t="s">
        <v>3937</v>
      </c>
      <c r="D3245" s="49" t="s">
        <v>4706</v>
      </c>
      <c r="E3245" s="49" t="s">
        <v>254</v>
      </c>
      <c r="F3245" s="59">
        <v>354</v>
      </c>
      <c r="G3245" s="62" t="s">
        <v>18</v>
      </c>
      <c r="H3245" s="66">
        <v>9971</v>
      </c>
      <c r="I3245" s="59">
        <v>27</v>
      </c>
      <c r="J3245" s="59">
        <v>27</v>
      </c>
      <c r="K3245" s="59">
        <v>0</v>
      </c>
      <c r="L3245" s="4">
        <v>0</v>
      </c>
      <c r="M3245" s="67" t="s">
        <v>19</v>
      </c>
      <c r="N3245" s="70">
        <f t="shared" si="79"/>
        <v>54</v>
      </c>
    </row>
    <row r="3246" spans="1:14">
      <c r="A3246" s="12">
        <v>3245</v>
      </c>
      <c r="B3246" s="40" t="s">
        <v>3936</v>
      </c>
      <c r="C3246" s="49" t="s">
        <v>3937</v>
      </c>
      <c r="D3246" s="49" t="s">
        <v>4707</v>
      </c>
      <c r="E3246" s="49" t="s">
        <v>541</v>
      </c>
      <c r="F3246" s="59">
        <v>13740.44</v>
      </c>
      <c r="G3246" s="62" t="s">
        <v>18</v>
      </c>
      <c r="H3246" s="66">
        <v>9971</v>
      </c>
      <c r="I3246" s="59">
        <v>1048</v>
      </c>
      <c r="J3246" s="59">
        <v>1048</v>
      </c>
      <c r="K3246" s="59">
        <v>0</v>
      </c>
      <c r="L3246" s="4">
        <v>0</v>
      </c>
      <c r="M3246" s="67" t="s">
        <v>19</v>
      </c>
      <c r="N3246" s="70">
        <f t="shared" si="79"/>
        <v>2096</v>
      </c>
    </row>
    <row r="3247" spans="1:14">
      <c r="A3247" s="12">
        <v>3246</v>
      </c>
      <c r="B3247" s="40" t="s">
        <v>3936</v>
      </c>
      <c r="C3247" s="49" t="s">
        <v>3937</v>
      </c>
      <c r="D3247" s="49" t="s">
        <v>4708</v>
      </c>
      <c r="E3247" s="49" t="s">
        <v>541</v>
      </c>
      <c r="F3247" s="59">
        <v>3522.89</v>
      </c>
      <c r="G3247" s="62" t="s">
        <v>18</v>
      </c>
      <c r="H3247" s="66">
        <v>9971</v>
      </c>
      <c r="I3247" s="59">
        <v>268.7</v>
      </c>
      <c r="J3247" s="59">
        <v>268.7</v>
      </c>
      <c r="K3247" s="59">
        <v>0</v>
      </c>
      <c r="L3247" s="4">
        <v>0</v>
      </c>
      <c r="M3247" s="67" t="s">
        <v>19</v>
      </c>
      <c r="N3247" s="70">
        <f t="shared" si="79"/>
        <v>537.4</v>
      </c>
    </row>
    <row r="3248" spans="1:14">
      <c r="A3248" s="12">
        <v>3247</v>
      </c>
      <c r="B3248" s="40" t="s">
        <v>3936</v>
      </c>
      <c r="C3248" s="49" t="s">
        <v>3937</v>
      </c>
      <c r="D3248" s="49" t="s">
        <v>4709</v>
      </c>
      <c r="E3248" s="49" t="s">
        <v>541</v>
      </c>
      <c r="F3248" s="59">
        <v>590</v>
      </c>
      <c r="G3248" s="62" t="s">
        <v>18</v>
      </c>
      <c r="H3248" s="66">
        <v>9971</v>
      </c>
      <c r="I3248" s="59">
        <v>45</v>
      </c>
      <c r="J3248" s="59">
        <v>45</v>
      </c>
      <c r="K3248" s="59">
        <v>0</v>
      </c>
      <c r="L3248" s="4">
        <v>0</v>
      </c>
      <c r="M3248" s="67" t="s">
        <v>19</v>
      </c>
      <c r="N3248" s="70">
        <f t="shared" si="79"/>
        <v>90</v>
      </c>
    </row>
    <row r="3249" spans="1:14">
      <c r="A3249" s="12">
        <v>3248</v>
      </c>
      <c r="B3249" s="40" t="s">
        <v>3936</v>
      </c>
      <c r="C3249" s="49" t="s">
        <v>3937</v>
      </c>
      <c r="D3249" s="49" t="s">
        <v>4710</v>
      </c>
      <c r="E3249" s="49" t="s">
        <v>541</v>
      </c>
      <c r="F3249" s="59">
        <v>3447.14</v>
      </c>
      <c r="G3249" s="62" t="s">
        <v>18</v>
      </c>
      <c r="H3249" s="66">
        <v>9971</v>
      </c>
      <c r="I3249" s="59">
        <v>262.92</v>
      </c>
      <c r="J3249" s="59">
        <v>262.92</v>
      </c>
      <c r="K3249" s="59">
        <v>0</v>
      </c>
      <c r="L3249" s="4">
        <v>0</v>
      </c>
      <c r="M3249" s="67" t="s">
        <v>19</v>
      </c>
      <c r="N3249" s="70">
        <f t="shared" si="79"/>
        <v>525.84</v>
      </c>
    </row>
    <row r="3250" spans="1:14">
      <c r="A3250" s="12">
        <v>3249</v>
      </c>
      <c r="B3250" s="40" t="s">
        <v>3936</v>
      </c>
      <c r="C3250" s="49" t="s">
        <v>3937</v>
      </c>
      <c r="D3250" s="49" t="s">
        <v>4711</v>
      </c>
      <c r="E3250" s="49" t="s">
        <v>541</v>
      </c>
      <c r="F3250" s="59">
        <v>1180</v>
      </c>
      <c r="G3250" s="62" t="s">
        <v>18</v>
      </c>
      <c r="H3250" s="66">
        <v>9971</v>
      </c>
      <c r="I3250" s="59">
        <v>90</v>
      </c>
      <c r="J3250" s="59">
        <v>90</v>
      </c>
      <c r="K3250" s="59">
        <v>0</v>
      </c>
      <c r="L3250" s="4">
        <v>0</v>
      </c>
      <c r="M3250" s="67" t="s">
        <v>19</v>
      </c>
      <c r="N3250" s="70">
        <f t="shared" si="79"/>
        <v>180</v>
      </c>
    </row>
    <row r="3251" spans="1:14">
      <c r="A3251" s="12">
        <v>3250</v>
      </c>
      <c r="B3251" s="40" t="s">
        <v>3936</v>
      </c>
      <c r="C3251" s="49" t="s">
        <v>3937</v>
      </c>
      <c r="D3251" s="49" t="s">
        <v>4712</v>
      </c>
      <c r="E3251" s="49" t="s">
        <v>250</v>
      </c>
      <c r="F3251" s="59">
        <v>1180</v>
      </c>
      <c r="G3251" s="62" t="s">
        <v>18</v>
      </c>
      <c r="H3251" s="66">
        <v>9971</v>
      </c>
      <c r="I3251" s="59">
        <v>90</v>
      </c>
      <c r="J3251" s="59">
        <v>90</v>
      </c>
      <c r="K3251" s="59">
        <v>0</v>
      </c>
      <c r="L3251" s="4">
        <v>0</v>
      </c>
      <c r="M3251" s="67" t="s">
        <v>19</v>
      </c>
      <c r="N3251" s="70">
        <f t="shared" si="79"/>
        <v>180</v>
      </c>
    </row>
    <row r="3252" spans="1:14">
      <c r="A3252" s="12">
        <v>3251</v>
      </c>
      <c r="B3252" s="40" t="s">
        <v>3936</v>
      </c>
      <c r="C3252" s="49" t="s">
        <v>3937</v>
      </c>
      <c r="D3252" s="49" t="s">
        <v>4713</v>
      </c>
      <c r="E3252" s="49" t="s">
        <v>256</v>
      </c>
      <c r="F3252" s="59">
        <v>354</v>
      </c>
      <c r="G3252" s="62" t="s">
        <v>18</v>
      </c>
      <c r="H3252" s="66">
        <v>9971</v>
      </c>
      <c r="I3252" s="59">
        <v>27</v>
      </c>
      <c r="J3252" s="59">
        <v>27</v>
      </c>
      <c r="K3252" s="59">
        <v>0</v>
      </c>
      <c r="L3252" s="4">
        <v>0</v>
      </c>
      <c r="M3252" s="67" t="s">
        <v>19</v>
      </c>
      <c r="N3252" s="70">
        <f t="shared" si="79"/>
        <v>54</v>
      </c>
    </row>
    <row r="3253" spans="1:14">
      <c r="A3253" s="12">
        <v>3252</v>
      </c>
      <c r="B3253" s="40" t="s">
        <v>3936</v>
      </c>
      <c r="C3253" s="49" t="s">
        <v>3937</v>
      </c>
      <c r="D3253" s="49" t="s">
        <v>4714</v>
      </c>
      <c r="E3253" s="49" t="s">
        <v>4692</v>
      </c>
      <c r="F3253" s="59">
        <v>14094.44</v>
      </c>
      <c r="G3253" s="62" t="s">
        <v>18</v>
      </c>
      <c r="H3253" s="66">
        <v>9971</v>
      </c>
      <c r="I3253" s="59">
        <v>1075</v>
      </c>
      <c r="J3253" s="59">
        <v>1075</v>
      </c>
      <c r="K3253" s="59">
        <v>0</v>
      </c>
      <c r="L3253" s="4">
        <v>0</v>
      </c>
      <c r="M3253" s="67" t="s">
        <v>19</v>
      </c>
      <c r="N3253" s="70">
        <f t="shared" si="79"/>
        <v>2150</v>
      </c>
    </row>
    <row r="3254" spans="1:14">
      <c r="A3254" s="12">
        <v>3253</v>
      </c>
      <c r="B3254" s="40" t="s">
        <v>3936</v>
      </c>
      <c r="C3254" s="49" t="s">
        <v>3937</v>
      </c>
      <c r="D3254" s="49" t="s">
        <v>4715</v>
      </c>
      <c r="E3254" s="49" t="s">
        <v>4692</v>
      </c>
      <c r="F3254" s="59">
        <v>295</v>
      </c>
      <c r="G3254" s="62" t="s">
        <v>18</v>
      </c>
      <c r="H3254" s="66">
        <v>9971</v>
      </c>
      <c r="I3254" s="59">
        <v>22.5</v>
      </c>
      <c r="J3254" s="59">
        <v>22.5</v>
      </c>
      <c r="K3254" s="59">
        <v>0</v>
      </c>
      <c r="L3254" s="4">
        <v>0</v>
      </c>
      <c r="M3254" s="67" t="s">
        <v>19</v>
      </c>
      <c r="N3254" s="70">
        <f t="shared" si="79"/>
        <v>45</v>
      </c>
    </row>
    <row r="3255" spans="1:14">
      <c r="A3255" s="12">
        <v>3254</v>
      </c>
      <c r="B3255" s="40" t="s">
        <v>3936</v>
      </c>
      <c r="C3255" s="49" t="s">
        <v>3937</v>
      </c>
      <c r="D3255" s="49" t="s">
        <v>4716</v>
      </c>
      <c r="E3255" s="49" t="s">
        <v>4692</v>
      </c>
      <c r="F3255" s="59">
        <v>1180</v>
      </c>
      <c r="G3255" s="62" t="s">
        <v>18</v>
      </c>
      <c r="H3255" s="66">
        <v>9971</v>
      </c>
      <c r="I3255" s="59">
        <v>90</v>
      </c>
      <c r="J3255" s="59">
        <v>90</v>
      </c>
      <c r="K3255" s="59">
        <v>0</v>
      </c>
      <c r="L3255" s="4">
        <v>0</v>
      </c>
      <c r="M3255" s="67" t="s">
        <v>19</v>
      </c>
      <c r="N3255" s="70">
        <f t="shared" si="79"/>
        <v>180</v>
      </c>
    </row>
    <row r="3256" spans="1:14">
      <c r="A3256" s="12">
        <v>3255</v>
      </c>
      <c r="B3256" s="40" t="s">
        <v>3936</v>
      </c>
      <c r="C3256" s="49" t="s">
        <v>3937</v>
      </c>
      <c r="D3256" s="49" t="s">
        <v>4717</v>
      </c>
      <c r="E3256" s="49" t="s">
        <v>4692</v>
      </c>
      <c r="F3256" s="59">
        <v>874.79</v>
      </c>
      <c r="G3256" s="62" t="s">
        <v>18</v>
      </c>
      <c r="H3256" s="66">
        <v>9971</v>
      </c>
      <c r="I3256" s="59">
        <v>66.72</v>
      </c>
      <c r="J3256" s="59">
        <v>66.72</v>
      </c>
      <c r="K3256" s="59">
        <v>0</v>
      </c>
      <c r="L3256" s="4">
        <v>0</v>
      </c>
      <c r="M3256" s="67" t="s">
        <v>19</v>
      </c>
      <c r="N3256" s="70">
        <f t="shared" si="79"/>
        <v>133.44</v>
      </c>
    </row>
    <row r="3257" spans="1:14">
      <c r="A3257" s="12">
        <v>3256</v>
      </c>
      <c r="B3257" s="40" t="s">
        <v>3936</v>
      </c>
      <c r="C3257" s="49" t="s">
        <v>3937</v>
      </c>
      <c r="D3257" s="49" t="s">
        <v>4718</v>
      </c>
      <c r="E3257" s="49" t="s">
        <v>4692</v>
      </c>
      <c r="F3257" s="59">
        <v>590</v>
      </c>
      <c r="G3257" s="62" t="s">
        <v>18</v>
      </c>
      <c r="H3257" s="66">
        <v>9971</v>
      </c>
      <c r="I3257" s="59">
        <v>45</v>
      </c>
      <c r="J3257" s="59">
        <v>45</v>
      </c>
      <c r="K3257" s="59">
        <v>0</v>
      </c>
      <c r="L3257" s="4">
        <v>0</v>
      </c>
      <c r="M3257" s="67" t="s">
        <v>19</v>
      </c>
      <c r="N3257" s="70">
        <f t="shared" si="79"/>
        <v>90</v>
      </c>
    </row>
    <row r="3258" spans="1:14">
      <c r="A3258" s="12">
        <v>3257</v>
      </c>
      <c r="B3258" s="40" t="s">
        <v>3936</v>
      </c>
      <c r="C3258" s="49" t="s">
        <v>3937</v>
      </c>
      <c r="D3258" s="49" t="s">
        <v>4719</v>
      </c>
      <c r="E3258" s="49" t="s">
        <v>4692</v>
      </c>
      <c r="F3258" s="59">
        <v>2315.31</v>
      </c>
      <c r="G3258" s="62" t="s">
        <v>18</v>
      </c>
      <c r="H3258" s="66">
        <v>9971</v>
      </c>
      <c r="I3258" s="59">
        <v>176.59</v>
      </c>
      <c r="J3258" s="59">
        <v>176.59</v>
      </c>
      <c r="K3258" s="59">
        <v>0</v>
      </c>
      <c r="L3258" s="4">
        <v>0</v>
      </c>
      <c r="M3258" s="67" t="s">
        <v>19</v>
      </c>
      <c r="N3258" s="70">
        <f t="shared" si="79"/>
        <v>353.18</v>
      </c>
    </row>
    <row r="3259" spans="1:14">
      <c r="A3259" s="12">
        <v>3258</v>
      </c>
      <c r="B3259" s="40" t="s">
        <v>3936</v>
      </c>
      <c r="C3259" s="49" t="s">
        <v>3937</v>
      </c>
      <c r="D3259" s="49" t="s">
        <v>4720</v>
      </c>
      <c r="E3259" s="49" t="s">
        <v>4721</v>
      </c>
      <c r="F3259" s="59">
        <v>354</v>
      </c>
      <c r="G3259" s="62" t="s">
        <v>18</v>
      </c>
      <c r="H3259" s="66">
        <v>9971</v>
      </c>
      <c r="I3259" s="59">
        <v>27</v>
      </c>
      <c r="J3259" s="59">
        <v>27</v>
      </c>
      <c r="K3259" s="59">
        <v>0</v>
      </c>
      <c r="L3259" s="4">
        <v>0</v>
      </c>
      <c r="M3259" s="67" t="s">
        <v>19</v>
      </c>
      <c r="N3259" s="70">
        <f t="shared" si="79"/>
        <v>54</v>
      </c>
    </row>
    <row r="3260" spans="1:14">
      <c r="A3260" s="12">
        <v>3259</v>
      </c>
      <c r="B3260" s="40" t="s">
        <v>3936</v>
      </c>
      <c r="C3260" s="49" t="s">
        <v>3937</v>
      </c>
      <c r="D3260" s="49" t="s">
        <v>4722</v>
      </c>
      <c r="E3260" s="49" t="s">
        <v>563</v>
      </c>
      <c r="F3260" s="59">
        <v>118</v>
      </c>
      <c r="G3260" s="62" t="s">
        <v>18</v>
      </c>
      <c r="H3260" s="66">
        <v>9971</v>
      </c>
      <c r="I3260" s="59">
        <v>9</v>
      </c>
      <c r="J3260" s="59">
        <v>9</v>
      </c>
      <c r="K3260" s="59">
        <v>0</v>
      </c>
      <c r="L3260" s="4">
        <v>0</v>
      </c>
      <c r="M3260" s="67" t="s">
        <v>19</v>
      </c>
      <c r="N3260" s="70">
        <f t="shared" si="79"/>
        <v>18</v>
      </c>
    </row>
    <row r="3261" spans="1:14">
      <c r="A3261" s="12">
        <v>3260</v>
      </c>
      <c r="B3261" s="40" t="s">
        <v>3936</v>
      </c>
      <c r="C3261" s="49" t="s">
        <v>3937</v>
      </c>
      <c r="D3261" s="49" t="s">
        <v>4723</v>
      </c>
      <c r="E3261" s="49" t="s">
        <v>4724</v>
      </c>
      <c r="F3261" s="59">
        <v>869</v>
      </c>
      <c r="G3261" s="62" t="s">
        <v>18</v>
      </c>
      <c r="H3261" s="66">
        <v>9971</v>
      </c>
      <c r="I3261" s="59">
        <v>66.28</v>
      </c>
      <c r="J3261" s="59">
        <v>66.28</v>
      </c>
      <c r="K3261" s="59">
        <v>0</v>
      </c>
      <c r="L3261" s="4">
        <v>0</v>
      </c>
      <c r="M3261" s="67" t="s">
        <v>19</v>
      </c>
      <c r="N3261" s="70">
        <f t="shared" si="79"/>
        <v>132.56</v>
      </c>
    </row>
    <row r="3262" spans="1:14">
      <c r="A3262" s="12">
        <v>3261</v>
      </c>
      <c r="B3262" s="40" t="s">
        <v>3936</v>
      </c>
      <c r="C3262" s="49" t="s">
        <v>3937</v>
      </c>
      <c r="D3262" s="49" t="s">
        <v>4725</v>
      </c>
      <c r="E3262" s="49" t="s">
        <v>4724</v>
      </c>
      <c r="F3262" s="59">
        <v>1180</v>
      </c>
      <c r="G3262" s="62" t="s">
        <v>18</v>
      </c>
      <c r="H3262" s="66">
        <v>9971</v>
      </c>
      <c r="I3262" s="59">
        <v>90</v>
      </c>
      <c r="J3262" s="59">
        <v>90</v>
      </c>
      <c r="K3262" s="59">
        <v>0</v>
      </c>
      <c r="L3262" s="4">
        <v>0</v>
      </c>
      <c r="M3262" s="67" t="s">
        <v>19</v>
      </c>
      <c r="N3262" s="70">
        <f t="shared" si="79"/>
        <v>180</v>
      </c>
    </row>
    <row r="3263" spans="1:14">
      <c r="A3263" s="12">
        <v>3262</v>
      </c>
      <c r="B3263" s="40" t="s">
        <v>3936</v>
      </c>
      <c r="C3263" s="49" t="s">
        <v>3937</v>
      </c>
      <c r="D3263" s="49" t="s">
        <v>4726</v>
      </c>
      <c r="E3263" s="49" t="s">
        <v>4724</v>
      </c>
      <c r="F3263" s="59">
        <v>354</v>
      </c>
      <c r="G3263" s="62" t="s">
        <v>18</v>
      </c>
      <c r="H3263" s="66">
        <v>9971</v>
      </c>
      <c r="I3263" s="59">
        <v>27</v>
      </c>
      <c r="J3263" s="59">
        <v>27</v>
      </c>
      <c r="K3263" s="59">
        <v>0</v>
      </c>
      <c r="L3263" s="4">
        <v>0</v>
      </c>
      <c r="M3263" s="67" t="s">
        <v>19</v>
      </c>
      <c r="N3263" s="70">
        <f t="shared" si="79"/>
        <v>54</v>
      </c>
    </row>
    <row r="3264" spans="1:14">
      <c r="A3264" s="12">
        <v>3263</v>
      </c>
      <c r="B3264" s="40" t="s">
        <v>3936</v>
      </c>
      <c r="C3264" s="49" t="s">
        <v>3937</v>
      </c>
      <c r="D3264" s="49" t="s">
        <v>4727</v>
      </c>
      <c r="E3264" s="49" t="s">
        <v>4724</v>
      </c>
      <c r="F3264" s="59">
        <v>2299.84</v>
      </c>
      <c r="G3264" s="62" t="s">
        <v>18</v>
      </c>
      <c r="H3264" s="66">
        <v>9971</v>
      </c>
      <c r="I3264" s="59">
        <v>175.41</v>
      </c>
      <c r="J3264" s="59">
        <v>175.41</v>
      </c>
      <c r="K3264" s="59">
        <v>0</v>
      </c>
      <c r="L3264" s="4">
        <v>0</v>
      </c>
      <c r="M3264" s="67" t="s">
        <v>19</v>
      </c>
      <c r="N3264" s="70">
        <f t="shared" si="79"/>
        <v>350.82</v>
      </c>
    </row>
    <row r="3265" spans="1:14">
      <c r="A3265" s="12">
        <v>3264</v>
      </c>
      <c r="B3265" s="40" t="s">
        <v>3936</v>
      </c>
      <c r="C3265" s="49" t="s">
        <v>3937</v>
      </c>
      <c r="D3265" s="49" t="s">
        <v>4728</v>
      </c>
      <c r="E3265" s="49" t="s">
        <v>4724</v>
      </c>
      <c r="F3265" s="59">
        <v>590</v>
      </c>
      <c r="G3265" s="62" t="s">
        <v>18</v>
      </c>
      <c r="H3265" s="66">
        <v>9971</v>
      </c>
      <c r="I3265" s="59">
        <v>45</v>
      </c>
      <c r="J3265" s="59">
        <v>45</v>
      </c>
      <c r="K3265" s="59">
        <v>0</v>
      </c>
      <c r="L3265" s="4">
        <v>0</v>
      </c>
      <c r="M3265" s="67" t="s">
        <v>19</v>
      </c>
      <c r="N3265" s="70">
        <f t="shared" si="79"/>
        <v>90</v>
      </c>
    </row>
    <row r="3266" spans="1:14">
      <c r="A3266" s="12">
        <v>3265</v>
      </c>
      <c r="B3266" s="40" t="s">
        <v>3936</v>
      </c>
      <c r="C3266" s="49" t="s">
        <v>3937</v>
      </c>
      <c r="D3266" s="49" t="s">
        <v>4729</v>
      </c>
      <c r="E3266" s="49" t="s">
        <v>4730</v>
      </c>
      <c r="F3266" s="59">
        <v>12730.89</v>
      </c>
      <c r="G3266" s="62" t="s">
        <v>18</v>
      </c>
      <c r="H3266" s="66">
        <v>9971</v>
      </c>
      <c r="I3266" s="59">
        <v>971</v>
      </c>
      <c r="J3266" s="59">
        <v>971</v>
      </c>
      <c r="K3266" s="59">
        <v>0</v>
      </c>
      <c r="L3266" s="4">
        <v>0</v>
      </c>
      <c r="M3266" s="67" t="s">
        <v>19</v>
      </c>
      <c r="N3266" s="70">
        <f t="shared" si="79"/>
        <v>1942</v>
      </c>
    </row>
    <row r="3267" spans="1:14">
      <c r="A3267" s="12">
        <v>3266</v>
      </c>
      <c r="B3267" s="40" t="s">
        <v>3936</v>
      </c>
      <c r="C3267" s="49" t="s">
        <v>3937</v>
      </c>
      <c r="D3267" s="49" t="s">
        <v>4731</v>
      </c>
      <c r="E3267" s="49" t="s">
        <v>4732</v>
      </c>
      <c r="F3267" s="59">
        <v>59</v>
      </c>
      <c r="G3267" s="62" t="s">
        <v>18</v>
      </c>
      <c r="H3267" s="66">
        <v>9971</v>
      </c>
      <c r="I3267" s="59">
        <v>4.5</v>
      </c>
      <c r="J3267" s="59">
        <v>4.5</v>
      </c>
      <c r="K3267" s="59">
        <v>0</v>
      </c>
      <c r="L3267" s="4">
        <v>0</v>
      </c>
      <c r="M3267" s="67" t="s">
        <v>19</v>
      </c>
      <c r="N3267" s="70">
        <f t="shared" si="79"/>
        <v>9</v>
      </c>
    </row>
    <row r="3268" spans="1:14">
      <c r="A3268" s="12">
        <v>3267</v>
      </c>
      <c r="B3268" s="40" t="s">
        <v>3936</v>
      </c>
      <c r="C3268" s="49" t="s">
        <v>3937</v>
      </c>
      <c r="D3268" s="49" t="s">
        <v>4733</v>
      </c>
      <c r="E3268" s="49" t="s">
        <v>545</v>
      </c>
      <c r="F3268" s="59">
        <v>826</v>
      </c>
      <c r="G3268" s="62" t="s">
        <v>18</v>
      </c>
      <c r="H3268" s="66">
        <v>9971</v>
      </c>
      <c r="I3268" s="59">
        <v>63</v>
      </c>
      <c r="J3268" s="59">
        <v>63</v>
      </c>
      <c r="K3268" s="59">
        <v>0</v>
      </c>
      <c r="L3268" s="4">
        <v>0</v>
      </c>
      <c r="M3268" s="67" t="s">
        <v>19</v>
      </c>
      <c r="N3268" s="70">
        <f t="shared" si="79"/>
        <v>126</v>
      </c>
    </row>
    <row r="3269" spans="1:14">
      <c r="A3269" s="12">
        <v>3268</v>
      </c>
      <c r="B3269" s="40" t="s">
        <v>1294</v>
      </c>
      <c r="C3269" s="49" t="s">
        <v>1295</v>
      </c>
      <c r="D3269" s="49" t="s">
        <v>4734</v>
      </c>
      <c r="E3269" s="49" t="s">
        <v>563</v>
      </c>
      <c r="F3269" s="59">
        <v>62776</v>
      </c>
      <c r="G3269" s="62" t="s">
        <v>18</v>
      </c>
      <c r="H3269" s="66" t="s">
        <v>3985</v>
      </c>
      <c r="I3269" s="59">
        <v>0</v>
      </c>
      <c r="J3269" s="59">
        <v>0</v>
      </c>
      <c r="K3269" s="59">
        <v>9576</v>
      </c>
      <c r="L3269" s="4">
        <v>0</v>
      </c>
      <c r="M3269" s="67" t="s">
        <v>19</v>
      </c>
      <c r="N3269" s="70">
        <f t="shared" si="79"/>
        <v>9576</v>
      </c>
    </row>
    <row r="3270" spans="1:14">
      <c r="A3270" s="12">
        <v>3269</v>
      </c>
      <c r="B3270" s="40" t="s">
        <v>4659</v>
      </c>
      <c r="C3270" s="49" t="s">
        <v>4660</v>
      </c>
      <c r="D3270" s="49" t="s">
        <v>4735</v>
      </c>
      <c r="E3270" s="49" t="s">
        <v>541</v>
      </c>
      <c r="F3270" s="59">
        <v>2535.23</v>
      </c>
      <c r="G3270" s="62" t="s">
        <v>18</v>
      </c>
      <c r="H3270" s="66">
        <v>996713</v>
      </c>
      <c r="I3270" s="59">
        <v>0</v>
      </c>
      <c r="J3270" s="59">
        <v>0</v>
      </c>
      <c r="K3270" s="59">
        <v>386.73</v>
      </c>
      <c r="L3270" s="4">
        <v>0</v>
      </c>
      <c r="M3270" s="67" t="s">
        <v>19</v>
      </c>
      <c r="N3270" s="70">
        <f t="shared" si="79"/>
        <v>386.73</v>
      </c>
    </row>
    <row r="3271" spans="1:14">
      <c r="A3271" s="12">
        <v>3270</v>
      </c>
      <c r="B3271" s="40" t="s">
        <v>4659</v>
      </c>
      <c r="C3271" s="49" t="s">
        <v>4660</v>
      </c>
      <c r="D3271" s="49" t="s">
        <v>4736</v>
      </c>
      <c r="E3271" s="49" t="s">
        <v>237</v>
      </c>
      <c r="F3271" s="59">
        <v>4484</v>
      </c>
      <c r="G3271" s="62" t="s">
        <v>18</v>
      </c>
      <c r="H3271" s="66">
        <v>996713</v>
      </c>
      <c r="I3271" s="59">
        <v>0</v>
      </c>
      <c r="J3271" s="59">
        <v>0</v>
      </c>
      <c r="K3271" s="59">
        <v>684</v>
      </c>
      <c r="L3271" s="4">
        <v>0</v>
      </c>
      <c r="M3271" s="67" t="s">
        <v>19</v>
      </c>
      <c r="N3271" s="70">
        <f t="shared" si="79"/>
        <v>684</v>
      </c>
    </row>
    <row r="3272" spans="1:14">
      <c r="A3272" s="12">
        <v>3271</v>
      </c>
      <c r="B3272" s="40" t="s">
        <v>4659</v>
      </c>
      <c r="C3272" s="49" t="s">
        <v>4660</v>
      </c>
      <c r="D3272" s="49" t="s">
        <v>4737</v>
      </c>
      <c r="E3272" s="49" t="s">
        <v>250</v>
      </c>
      <c r="F3272" s="59">
        <v>590</v>
      </c>
      <c r="G3272" s="62" t="s">
        <v>18</v>
      </c>
      <c r="H3272" s="66">
        <v>996713</v>
      </c>
      <c r="I3272" s="59">
        <v>0</v>
      </c>
      <c r="J3272" s="59">
        <v>0</v>
      </c>
      <c r="K3272" s="59">
        <v>90</v>
      </c>
      <c r="L3272" s="4">
        <v>0</v>
      </c>
      <c r="M3272" s="67" t="s">
        <v>19</v>
      </c>
      <c r="N3272" s="70">
        <f t="shared" si="79"/>
        <v>90</v>
      </c>
    </row>
    <row r="3273" spans="1:14">
      <c r="A3273" s="12">
        <v>3272</v>
      </c>
      <c r="B3273" s="40" t="s">
        <v>4659</v>
      </c>
      <c r="C3273" s="49" t="s">
        <v>4660</v>
      </c>
      <c r="D3273" s="49" t="s">
        <v>4738</v>
      </c>
      <c r="E3273" s="49" t="s">
        <v>4739</v>
      </c>
      <c r="F3273" s="59">
        <v>4484</v>
      </c>
      <c r="G3273" s="62" t="s">
        <v>18</v>
      </c>
      <c r="H3273" s="66">
        <v>996713</v>
      </c>
      <c r="I3273" s="59">
        <v>0</v>
      </c>
      <c r="J3273" s="59">
        <v>0</v>
      </c>
      <c r="K3273" s="59">
        <v>684</v>
      </c>
      <c r="L3273" s="4">
        <v>0</v>
      </c>
      <c r="M3273" s="67" t="s">
        <v>19</v>
      </c>
      <c r="N3273" s="70">
        <f t="shared" si="79"/>
        <v>684</v>
      </c>
    </row>
    <row r="3274" spans="1:14">
      <c r="A3274" s="12">
        <v>3273</v>
      </c>
      <c r="B3274" s="40" t="s">
        <v>4659</v>
      </c>
      <c r="C3274" s="49" t="s">
        <v>4660</v>
      </c>
      <c r="D3274" s="49" t="s">
        <v>4740</v>
      </c>
      <c r="E3274" s="49" t="s">
        <v>4732</v>
      </c>
      <c r="F3274" s="59">
        <v>4484</v>
      </c>
      <c r="G3274" s="62" t="s">
        <v>18</v>
      </c>
      <c r="H3274" s="66">
        <v>996713</v>
      </c>
      <c r="I3274" s="59">
        <v>0</v>
      </c>
      <c r="J3274" s="59">
        <v>0</v>
      </c>
      <c r="K3274" s="59">
        <v>684</v>
      </c>
      <c r="L3274" s="4">
        <v>0</v>
      </c>
      <c r="M3274" s="67" t="s">
        <v>19</v>
      </c>
      <c r="N3274" s="70">
        <f t="shared" si="79"/>
        <v>684</v>
      </c>
    </row>
    <row r="3275" spans="1:14">
      <c r="A3275" s="12">
        <v>3274</v>
      </c>
      <c r="B3275" s="40" t="s">
        <v>3967</v>
      </c>
      <c r="C3275" s="49" t="s">
        <v>3968</v>
      </c>
      <c r="D3275" s="49" t="s">
        <v>4741</v>
      </c>
      <c r="E3275" s="49" t="s">
        <v>250</v>
      </c>
      <c r="F3275" s="59">
        <v>30208</v>
      </c>
      <c r="G3275" s="62" t="s">
        <v>18</v>
      </c>
      <c r="H3275" s="66">
        <v>998346</v>
      </c>
      <c r="I3275" s="59">
        <v>0</v>
      </c>
      <c r="J3275" s="59">
        <v>0</v>
      </c>
      <c r="K3275" s="59">
        <v>4608</v>
      </c>
      <c r="L3275" s="4">
        <v>0</v>
      </c>
      <c r="M3275" s="67" t="s">
        <v>19</v>
      </c>
      <c r="N3275" s="70">
        <f t="shared" si="79"/>
        <v>4608</v>
      </c>
    </row>
    <row r="3276" spans="1:14">
      <c r="A3276" s="12">
        <v>3275</v>
      </c>
      <c r="B3276" s="40" t="s">
        <v>3967</v>
      </c>
      <c r="C3276" s="49" t="s">
        <v>3968</v>
      </c>
      <c r="D3276" s="49" t="s">
        <v>4742</v>
      </c>
      <c r="E3276" s="49" t="s">
        <v>241</v>
      </c>
      <c r="F3276" s="59">
        <v>25488</v>
      </c>
      <c r="G3276" s="62" t="s">
        <v>18</v>
      </c>
      <c r="H3276" s="66">
        <v>998346</v>
      </c>
      <c r="I3276" s="59">
        <v>0</v>
      </c>
      <c r="J3276" s="59">
        <v>0</v>
      </c>
      <c r="K3276" s="59">
        <v>3888</v>
      </c>
      <c r="L3276" s="4">
        <v>0</v>
      </c>
      <c r="M3276" s="67" t="s">
        <v>19</v>
      </c>
      <c r="N3276" s="70">
        <f t="shared" si="79"/>
        <v>3888</v>
      </c>
    </row>
    <row r="3277" spans="1:14">
      <c r="A3277" s="12">
        <v>3276</v>
      </c>
      <c r="B3277" s="40" t="s">
        <v>4605</v>
      </c>
      <c r="C3277" s="49" t="s">
        <v>4606</v>
      </c>
      <c r="D3277" s="49" t="s">
        <v>4743</v>
      </c>
      <c r="E3277" s="49" t="s">
        <v>206</v>
      </c>
      <c r="F3277" s="59">
        <v>29497.64</v>
      </c>
      <c r="G3277" s="62" t="s">
        <v>18</v>
      </c>
      <c r="H3277" s="66">
        <v>997139</v>
      </c>
      <c r="I3277" s="59">
        <v>2249.8200000000002</v>
      </c>
      <c r="J3277" s="59">
        <v>2249.8200000000002</v>
      </c>
      <c r="K3277" s="59">
        <v>0</v>
      </c>
      <c r="L3277" s="4">
        <v>0</v>
      </c>
      <c r="M3277" s="67" t="s">
        <v>19</v>
      </c>
      <c r="N3277" s="70">
        <f t="shared" si="79"/>
        <v>4499.6400000000003</v>
      </c>
    </row>
    <row r="3278" spans="1:14">
      <c r="A3278" s="12">
        <v>3277</v>
      </c>
      <c r="B3278" s="40" t="s">
        <v>4605</v>
      </c>
      <c r="C3278" s="49" t="s">
        <v>4606</v>
      </c>
      <c r="D3278" s="49" t="s">
        <v>4744</v>
      </c>
      <c r="E3278" s="49" t="s">
        <v>4745</v>
      </c>
      <c r="F3278" s="59">
        <v>24999.48</v>
      </c>
      <c r="G3278" s="62" t="s">
        <v>18</v>
      </c>
      <c r="H3278" s="66">
        <v>997139</v>
      </c>
      <c r="I3278" s="59">
        <v>1906.74</v>
      </c>
      <c r="J3278" s="59">
        <v>1906.74</v>
      </c>
      <c r="K3278" s="59">
        <v>0</v>
      </c>
      <c r="L3278" s="4">
        <v>0</v>
      </c>
      <c r="M3278" s="67" t="s">
        <v>19</v>
      </c>
      <c r="N3278" s="70">
        <f t="shared" si="79"/>
        <v>3813.48</v>
      </c>
    </row>
    <row r="3279" spans="1:14">
      <c r="A3279" s="12">
        <v>3278</v>
      </c>
      <c r="B3279" s="40" t="s">
        <v>4384</v>
      </c>
      <c r="C3279" s="49" t="s">
        <v>4385</v>
      </c>
      <c r="D3279" s="49" t="s">
        <v>4746</v>
      </c>
      <c r="E3279" s="49" t="s">
        <v>4747</v>
      </c>
      <c r="F3279" s="59">
        <v>42480</v>
      </c>
      <c r="G3279" s="62" t="s">
        <v>18</v>
      </c>
      <c r="H3279" s="66">
        <v>999799</v>
      </c>
      <c r="I3279" s="59">
        <v>3240</v>
      </c>
      <c r="J3279" s="59">
        <v>3240</v>
      </c>
      <c r="K3279" s="59">
        <v>0</v>
      </c>
      <c r="L3279" s="4">
        <v>0</v>
      </c>
      <c r="M3279" s="67" t="s">
        <v>19</v>
      </c>
      <c r="N3279" s="70">
        <f t="shared" si="79"/>
        <v>6480</v>
      </c>
    </row>
    <row r="3280" spans="1:14">
      <c r="A3280" s="12">
        <v>3279</v>
      </c>
      <c r="B3280" s="40" t="s">
        <v>4598</v>
      </c>
      <c r="C3280" s="49" t="s">
        <v>4599</v>
      </c>
      <c r="D3280" s="49" t="s">
        <v>4632</v>
      </c>
      <c r="E3280" s="49" t="s">
        <v>534</v>
      </c>
      <c r="F3280" s="60">
        <v>-486000</v>
      </c>
      <c r="G3280" s="62" t="s">
        <v>24</v>
      </c>
      <c r="H3280" s="66">
        <v>1006</v>
      </c>
      <c r="I3280" s="69">
        <v>0</v>
      </c>
      <c r="J3280" s="69">
        <v>0</v>
      </c>
      <c r="K3280" s="69">
        <v>0</v>
      </c>
      <c r="L3280" s="4">
        <v>0</v>
      </c>
      <c r="M3280" s="67" t="s">
        <v>108</v>
      </c>
      <c r="N3280" s="70">
        <f t="shared" si="79"/>
        <v>0</v>
      </c>
    </row>
    <row r="3281" spans="1:14">
      <c r="A3281" s="12">
        <v>3280</v>
      </c>
      <c r="B3281" s="40" t="s">
        <v>4681</v>
      </c>
      <c r="C3281" s="49" t="s">
        <v>4682</v>
      </c>
      <c r="D3281" s="49" t="s">
        <v>4748</v>
      </c>
      <c r="E3281" s="49" t="s">
        <v>4749</v>
      </c>
      <c r="F3281" s="59">
        <v>141158</v>
      </c>
      <c r="G3281" s="62" t="s">
        <v>182</v>
      </c>
      <c r="H3281" s="66">
        <v>39269080</v>
      </c>
      <c r="I3281" s="59">
        <v>0</v>
      </c>
      <c r="J3281" s="59">
        <v>0</v>
      </c>
      <c r="K3281" s="59">
        <v>21532.5</v>
      </c>
      <c r="L3281" s="4">
        <v>0</v>
      </c>
      <c r="M3281" s="67" t="s">
        <v>108</v>
      </c>
      <c r="N3281" s="70">
        <f t="shared" si="79"/>
        <v>21532.5</v>
      </c>
    </row>
    <row r="3282" spans="1:14">
      <c r="A3282" s="12">
        <v>3281</v>
      </c>
      <c r="B3282" s="40" t="s">
        <v>3967</v>
      </c>
      <c r="C3282" s="49" t="s">
        <v>3968</v>
      </c>
      <c r="D3282" s="49" t="s">
        <v>4750</v>
      </c>
      <c r="E3282" s="49" t="s">
        <v>634</v>
      </c>
      <c r="F3282" s="59">
        <v>45371</v>
      </c>
      <c r="G3282" s="62" t="s">
        <v>18</v>
      </c>
      <c r="H3282" s="66">
        <v>998346</v>
      </c>
      <c r="I3282" s="59">
        <v>0</v>
      </c>
      <c r="J3282" s="59">
        <v>0</v>
      </c>
      <c r="K3282" s="59">
        <v>6921</v>
      </c>
      <c r="L3282" s="4">
        <v>0</v>
      </c>
      <c r="M3282" s="67" t="s">
        <v>19</v>
      </c>
      <c r="N3282" s="70">
        <f t="shared" si="79"/>
        <v>6921</v>
      </c>
    </row>
    <row r="3283" spans="1:14">
      <c r="A3283" s="12">
        <v>3282</v>
      </c>
      <c r="B3283" s="40" t="s">
        <v>1086</v>
      </c>
      <c r="C3283" s="49" t="s">
        <v>1087</v>
      </c>
      <c r="D3283" s="49" t="s">
        <v>4751</v>
      </c>
      <c r="E3283" s="49" t="s">
        <v>276</v>
      </c>
      <c r="F3283" s="59">
        <v>55814</v>
      </c>
      <c r="G3283" s="64" t="s">
        <v>18</v>
      </c>
      <c r="H3283" s="66">
        <v>996812</v>
      </c>
      <c r="I3283" s="59">
        <v>0</v>
      </c>
      <c r="J3283" s="59">
        <v>0</v>
      </c>
      <c r="K3283" s="59">
        <v>8514</v>
      </c>
      <c r="L3283" s="4">
        <v>0</v>
      </c>
      <c r="M3283" s="67" t="s">
        <v>19</v>
      </c>
      <c r="N3283" s="70">
        <f t="shared" si="79"/>
        <v>8514</v>
      </c>
    </row>
    <row r="3284" spans="1:14">
      <c r="A3284" s="12">
        <v>3283</v>
      </c>
      <c r="B3284" s="40" t="s">
        <v>1086</v>
      </c>
      <c r="C3284" s="49" t="s">
        <v>1087</v>
      </c>
      <c r="D3284" s="49" t="s">
        <v>4752</v>
      </c>
      <c r="E3284" s="49" t="s">
        <v>276</v>
      </c>
      <c r="F3284" s="59">
        <v>47200</v>
      </c>
      <c r="G3284" s="64" t="s">
        <v>18</v>
      </c>
      <c r="H3284" s="66">
        <v>996812</v>
      </c>
      <c r="I3284" s="59">
        <v>0</v>
      </c>
      <c r="J3284" s="59">
        <v>0</v>
      </c>
      <c r="K3284" s="59">
        <v>7200</v>
      </c>
      <c r="L3284" s="4">
        <v>0</v>
      </c>
      <c r="M3284" s="67" t="s">
        <v>19</v>
      </c>
      <c r="N3284" s="70">
        <f t="shared" si="79"/>
        <v>7200</v>
      </c>
    </row>
    <row r="3285" spans="1:14">
      <c r="A3285" s="12">
        <v>3284</v>
      </c>
      <c r="B3285" s="40" t="s">
        <v>1086</v>
      </c>
      <c r="C3285" s="49" t="s">
        <v>1087</v>
      </c>
      <c r="D3285" s="49" t="s">
        <v>4753</v>
      </c>
      <c r="E3285" s="49" t="s">
        <v>4754</v>
      </c>
      <c r="F3285" s="59">
        <v>19352</v>
      </c>
      <c r="G3285" s="64" t="s">
        <v>18</v>
      </c>
      <c r="H3285" s="66">
        <v>996812</v>
      </c>
      <c r="I3285" s="59">
        <v>0</v>
      </c>
      <c r="J3285" s="59">
        <v>0</v>
      </c>
      <c r="K3285" s="59">
        <v>2952</v>
      </c>
      <c r="L3285" s="4">
        <v>0</v>
      </c>
      <c r="M3285" s="67" t="s">
        <v>19</v>
      </c>
      <c r="N3285" s="70">
        <f t="shared" si="79"/>
        <v>2952</v>
      </c>
    </row>
    <row r="3286" spans="1:14">
      <c r="A3286" s="12">
        <v>3285</v>
      </c>
      <c r="B3286" s="40" t="s">
        <v>3936</v>
      </c>
      <c r="C3286" s="49" t="s">
        <v>3937</v>
      </c>
      <c r="D3286" s="49" t="s">
        <v>4755</v>
      </c>
      <c r="E3286" s="49" t="s">
        <v>289</v>
      </c>
      <c r="F3286" s="59">
        <v>118</v>
      </c>
      <c r="G3286" s="62" t="s">
        <v>18</v>
      </c>
      <c r="H3286" s="66">
        <v>9971</v>
      </c>
      <c r="I3286" s="59">
        <v>9</v>
      </c>
      <c r="J3286" s="59">
        <v>9</v>
      </c>
      <c r="K3286" s="59">
        <v>0</v>
      </c>
      <c r="L3286" s="4">
        <v>0</v>
      </c>
      <c r="M3286" s="67" t="s">
        <v>19</v>
      </c>
      <c r="N3286" s="70">
        <f t="shared" si="79"/>
        <v>18</v>
      </c>
    </row>
    <row r="3287" spans="1:14">
      <c r="A3287" s="12">
        <v>3286</v>
      </c>
      <c r="B3287" s="40" t="s">
        <v>3936</v>
      </c>
      <c r="C3287" s="49" t="s">
        <v>3937</v>
      </c>
      <c r="D3287" s="49" t="s">
        <v>4756</v>
      </c>
      <c r="E3287" s="49" t="s">
        <v>4757</v>
      </c>
      <c r="F3287" s="59">
        <v>885</v>
      </c>
      <c r="G3287" s="62" t="s">
        <v>18</v>
      </c>
      <c r="H3287" s="66">
        <v>9971</v>
      </c>
      <c r="I3287" s="59">
        <v>67.5</v>
      </c>
      <c r="J3287" s="59">
        <v>67.5</v>
      </c>
      <c r="K3287" s="59">
        <v>0</v>
      </c>
      <c r="L3287" s="4">
        <v>0</v>
      </c>
      <c r="M3287" s="67" t="s">
        <v>19</v>
      </c>
      <c r="N3287" s="70">
        <f t="shared" si="79"/>
        <v>135</v>
      </c>
    </row>
    <row r="3288" spans="1:14">
      <c r="A3288" s="12">
        <v>3287</v>
      </c>
      <c r="B3288" s="40" t="s">
        <v>3936</v>
      </c>
      <c r="C3288" s="49" t="s">
        <v>3937</v>
      </c>
      <c r="D3288" s="49" t="s">
        <v>4758</v>
      </c>
      <c r="E3288" s="49" t="s">
        <v>4757</v>
      </c>
      <c r="F3288" s="59">
        <v>1475</v>
      </c>
      <c r="G3288" s="62" t="s">
        <v>18</v>
      </c>
      <c r="H3288" s="66">
        <v>9971</v>
      </c>
      <c r="I3288" s="59">
        <v>112.5</v>
      </c>
      <c r="J3288" s="59">
        <v>112.5</v>
      </c>
      <c r="K3288" s="59">
        <v>0</v>
      </c>
      <c r="L3288" s="4">
        <v>0</v>
      </c>
      <c r="M3288" s="67" t="s">
        <v>19</v>
      </c>
      <c r="N3288" s="70">
        <f t="shared" si="79"/>
        <v>225</v>
      </c>
    </row>
    <row r="3289" spans="1:14">
      <c r="A3289" s="12">
        <v>3288</v>
      </c>
      <c r="B3289" s="40" t="s">
        <v>3936</v>
      </c>
      <c r="C3289" s="49" t="s">
        <v>3937</v>
      </c>
      <c r="D3289" s="49" t="s">
        <v>4759</v>
      </c>
      <c r="E3289" s="49" t="s">
        <v>276</v>
      </c>
      <c r="F3289" s="59">
        <v>29.5</v>
      </c>
      <c r="G3289" s="62" t="s">
        <v>18</v>
      </c>
      <c r="H3289" s="66">
        <v>9971</v>
      </c>
      <c r="I3289" s="59">
        <v>2.25</v>
      </c>
      <c r="J3289" s="59">
        <v>2.25</v>
      </c>
      <c r="K3289" s="59">
        <v>0</v>
      </c>
      <c r="L3289" s="4">
        <v>0</v>
      </c>
      <c r="M3289" s="67" t="s">
        <v>19</v>
      </c>
      <c r="N3289" s="70">
        <f t="shared" si="79"/>
        <v>4.5</v>
      </c>
    </row>
    <row r="3290" spans="1:14">
      <c r="A3290" s="12">
        <v>3289</v>
      </c>
      <c r="B3290" s="40" t="s">
        <v>3936</v>
      </c>
      <c r="C3290" s="49" t="s">
        <v>3937</v>
      </c>
      <c r="D3290" s="49" t="s">
        <v>4760</v>
      </c>
      <c r="E3290" s="49" t="s">
        <v>4761</v>
      </c>
      <c r="F3290" s="59">
        <v>15379.33</v>
      </c>
      <c r="G3290" s="62" t="s">
        <v>18</v>
      </c>
      <c r="H3290" s="66">
        <v>9971</v>
      </c>
      <c r="I3290" s="59">
        <v>1173</v>
      </c>
      <c r="J3290" s="59">
        <v>1173</v>
      </c>
      <c r="K3290" s="59">
        <v>0</v>
      </c>
      <c r="L3290" s="4">
        <v>0</v>
      </c>
      <c r="M3290" s="67" t="s">
        <v>19</v>
      </c>
      <c r="N3290" s="70">
        <f t="shared" si="79"/>
        <v>2346</v>
      </c>
    </row>
    <row r="3291" spans="1:14">
      <c r="A3291" s="12">
        <v>3290</v>
      </c>
      <c r="B3291" s="40" t="s">
        <v>3936</v>
      </c>
      <c r="C3291" s="49" t="s">
        <v>3937</v>
      </c>
      <c r="D3291" s="49" t="s">
        <v>4762</v>
      </c>
      <c r="E3291" s="49" t="s">
        <v>263</v>
      </c>
      <c r="F3291" s="59">
        <v>17496.78</v>
      </c>
      <c r="G3291" s="62" t="s">
        <v>18</v>
      </c>
      <c r="H3291" s="66">
        <v>9971</v>
      </c>
      <c r="I3291" s="59">
        <v>1334.5</v>
      </c>
      <c r="J3291" s="59">
        <v>1334.5</v>
      </c>
      <c r="K3291" s="59">
        <v>0</v>
      </c>
      <c r="L3291" s="4">
        <v>0</v>
      </c>
      <c r="M3291" s="67" t="s">
        <v>19</v>
      </c>
      <c r="N3291" s="70">
        <f t="shared" si="79"/>
        <v>2669</v>
      </c>
    </row>
    <row r="3292" spans="1:14">
      <c r="A3292" s="12">
        <v>3291</v>
      </c>
      <c r="B3292" s="40" t="s">
        <v>3936</v>
      </c>
      <c r="C3292" s="49" t="s">
        <v>3937</v>
      </c>
      <c r="D3292" s="49" t="s">
        <v>4763</v>
      </c>
      <c r="E3292" s="49" t="s">
        <v>581</v>
      </c>
      <c r="F3292" s="59">
        <v>5.9</v>
      </c>
      <c r="G3292" s="62" t="s">
        <v>18</v>
      </c>
      <c r="H3292" s="66">
        <v>9971</v>
      </c>
      <c r="I3292" s="59">
        <v>0.45</v>
      </c>
      <c r="J3292" s="59">
        <v>0.45</v>
      </c>
      <c r="K3292" s="59">
        <v>0</v>
      </c>
      <c r="L3292" s="4">
        <v>0</v>
      </c>
      <c r="M3292" s="67" t="s">
        <v>19</v>
      </c>
      <c r="N3292" s="70">
        <f t="shared" si="79"/>
        <v>0.9</v>
      </c>
    </row>
    <row r="3293" spans="1:14">
      <c r="A3293" s="12">
        <v>3292</v>
      </c>
      <c r="B3293" s="40" t="s">
        <v>3936</v>
      </c>
      <c r="C3293" s="49" t="s">
        <v>3937</v>
      </c>
      <c r="D3293" s="49" t="s">
        <v>4764</v>
      </c>
      <c r="E3293" s="49" t="s">
        <v>285</v>
      </c>
      <c r="F3293" s="59">
        <v>885</v>
      </c>
      <c r="G3293" s="62" t="s">
        <v>18</v>
      </c>
      <c r="H3293" s="66">
        <v>9971</v>
      </c>
      <c r="I3293" s="59">
        <v>67.5</v>
      </c>
      <c r="J3293" s="59">
        <v>67.5</v>
      </c>
      <c r="K3293" s="59">
        <v>0</v>
      </c>
      <c r="L3293" s="4">
        <v>0</v>
      </c>
      <c r="M3293" s="67" t="s">
        <v>19</v>
      </c>
      <c r="N3293" s="70">
        <f t="shared" si="79"/>
        <v>135</v>
      </c>
    </row>
    <row r="3294" spans="1:14">
      <c r="A3294" s="12">
        <v>3293</v>
      </c>
      <c r="B3294" s="40" t="s">
        <v>3936</v>
      </c>
      <c r="C3294" s="49" t="s">
        <v>3937</v>
      </c>
      <c r="D3294" s="49" t="s">
        <v>4765</v>
      </c>
      <c r="E3294" s="49" t="s">
        <v>585</v>
      </c>
      <c r="F3294" s="59">
        <v>5.9</v>
      </c>
      <c r="G3294" s="62" t="s">
        <v>18</v>
      </c>
      <c r="H3294" s="66">
        <v>9971</v>
      </c>
      <c r="I3294" s="59">
        <v>0.45</v>
      </c>
      <c r="J3294" s="59">
        <v>0.45</v>
      </c>
      <c r="K3294" s="59">
        <v>0</v>
      </c>
      <c r="L3294" s="4">
        <v>0</v>
      </c>
      <c r="M3294" s="67" t="s">
        <v>19</v>
      </c>
      <c r="N3294" s="70">
        <f t="shared" si="79"/>
        <v>0.9</v>
      </c>
    </row>
    <row r="3295" spans="1:14">
      <c r="A3295" s="12">
        <v>3294</v>
      </c>
      <c r="B3295" s="40" t="s">
        <v>3936</v>
      </c>
      <c r="C3295" s="49" t="s">
        <v>3937</v>
      </c>
      <c r="D3295" s="49" t="s">
        <v>4766</v>
      </c>
      <c r="E3295" s="49" t="s">
        <v>574</v>
      </c>
      <c r="F3295" s="59">
        <v>354</v>
      </c>
      <c r="G3295" s="62" t="s">
        <v>18</v>
      </c>
      <c r="H3295" s="66">
        <v>9971</v>
      </c>
      <c r="I3295" s="59">
        <v>27</v>
      </c>
      <c r="J3295" s="59">
        <v>27</v>
      </c>
      <c r="K3295" s="59">
        <v>0</v>
      </c>
      <c r="L3295" s="4">
        <v>0</v>
      </c>
      <c r="M3295" s="67" t="s">
        <v>19</v>
      </c>
      <c r="N3295" s="70">
        <f t="shared" si="79"/>
        <v>54</v>
      </c>
    </row>
    <row r="3296" spans="1:14">
      <c r="A3296" s="12">
        <v>3295</v>
      </c>
      <c r="B3296" s="40" t="s">
        <v>3936</v>
      </c>
      <c r="C3296" s="49" t="s">
        <v>3937</v>
      </c>
      <c r="D3296" s="49" t="s">
        <v>4767</v>
      </c>
      <c r="E3296" s="49" t="s">
        <v>4768</v>
      </c>
      <c r="F3296" s="59">
        <v>10226.67</v>
      </c>
      <c r="G3296" s="62" t="s">
        <v>18</v>
      </c>
      <c r="H3296" s="66">
        <v>9971</v>
      </c>
      <c r="I3296" s="59">
        <v>780</v>
      </c>
      <c r="J3296" s="59">
        <v>780</v>
      </c>
      <c r="K3296" s="59">
        <v>0</v>
      </c>
      <c r="L3296" s="4">
        <v>0</v>
      </c>
      <c r="M3296" s="67" t="s">
        <v>19</v>
      </c>
      <c r="N3296" s="70">
        <f t="shared" si="79"/>
        <v>1560</v>
      </c>
    </row>
    <row r="3297" spans="1:14">
      <c r="A3297" s="12">
        <v>3296</v>
      </c>
      <c r="B3297" s="40" t="s">
        <v>3936</v>
      </c>
      <c r="C3297" s="49" t="s">
        <v>3937</v>
      </c>
      <c r="D3297" s="49" t="s">
        <v>4769</v>
      </c>
      <c r="E3297" s="49" t="s">
        <v>4768</v>
      </c>
      <c r="F3297" s="59">
        <v>5754.68</v>
      </c>
      <c r="G3297" s="62" t="s">
        <v>18</v>
      </c>
      <c r="H3297" s="66">
        <v>9971</v>
      </c>
      <c r="I3297" s="59">
        <v>438.92</v>
      </c>
      <c r="J3297" s="59">
        <v>438.92</v>
      </c>
      <c r="K3297" s="59">
        <v>0</v>
      </c>
      <c r="L3297" s="4">
        <v>0</v>
      </c>
      <c r="M3297" s="67" t="s">
        <v>19</v>
      </c>
      <c r="N3297" s="70">
        <f t="shared" si="79"/>
        <v>877.84</v>
      </c>
    </row>
    <row r="3298" spans="1:14">
      <c r="A3298" s="12">
        <v>3297</v>
      </c>
      <c r="B3298" s="40" t="s">
        <v>3936</v>
      </c>
      <c r="C3298" s="49" t="s">
        <v>3937</v>
      </c>
      <c r="D3298" s="49" t="s">
        <v>4770</v>
      </c>
      <c r="E3298" s="49" t="s">
        <v>4768</v>
      </c>
      <c r="F3298" s="59">
        <v>3515.45</v>
      </c>
      <c r="G3298" s="62" t="s">
        <v>18</v>
      </c>
      <c r="H3298" s="66">
        <v>9971</v>
      </c>
      <c r="I3298" s="59">
        <v>268.13</v>
      </c>
      <c r="J3298" s="59">
        <v>268.13</v>
      </c>
      <c r="K3298" s="59">
        <v>0</v>
      </c>
      <c r="L3298" s="4">
        <v>0</v>
      </c>
      <c r="M3298" s="67" t="s">
        <v>19</v>
      </c>
      <c r="N3298" s="70">
        <f t="shared" si="79"/>
        <v>536.26</v>
      </c>
    </row>
    <row r="3299" spans="1:14">
      <c r="A3299" s="12">
        <v>3298</v>
      </c>
      <c r="B3299" s="40" t="s">
        <v>3936</v>
      </c>
      <c r="C3299" s="49" t="s">
        <v>3937</v>
      </c>
      <c r="D3299" s="49" t="s">
        <v>4771</v>
      </c>
      <c r="E3299" s="49" t="s">
        <v>4768</v>
      </c>
      <c r="F3299" s="59">
        <v>1180</v>
      </c>
      <c r="G3299" s="62" t="s">
        <v>18</v>
      </c>
      <c r="H3299" s="66">
        <v>9971</v>
      </c>
      <c r="I3299" s="59">
        <v>90</v>
      </c>
      <c r="J3299" s="59">
        <v>90</v>
      </c>
      <c r="K3299" s="59">
        <v>0</v>
      </c>
      <c r="L3299" s="4">
        <v>0</v>
      </c>
      <c r="M3299" s="67" t="s">
        <v>19</v>
      </c>
      <c r="N3299" s="70">
        <f t="shared" si="79"/>
        <v>180</v>
      </c>
    </row>
    <row r="3300" spans="1:14">
      <c r="A3300" s="12">
        <v>3299</v>
      </c>
      <c r="B3300" s="40" t="s">
        <v>3936</v>
      </c>
      <c r="C3300" s="49" t="s">
        <v>3937</v>
      </c>
      <c r="D3300" s="49" t="s">
        <v>4772</v>
      </c>
      <c r="E3300" s="49" t="s">
        <v>4768</v>
      </c>
      <c r="F3300" s="59">
        <v>590</v>
      </c>
      <c r="G3300" s="62" t="s">
        <v>18</v>
      </c>
      <c r="H3300" s="66">
        <v>9971</v>
      </c>
      <c r="I3300" s="59">
        <v>45</v>
      </c>
      <c r="J3300" s="59">
        <v>45</v>
      </c>
      <c r="K3300" s="59">
        <v>0</v>
      </c>
      <c r="L3300" s="4">
        <v>0</v>
      </c>
      <c r="M3300" s="67" t="s">
        <v>19</v>
      </c>
      <c r="N3300" s="70">
        <f t="shared" si="79"/>
        <v>90</v>
      </c>
    </row>
    <row r="3301" spans="1:14">
      <c r="A3301" s="12">
        <v>3300</v>
      </c>
      <c r="B3301" s="40" t="s">
        <v>3936</v>
      </c>
      <c r="C3301" s="49" t="s">
        <v>3937</v>
      </c>
      <c r="D3301" s="49" t="s">
        <v>4773</v>
      </c>
      <c r="E3301" s="49" t="s">
        <v>4768</v>
      </c>
      <c r="F3301" s="59">
        <v>11.8</v>
      </c>
      <c r="G3301" s="62" t="s">
        <v>18</v>
      </c>
      <c r="H3301" s="66">
        <v>9971</v>
      </c>
      <c r="I3301" s="59">
        <v>0.9</v>
      </c>
      <c r="J3301" s="59">
        <v>0.9</v>
      </c>
      <c r="K3301" s="59">
        <v>0</v>
      </c>
      <c r="L3301" s="4">
        <v>0</v>
      </c>
      <c r="M3301" s="67" t="s">
        <v>19</v>
      </c>
      <c r="N3301" s="70">
        <f t="shared" si="79"/>
        <v>1.8</v>
      </c>
    </row>
    <row r="3302" spans="1:14">
      <c r="A3302" s="12">
        <v>3301</v>
      </c>
      <c r="B3302" s="40" t="s">
        <v>3936</v>
      </c>
      <c r="C3302" s="49" t="s">
        <v>3937</v>
      </c>
      <c r="D3302" s="49" t="s">
        <v>4774</v>
      </c>
      <c r="E3302" s="49" t="s">
        <v>301</v>
      </c>
      <c r="F3302" s="59">
        <v>11.8</v>
      </c>
      <c r="G3302" s="62" t="s">
        <v>18</v>
      </c>
      <c r="H3302" s="66">
        <v>9971</v>
      </c>
      <c r="I3302" s="59">
        <v>0.9</v>
      </c>
      <c r="J3302" s="59">
        <v>0.9</v>
      </c>
      <c r="K3302" s="59">
        <v>0</v>
      </c>
      <c r="L3302" s="4">
        <v>0</v>
      </c>
      <c r="M3302" s="67" t="s">
        <v>19</v>
      </c>
      <c r="N3302" s="70">
        <f t="shared" ref="N3302:N3335" si="80">SUM(I3302:L3302)</f>
        <v>1.8</v>
      </c>
    </row>
    <row r="3303" spans="1:14">
      <c r="A3303" s="12">
        <v>3302</v>
      </c>
      <c r="B3303" s="40" t="s">
        <v>3936</v>
      </c>
      <c r="C3303" s="49" t="s">
        <v>3937</v>
      </c>
      <c r="D3303" s="49" t="s">
        <v>4775</v>
      </c>
      <c r="E3303" s="49" t="s">
        <v>282</v>
      </c>
      <c r="F3303" s="59">
        <v>885</v>
      </c>
      <c r="G3303" s="62" t="s">
        <v>18</v>
      </c>
      <c r="H3303" s="66">
        <v>9971</v>
      </c>
      <c r="I3303" s="59">
        <v>67.5</v>
      </c>
      <c r="J3303" s="59">
        <v>67.5</v>
      </c>
      <c r="K3303" s="59">
        <v>0</v>
      </c>
      <c r="L3303" s="4">
        <v>0</v>
      </c>
      <c r="M3303" s="67" t="s">
        <v>19</v>
      </c>
      <c r="N3303" s="70">
        <f t="shared" si="80"/>
        <v>135</v>
      </c>
    </row>
    <row r="3304" spans="1:14">
      <c r="A3304" s="12">
        <v>3303</v>
      </c>
      <c r="B3304" s="40" t="s">
        <v>3936</v>
      </c>
      <c r="C3304" s="49" t="s">
        <v>3937</v>
      </c>
      <c r="D3304" s="49" t="s">
        <v>4776</v>
      </c>
      <c r="E3304" s="49" t="s">
        <v>282</v>
      </c>
      <c r="F3304" s="59">
        <v>885</v>
      </c>
      <c r="G3304" s="62" t="s">
        <v>18</v>
      </c>
      <c r="H3304" s="66">
        <v>9971</v>
      </c>
      <c r="I3304" s="59">
        <v>67.5</v>
      </c>
      <c r="J3304" s="59">
        <v>67.5</v>
      </c>
      <c r="K3304" s="59">
        <v>0</v>
      </c>
      <c r="L3304" s="4">
        <v>0</v>
      </c>
      <c r="M3304" s="67" t="s">
        <v>19</v>
      </c>
      <c r="N3304" s="70">
        <f t="shared" si="80"/>
        <v>135</v>
      </c>
    </row>
    <row r="3305" spans="1:14">
      <c r="A3305" s="12">
        <v>3304</v>
      </c>
      <c r="B3305" s="40" t="s">
        <v>3936</v>
      </c>
      <c r="C3305" s="49" t="s">
        <v>3937</v>
      </c>
      <c r="D3305" s="49" t="s">
        <v>4777</v>
      </c>
      <c r="E3305" s="49" t="s">
        <v>282</v>
      </c>
      <c r="F3305" s="59">
        <v>6431</v>
      </c>
      <c r="G3305" s="62" t="s">
        <v>18</v>
      </c>
      <c r="H3305" s="66">
        <v>9971</v>
      </c>
      <c r="I3305" s="59">
        <v>490.5</v>
      </c>
      <c r="J3305" s="59">
        <v>490.5</v>
      </c>
      <c r="K3305" s="59">
        <v>0</v>
      </c>
      <c r="L3305" s="4">
        <v>0</v>
      </c>
      <c r="M3305" s="67" t="s">
        <v>19</v>
      </c>
      <c r="N3305" s="70">
        <f t="shared" si="80"/>
        <v>981</v>
      </c>
    </row>
    <row r="3306" spans="1:14">
      <c r="A3306" s="12">
        <v>3305</v>
      </c>
      <c r="B3306" s="40" t="s">
        <v>3936</v>
      </c>
      <c r="C3306" s="49" t="s">
        <v>3937</v>
      </c>
      <c r="D3306" s="49" t="s">
        <v>4778</v>
      </c>
      <c r="E3306" s="49" t="s">
        <v>303</v>
      </c>
      <c r="F3306" s="59">
        <v>1180</v>
      </c>
      <c r="G3306" s="62" t="s">
        <v>18</v>
      </c>
      <c r="H3306" s="66">
        <v>9971</v>
      </c>
      <c r="I3306" s="59">
        <v>90</v>
      </c>
      <c r="J3306" s="59">
        <v>90</v>
      </c>
      <c r="K3306" s="59">
        <v>0</v>
      </c>
      <c r="L3306" s="4">
        <v>0</v>
      </c>
      <c r="M3306" s="67" t="s">
        <v>19</v>
      </c>
      <c r="N3306" s="70">
        <f t="shared" si="80"/>
        <v>180</v>
      </c>
    </row>
    <row r="3307" spans="1:14">
      <c r="A3307" s="12">
        <v>3306</v>
      </c>
      <c r="B3307" s="40" t="s">
        <v>3936</v>
      </c>
      <c r="C3307" s="49" t="s">
        <v>3937</v>
      </c>
      <c r="D3307" s="49" t="s">
        <v>4779</v>
      </c>
      <c r="E3307" s="49" t="s">
        <v>303</v>
      </c>
      <c r="F3307" s="59">
        <v>1062</v>
      </c>
      <c r="G3307" s="62" t="s">
        <v>18</v>
      </c>
      <c r="H3307" s="66">
        <v>9971</v>
      </c>
      <c r="I3307" s="59">
        <v>81</v>
      </c>
      <c r="J3307" s="59">
        <v>81</v>
      </c>
      <c r="K3307" s="59">
        <v>0</v>
      </c>
      <c r="L3307" s="4">
        <v>0</v>
      </c>
      <c r="M3307" s="67" t="s">
        <v>19</v>
      </c>
      <c r="N3307" s="70">
        <f t="shared" si="80"/>
        <v>162</v>
      </c>
    </row>
    <row r="3308" spans="1:14">
      <c r="A3308" s="12">
        <v>3307</v>
      </c>
      <c r="B3308" s="40" t="s">
        <v>4780</v>
      </c>
      <c r="C3308" s="49" t="s">
        <v>4781</v>
      </c>
      <c r="D3308" s="49" t="s">
        <v>4782</v>
      </c>
      <c r="E3308" s="49" t="s">
        <v>239</v>
      </c>
      <c r="F3308" s="59">
        <v>930930</v>
      </c>
      <c r="G3308" s="58" t="s">
        <v>24</v>
      </c>
      <c r="H3308" s="66">
        <v>1006</v>
      </c>
      <c r="I3308" s="59">
        <v>0</v>
      </c>
      <c r="J3308" s="59">
        <v>0</v>
      </c>
      <c r="K3308" s="59">
        <v>930</v>
      </c>
      <c r="L3308" s="4">
        <v>0</v>
      </c>
      <c r="M3308" s="67" t="s">
        <v>108</v>
      </c>
      <c r="N3308" s="70">
        <f t="shared" si="80"/>
        <v>930</v>
      </c>
    </row>
    <row r="3309" spans="1:14">
      <c r="A3309" s="12">
        <v>3308</v>
      </c>
      <c r="B3309" s="40" t="s">
        <v>4780</v>
      </c>
      <c r="C3309" s="49" t="s">
        <v>4781</v>
      </c>
      <c r="D3309" s="49" t="s">
        <v>4783</v>
      </c>
      <c r="E3309" s="49" t="s">
        <v>239</v>
      </c>
      <c r="F3309" s="59">
        <v>155155</v>
      </c>
      <c r="G3309" s="58" t="s">
        <v>24</v>
      </c>
      <c r="H3309" s="66">
        <v>1006</v>
      </c>
      <c r="I3309" s="59">
        <v>0</v>
      </c>
      <c r="J3309" s="59">
        <v>0</v>
      </c>
      <c r="K3309" s="59">
        <v>155</v>
      </c>
      <c r="L3309" s="4">
        <v>0</v>
      </c>
      <c r="M3309" s="67" t="s">
        <v>108</v>
      </c>
      <c r="N3309" s="70">
        <f t="shared" si="80"/>
        <v>155</v>
      </c>
    </row>
    <row r="3310" spans="1:14">
      <c r="A3310" s="12">
        <v>3309</v>
      </c>
      <c r="B3310" s="40" t="s">
        <v>4780</v>
      </c>
      <c r="C3310" s="49" t="s">
        <v>4781</v>
      </c>
      <c r="D3310" s="49" t="s">
        <v>4784</v>
      </c>
      <c r="E3310" s="49" t="s">
        <v>239</v>
      </c>
      <c r="F3310" s="59">
        <v>1086085</v>
      </c>
      <c r="G3310" s="58" t="s">
        <v>24</v>
      </c>
      <c r="H3310" s="66">
        <v>1006</v>
      </c>
      <c r="I3310" s="59">
        <v>0</v>
      </c>
      <c r="J3310" s="59">
        <v>0</v>
      </c>
      <c r="K3310" s="59">
        <v>1085</v>
      </c>
      <c r="L3310" s="4">
        <v>0</v>
      </c>
      <c r="M3310" s="67" t="s">
        <v>108</v>
      </c>
      <c r="N3310" s="70">
        <f t="shared" si="80"/>
        <v>1085</v>
      </c>
    </row>
    <row r="3311" spans="1:14">
      <c r="A3311" s="12">
        <v>3310</v>
      </c>
      <c r="B3311" s="40" t="s">
        <v>4780</v>
      </c>
      <c r="C3311" s="49" t="s">
        <v>4781</v>
      </c>
      <c r="D3311" s="49" t="s">
        <v>4785</v>
      </c>
      <c r="E3311" s="49" t="s">
        <v>239</v>
      </c>
      <c r="F3311" s="59">
        <v>930930</v>
      </c>
      <c r="G3311" s="58" t="s">
        <v>24</v>
      </c>
      <c r="H3311" s="66">
        <v>1006</v>
      </c>
      <c r="I3311" s="59">
        <v>0</v>
      </c>
      <c r="J3311" s="59">
        <v>0</v>
      </c>
      <c r="K3311" s="59">
        <v>930</v>
      </c>
      <c r="L3311" s="4">
        <v>0</v>
      </c>
      <c r="M3311" s="67" t="s">
        <v>108</v>
      </c>
      <c r="N3311" s="70">
        <f t="shared" si="80"/>
        <v>930</v>
      </c>
    </row>
    <row r="3312" spans="1:14">
      <c r="A3312" s="12">
        <v>3311</v>
      </c>
      <c r="B3312" s="40" t="s">
        <v>4780</v>
      </c>
      <c r="C3312" s="49" t="s">
        <v>4781</v>
      </c>
      <c r="D3312" s="49" t="s">
        <v>4786</v>
      </c>
      <c r="E3312" s="49" t="s">
        <v>239</v>
      </c>
      <c r="F3312" s="59">
        <v>930930</v>
      </c>
      <c r="G3312" s="58" t="s">
        <v>24</v>
      </c>
      <c r="H3312" s="66">
        <v>1006</v>
      </c>
      <c r="I3312" s="59">
        <v>0</v>
      </c>
      <c r="J3312" s="59">
        <v>0</v>
      </c>
      <c r="K3312" s="59">
        <v>930</v>
      </c>
      <c r="L3312" s="4">
        <v>0</v>
      </c>
      <c r="M3312" s="67" t="s">
        <v>108</v>
      </c>
      <c r="N3312" s="70">
        <f t="shared" si="80"/>
        <v>930</v>
      </c>
    </row>
    <row r="3313" spans="1:14">
      <c r="A3313" s="12">
        <v>3312</v>
      </c>
      <c r="B3313" s="40" t="s">
        <v>4780</v>
      </c>
      <c r="C3313" s="49" t="s">
        <v>4781</v>
      </c>
      <c r="D3313" s="49" t="s">
        <v>4787</v>
      </c>
      <c r="E3313" s="49" t="s">
        <v>4739</v>
      </c>
      <c r="F3313" s="59">
        <v>1086085</v>
      </c>
      <c r="G3313" s="58" t="s">
        <v>24</v>
      </c>
      <c r="H3313" s="66">
        <v>1006</v>
      </c>
      <c r="I3313" s="59">
        <v>0</v>
      </c>
      <c r="J3313" s="59">
        <v>0</v>
      </c>
      <c r="K3313" s="59">
        <v>1085</v>
      </c>
      <c r="L3313" s="4">
        <v>0</v>
      </c>
      <c r="M3313" s="67" t="s">
        <v>108</v>
      </c>
      <c r="N3313" s="70">
        <f t="shared" si="80"/>
        <v>1085</v>
      </c>
    </row>
    <row r="3314" spans="1:14">
      <c r="A3314" s="12">
        <v>3313</v>
      </c>
      <c r="B3314" s="40" t="s">
        <v>4780</v>
      </c>
      <c r="C3314" s="49" t="s">
        <v>4781</v>
      </c>
      <c r="D3314" s="49" t="s">
        <v>4788</v>
      </c>
      <c r="E3314" s="49" t="s">
        <v>4739</v>
      </c>
      <c r="F3314" s="59">
        <v>1086085</v>
      </c>
      <c r="G3314" s="58" t="s">
        <v>24</v>
      </c>
      <c r="H3314" s="66">
        <v>1006</v>
      </c>
      <c r="I3314" s="59">
        <v>0</v>
      </c>
      <c r="J3314" s="59">
        <v>0</v>
      </c>
      <c r="K3314" s="59">
        <v>1085</v>
      </c>
      <c r="L3314" s="4">
        <v>0</v>
      </c>
      <c r="M3314" s="67" t="s">
        <v>108</v>
      </c>
      <c r="N3314" s="70">
        <f t="shared" si="80"/>
        <v>1085</v>
      </c>
    </row>
    <row r="3315" spans="1:14">
      <c r="A3315" s="12">
        <v>3314</v>
      </c>
      <c r="B3315" s="40" t="s">
        <v>4780</v>
      </c>
      <c r="C3315" s="49" t="s">
        <v>4781</v>
      </c>
      <c r="D3315" s="49" t="s">
        <v>4789</v>
      </c>
      <c r="E3315" s="49" t="s">
        <v>560</v>
      </c>
      <c r="F3315" s="59">
        <v>1086085</v>
      </c>
      <c r="G3315" s="58" t="s">
        <v>24</v>
      </c>
      <c r="H3315" s="66">
        <v>1006</v>
      </c>
      <c r="I3315" s="59">
        <v>0</v>
      </c>
      <c r="J3315" s="59">
        <v>0</v>
      </c>
      <c r="K3315" s="59">
        <v>1085</v>
      </c>
      <c r="L3315" s="4">
        <v>0</v>
      </c>
      <c r="M3315" s="67" t="s">
        <v>108</v>
      </c>
      <c r="N3315" s="70">
        <f t="shared" si="80"/>
        <v>1085</v>
      </c>
    </row>
    <row r="3316" spans="1:14">
      <c r="A3316" s="12">
        <v>3315</v>
      </c>
      <c r="B3316" s="40" t="s">
        <v>4780</v>
      </c>
      <c r="C3316" s="49" t="s">
        <v>4781</v>
      </c>
      <c r="D3316" s="49" t="s">
        <v>4790</v>
      </c>
      <c r="E3316" s="49" t="s">
        <v>560</v>
      </c>
      <c r="F3316" s="59">
        <v>930930</v>
      </c>
      <c r="G3316" s="58" t="s">
        <v>24</v>
      </c>
      <c r="H3316" s="66">
        <v>1006</v>
      </c>
      <c r="I3316" s="59">
        <v>0</v>
      </c>
      <c r="J3316" s="59">
        <v>0</v>
      </c>
      <c r="K3316" s="59">
        <v>930</v>
      </c>
      <c r="L3316" s="4">
        <v>0</v>
      </c>
      <c r="M3316" s="67" t="s">
        <v>108</v>
      </c>
      <c r="N3316" s="70">
        <f t="shared" si="80"/>
        <v>930</v>
      </c>
    </row>
    <row r="3317" spans="1:14">
      <c r="A3317" s="12">
        <v>3316</v>
      </c>
      <c r="B3317" s="40" t="s">
        <v>4780</v>
      </c>
      <c r="C3317" s="49" t="s">
        <v>4781</v>
      </c>
      <c r="D3317" s="49" t="s">
        <v>4791</v>
      </c>
      <c r="E3317" s="49" t="s">
        <v>560</v>
      </c>
      <c r="F3317" s="59">
        <v>930930</v>
      </c>
      <c r="G3317" s="58" t="s">
        <v>24</v>
      </c>
      <c r="H3317" s="66">
        <v>1006</v>
      </c>
      <c r="I3317" s="59">
        <v>0</v>
      </c>
      <c r="J3317" s="59">
        <v>0</v>
      </c>
      <c r="K3317" s="59">
        <v>930</v>
      </c>
      <c r="L3317" s="4">
        <v>0</v>
      </c>
      <c r="M3317" s="67" t="s">
        <v>108</v>
      </c>
      <c r="N3317" s="70">
        <f t="shared" si="80"/>
        <v>930</v>
      </c>
    </row>
    <row r="3318" spans="1:14">
      <c r="A3318" s="12">
        <v>3317</v>
      </c>
      <c r="B3318" s="40" t="s">
        <v>4780</v>
      </c>
      <c r="C3318" s="49" t="s">
        <v>4781</v>
      </c>
      <c r="D3318" s="49" t="s">
        <v>4792</v>
      </c>
      <c r="E3318" s="49" t="s">
        <v>560</v>
      </c>
      <c r="F3318" s="59">
        <v>1086085</v>
      </c>
      <c r="G3318" s="58" t="s">
        <v>24</v>
      </c>
      <c r="H3318" s="66">
        <v>1006</v>
      </c>
      <c r="I3318" s="59">
        <v>0</v>
      </c>
      <c r="J3318" s="59">
        <v>0</v>
      </c>
      <c r="K3318" s="59">
        <v>1085</v>
      </c>
      <c r="L3318" s="4">
        <v>0</v>
      </c>
      <c r="M3318" s="67" t="s">
        <v>108</v>
      </c>
      <c r="N3318" s="70">
        <f t="shared" si="80"/>
        <v>1085</v>
      </c>
    </row>
    <row r="3319" spans="1:14">
      <c r="A3319" s="12">
        <v>3318</v>
      </c>
      <c r="B3319" s="40" t="s">
        <v>4780</v>
      </c>
      <c r="C3319" s="49" t="s">
        <v>4781</v>
      </c>
      <c r="D3319" s="49" t="s">
        <v>4793</v>
      </c>
      <c r="E3319" s="49" t="s">
        <v>563</v>
      </c>
      <c r="F3319" s="59">
        <v>1086085</v>
      </c>
      <c r="G3319" s="58" t="s">
        <v>24</v>
      </c>
      <c r="H3319" s="66">
        <v>1006</v>
      </c>
      <c r="I3319" s="59">
        <v>0</v>
      </c>
      <c r="J3319" s="59">
        <v>0</v>
      </c>
      <c r="K3319" s="59">
        <v>1085</v>
      </c>
      <c r="L3319" s="4">
        <v>0</v>
      </c>
      <c r="M3319" s="67" t="s">
        <v>108</v>
      </c>
      <c r="N3319" s="70">
        <f t="shared" si="80"/>
        <v>1085</v>
      </c>
    </row>
    <row r="3320" spans="1:14">
      <c r="A3320" s="12">
        <v>3319</v>
      </c>
      <c r="B3320" s="40" t="s">
        <v>4780</v>
      </c>
      <c r="C3320" s="49" t="s">
        <v>4781</v>
      </c>
      <c r="D3320" s="49" t="s">
        <v>4794</v>
      </c>
      <c r="E3320" s="49" t="s">
        <v>4795</v>
      </c>
      <c r="F3320" s="59">
        <v>1086085</v>
      </c>
      <c r="G3320" s="58" t="s">
        <v>24</v>
      </c>
      <c r="H3320" s="66">
        <v>1006</v>
      </c>
      <c r="I3320" s="59">
        <v>0</v>
      </c>
      <c r="J3320" s="59">
        <v>0</v>
      </c>
      <c r="K3320" s="59">
        <v>1085</v>
      </c>
      <c r="L3320" s="4">
        <v>0</v>
      </c>
      <c r="M3320" s="67" t="s">
        <v>108</v>
      </c>
      <c r="N3320" s="70">
        <f t="shared" si="80"/>
        <v>1085</v>
      </c>
    </row>
    <row r="3321" spans="1:14">
      <c r="A3321" s="12">
        <v>3320</v>
      </c>
      <c r="B3321" s="40" t="s">
        <v>4780</v>
      </c>
      <c r="C3321" s="49" t="s">
        <v>4781</v>
      </c>
      <c r="D3321" s="49" t="s">
        <v>4796</v>
      </c>
      <c r="E3321" s="49" t="s">
        <v>4724</v>
      </c>
      <c r="F3321" s="59">
        <v>1086085</v>
      </c>
      <c r="G3321" s="58" t="s">
        <v>24</v>
      </c>
      <c r="H3321" s="66">
        <v>1006</v>
      </c>
      <c r="I3321" s="59">
        <v>0</v>
      </c>
      <c r="J3321" s="59">
        <v>0</v>
      </c>
      <c r="K3321" s="59">
        <v>1085</v>
      </c>
      <c r="L3321" s="4">
        <v>0</v>
      </c>
      <c r="M3321" s="67" t="s">
        <v>108</v>
      </c>
      <c r="N3321" s="70">
        <f t="shared" si="80"/>
        <v>1085</v>
      </c>
    </row>
    <row r="3322" spans="1:14">
      <c r="A3322" s="12">
        <v>3321</v>
      </c>
      <c r="B3322" s="40" t="s">
        <v>4780</v>
      </c>
      <c r="C3322" s="49" t="s">
        <v>4781</v>
      </c>
      <c r="D3322" s="49" t="s">
        <v>4797</v>
      </c>
      <c r="E3322" s="49" t="s">
        <v>4724</v>
      </c>
      <c r="F3322" s="59">
        <v>930930</v>
      </c>
      <c r="G3322" s="58" t="s">
        <v>24</v>
      </c>
      <c r="H3322" s="66">
        <v>1006</v>
      </c>
      <c r="I3322" s="59">
        <v>0</v>
      </c>
      <c r="J3322" s="59">
        <v>0</v>
      </c>
      <c r="K3322" s="59">
        <v>930</v>
      </c>
      <c r="L3322" s="4">
        <v>0</v>
      </c>
      <c r="M3322" s="67" t="s">
        <v>108</v>
      </c>
      <c r="N3322" s="70">
        <f t="shared" si="80"/>
        <v>930</v>
      </c>
    </row>
    <row r="3323" spans="1:14">
      <c r="A3323" s="12">
        <v>3322</v>
      </c>
      <c r="B3323" s="40" t="s">
        <v>4780</v>
      </c>
      <c r="C3323" s="49" t="s">
        <v>4781</v>
      </c>
      <c r="D3323" s="49" t="s">
        <v>4798</v>
      </c>
      <c r="E3323" s="49" t="s">
        <v>4724</v>
      </c>
      <c r="F3323" s="59">
        <v>155155</v>
      </c>
      <c r="G3323" s="58" t="s">
        <v>24</v>
      </c>
      <c r="H3323" s="66">
        <v>1006</v>
      </c>
      <c r="I3323" s="59">
        <v>0</v>
      </c>
      <c r="J3323" s="59">
        <v>0</v>
      </c>
      <c r="K3323" s="59">
        <v>155</v>
      </c>
      <c r="L3323" s="4">
        <v>0</v>
      </c>
      <c r="M3323" s="67" t="s">
        <v>108</v>
      </c>
      <c r="N3323" s="70">
        <f t="shared" si="80"/>
        <v>155</v>
      </c>
    </row>
    <row r="3324" spans="1:14">
      <c r="A3324" s="12">
        <v>3323</v>
      </c>
      <c r="B3324" s="40" t="s">
        <v>4780</v>
      </c>
      <c r="C3324" s="49" t="s">
        <v>4781</v>
      </c>
      <c r="D3324" s="49" t="s">
        <v>4799</v>
      </c>
      <c r="E3324" s="49" t="s">
        <v>4724</v>
      </c>
      <c r="F3324" s="59">
        <v>930930</v>
      </c>
      <c r="G3324" s="58" t="s">
        <v>24</v>
      </c>
      <c r="H3324" s="66">
        <v>1006</v>
      </c>
      <c r="I3324" s="59">
        <v>0</v>
      </c>
      <c r="J3324" s="59">
        <v>0</v>
      </c>
      <c r="K3324" s="59">
        <v>930</v>
      </c>
      <c r="L3324" s="4">
        <v>0</v>
      </c>
      <c r="M3324" s="67" t="s">
        <v>108</v>
      </c>
      <c r="N3324" s="70">
        <f t="shared" si="80"/>
        <v>930</v>
      </c>
    </row>
    <row r="3325" spans="1:14">
      <c r="A3325" s="12">
        <v>3324</v>
      </c>
      <c r="B3325" s="40" t="s">
        <v>4780</v>
      </c>
      <c r="C3325" s="49" t="s">
        <v>4781</v>
      </c>
      <c r="D3325" s="49" t="s">
        <v>4800</v>
      </c>
      <c r="E3325" s="49" t="s">
        <v>4745</v>
      </c>
      <c r="F3325" s="59">
        <v>1086085</v>
      </c>
      <c r="G3325" s="58" t="s">
        <v>24</v>
      </c>
      <c r="H3325" s="66">
        <v>1006</v>
      </c>
      <c r="I3325" s="59">
        <v>0</v>
      </c>
      <c r="J3325" s="59">
        <v>0</v>
      </c>
      <c r="K3325" s="59">
        <v>1085</v>
      </c>
      <c r="L3325" s="4">
        <v>0</v>
      </c>
      <c r="M3325" s="67" t="s">
        <v>108</v>
      </c>
      <c r="N3325" s="70">
        <f t="shared" si="80"/>
        <v>1085</v>
      </c>
    </row>
    <row r="3326" spans="1:14">
      <c r="A3326" s="12">
        <v>3325</v>
      </c>
      <c r="B3326" s="40" t="s">
        <v>4384</v>
      </c>
      <c r="C3326" s="49" t="s">
        <v>4385</v>
      </c>
      <c r="D3326" s="49" t="s">
        <v>4801</v>
      </c>
      <c r="E3326" s="49" t="s">
        <v>4802</v>
      </c>
      <c r="F3326" s="59">
        <v>23767.56</v>
      </c>
      <c r="G3326" s="62" t="s">
        <v>18</v>
      </c>
      <c r="H3326" s="66">
        <v>999799</v>
      </c>
      <c r="I3326" s="59">
        <v>1812.78</v>
      </c>
      <c r="J3326" s="59">
        <v>1812.78</v>
      </c>
      <c r="K3326" s="59">
        <v>0</v>
      </c>
      <c r="L3326" s="4">
        <v>0</v>
      </c>
      <c r="M3326" s="67" t="s">
        <v>19</v>
      </c>
      <c r="N3326" s="70">
        <f t="shared" si="80"/>
        <v>3625.56</v>
      </c>
    </row>
    <row r="3327" spans="1:14">
      <c r="A3327" s="12">
        <v>3326</v>
      </c>
      <c r="B3327" s="40" t="s">
        <v>4384</v>
      </c>
      <c r="C3327" s="49" t="s">
        <v>4385</v>
      </c>
      <c r="D3327" s="49" t="s">
        <v>4803</v>
      </c>
      <c r="E3327" s="49" t="s">
        <v>585</v>
      </c>
      <c r="F3327" s="59">
        <v>23465.48</v>
      </c>
      <c r="G3327" s="62" t="s">
        <v>18</v>
      </c>
      <c r="H3327" s="66">
        <v>999799</v>
      </c>
      <c r="I3327" s="59">
        <v>1789.74</v>
      </c>
      <c r="J3327" s="59">
        <v>1789.74</v>
      </c>
      <c r="K3327" s="59">
        <v>0</v>
      </c>
      <c r="L3327" s="4">
        <v>0</v>
      </c>
      <c r="M3327" s="67" t="s">
        <v>19</v>
      </c>
      <c r="N3327" s="70">
        <f t="shared" si="80"/>
        <v>3579.48</v>
      </c>
    </row>
    <row r="3328" spans="1:14">
      <c r="A3328" s="12">
        <v>3327</v>
      </c>
      <c r="B3328" s="40" t="s">
        <v>4384</v>
      </c>
      <c r="C3328" s="49" t="s">
        <v>4385</v>
      </c>
      <c r="D3328" s="49" t="s">
        <v>4804</v>
      </c>
      <c r="E3328" s="49" t="s">
        <v>585</v>
      </c>
      <c r="F3328" s="59">
        <v>23465.48</v>
      </c>
      <c r="G3328" s="62" t="s">
        <v>18</v>
      </c>
      <c r="H3328" s="66">
        <v>999799</v>
      </c>
      <c r="I3328" s="59">
        <v>1789.74</v>
      </c>
      <c r="J3328" s="59">
        <v>1789.74</v>
      </c>
      <c r="K3328" s="59">
        <v>0</v>
      </c>
      <c r="L3328" s="4">
        <v>0</v>
      </c>
      <c r="M3328" s="67" t="s">
        <v>19</v>
      </c>
      <c r="N3328" s="70">
        <f t="shared" si="80"/>
        <v>3579.48</v>
      </c>
    </row>
    <row r="3329" spans="1:14">
      <c r="A3329" s="12">
        <v>3328</v>
      </c>
      <c r="B3329" s="40" t="s">
        <v>4659</v>
      </c>
      <c r="C3329" s="49" t="s">
        <v>4660</v>
      </c>
      <c r="D3329" s="49" t="s">
        <v>4805</v>
      </c>
      <c r="E3329" s="49" t="s">
        <v>268</v>
      </c>
      <c r="F3329" s="59">
        <v>7586.22</v>
      </c>
      <c r="G3329" s="62" t="s">
        <v>18</v>
      </c>
      <c r="H3329" s="68">
        <v>996713</v>
      </c>
      <c r="I3329" s="59">
        <v>0</v>
      </c>
      <c r="J3329" s="59">
        <v>0</v>
      </c>
      <c r="K3329" s="59">
        <v>1157.22</v>
      </c>
      <c r="L3329" s="4">
        <v>0</v>
      </c>
      <c r="M3329" s="67" t="s">
        <v>19</v>
      </c>
      <c r="N3329" s="70">
        <f t="shared" si="80"/>
        <v>1157.22</v>
      </c>
    </row>
    <row r="3330" spans="1:14">
      <c r="A3330" s="12">
        <v>3329</v>
      </c>
      <c r="B3330" s="40" t="s">
        <v>4659</v>
      </c>
      <c r="C3330" s="49" t="s">
        <v>4660</v>
      </c>
      <c r="D3330" s="49" t="s">
        <v>4806</v>
      </c>
      <c r="E3330" s="49" t="s">
        <v>289</v>
      </c>
      <c r="F3330" s="59">
        <v>136042.20000000001</v>
      </c>
      <c r="G3330" s="62" t="s">
        <v>18</v>
      </c>
      <c r="H3330" s="68">
        <v>996713</v>
      </c>
      <c r="I3330" s="59">
        <v>0</v>
      </c>
      <c r="J3330" s="59">
        <v>0</v>
      </c>
      <c r="K3330" s="59">
        <v>20752.2</v>
      </c>
      <c r="L3330" s="4">
        <v>0</v>
      </c>
      <c r="M3330" s="67" t="s">
        <v>19</v>
      </c>
      <c r="N3330" s="70">
        <f t="shared" si="80"/>
        <v>20752.2</v>
      </c>
    </row>
    <row r="3331" spans="1:14">
      <c r="A3331" s="12">
        <v>3330</v>
      </c>
      <c r="B3331" s="40" t="s">
        <v>4659</v>
      </c>
      <c r="C3331" s="49" t="s">
        <v>4660</v>
      </c>
      <c r="D3331" s="49" t="s">
        <v>4807</v>
      </c>
      <c r="E3331" s="49" t="s">
        <v>289</v>
      </c>
      <c r="F3331" s="59">
        <v>1218193.26</v>
      </c>
      <c r="G3331" s="62" t="s">
        <v>18</v>
      </c>
      <c r="H3331" s="68">
        <v>996713</v>
      </c>
      <c r="I3331" s="59">
        <v>0</v>
      </c>
      <c r="J3331" s="59">
        <v>0</v>
      </c>
      <c r="K3331" s="59">
        <v>58009.2</v>
      </c>
      <c r="L3331" s="4">
        <v>0</v>
      </c>
      <c r="M3331" s="67" t="s">
        <v>19</v>
      </c>
      <c r="N3331" s="70">
        <f t="shared" si="80"/>
        <v>58009.2</v>
      </c>
    </row>
    <row r="3332" spans="1:14">
      <c r="A3332" s="12">
        <v>3331</v>
      </c>
      <c r="B3332" s="40" t="s">
        <v>4659</v>
      </c>
      <c r="C3332" s="49" t="s">
        <v>4660</v>
      </c>
      <c r="D3332" s="49" t="s">
        <v>4808</v>
      </c>
      <c r="E3332" s="49" t="s">
        <v>289</v>
      </c>
      <c r="F3332" s="59">
        <v>136042.20000000001</v>
      </c>
      <c r="G3332" s="62" t="s">
        <v>18</v>
      </c>
      <c r="H3332" s="68">
        <v>996713</v>
      </c>
      <c r="I3332" s="59">
        <v>0</v>
      </c>
      <c r="J3332" s="59">
        <v>0</v>
      </c>
      <c r="K3332" s="59">
        <v>20752.2</v>
      </c>
      <c r="L3332" s="4">
        <v>0</v>
      </c>
      <c r="M3332" s="67" t="s">
        <v>19</v>
      </c>
      <c r="N3332" s="70">
        <f t="shared" si="80"/>
        <v>20752.2</v>
      </c>
    </row>
    <row r="3333" spans="1:14">
      <c r="A3333" s="12">
        <v>3332</v>
      </c>
      <c r="B3333" s="40" t="s">
        <v>4659</v>
      </c>
      <c r="C3333" s="49" t="s">
        <v>4660</v>
      </c>
      <c r="D3333" s="49" t="s">
        <v>4809</v>
      </c>
      <c r="E3333" s="49" t="s">
        <v>289</v>
      </c>
      <c r="F3333" s="59">
        <v>1218193.26</v>
      </c>
      <c r="G3333" s="62" t="s">
        <v>18</v>
      </c>
      <c r="H3333" s="68">
        <v>996713</v>
      </c>
      <c r="I3333" s="59">
        <v>0</v>
      </c>
      <c r="J3333" s="59">
        <v>0</v>
      </c>
      <c r="K3333" s="59">
        <v>58009.2</v>
      </c>
      <c r="L3333" s="4">
        <v>0</v>
      </c>
      <c r="M3333" s="67" t="s">
        <v>19</v>
      </c>
      <c r="N3333" s="70">
        <f t="shared" si="80"/>
        <v>58009.2</v>
      </c>
    </row>
    <row r="3334" spans="1:14">
      <c r="A3334" s="12">
        <v>3333</v>
      </c>
      <c r="B3334" s="40" t="s">
        <v>4810</v>
      </c>
      <c r="C3334" s="50" t="s">
        <v>4811</v>
      </c>
      <c r="D3334" s="49" t="s">
        <v>4812</v>
      </c>
      <c r="E3334" s="49" t="s">
        <v>589</v>
      </c>
      <c r="F3334" s="59">
        <v>538000</v>
      </c>
      <c r="G3334" s="58" t="s">
        <v>18</v>
      </c>
      <c r="H3334" s="60">
        <v>999791</v>
      </c>
      <c r="I3334" s="59">
        <v>9000</v>
      </c>
      <c r="J3334" s="59">
        <v>9000</v>
      </c>
      <c r="K3334" s="59">
        <v>0</v>
      </c>
      <c r="L3334" s="4">
        <v>0</v>
      </c>
      <c r="M3334" s="67" t="s">
        <v>19</v>
      </c>
      <c r="N3334" s="70">
        <f t="shared" si="80"/>
        <v>18000</v>
      </c>
    </row>
    <row r="3335" spans="1:14">
      <c r="A3335" s="12">
        <v>3334</v>
      </c>
      <c r="B3335" s="40" t="s">
        <v>4810</v>
      </c>
      <c r="C3335" s="50" t="s">
        <v>4811</v>
      </c>
      <c r="D3335" s="49" t="s">
        <v>4812</v>
      </c>
      <c r="E3335" s="49" t="s">
        <v>589</v>
      </c>
      <c r="F3335" s="59">
        <v>538000</v>
      </c>
      <c r="G3335" s="58" t="s">
        <v>18</v>
      </c>
      <c r="H3335" s="60">
        <v>996334</v>
      </c>
      <c r="I3335" s="59">
        <v>10000</v>
      </c>
      <c r="J3335" s="59">
        <v>10000</v>
      </c>
      <c r="K3335" s="59">
        <v>0</v>
      </c>
      <c r="L3335" s="4">
        <v>0</v>
      </c>
      <c r="M3335" s="67" t="s">
        <v>19</v>
      </c>
      <c r="N3335" s="70">
        <f t="shared" si="80"/>
        <v>20000</v>
      </c>
    </row>
    <row r="3336" spans="1:14">
      <c r="A3336" s="12">
        <v>3335</v>
      </c>
      <c r="B3336" s="71" t="s">
        <v>4813</v>
      </c>
      <c r="C3336" s="42" t="s">
        <v>4814</v>
      </c>
      <c r="D3336" s="71" t="s">
        <v>4815</v>
      </c>
      <c r="E3336" s="71" t="s">
        <v>4816</v>
      </c>
      <c r="F3336" s="72">
        <v>177739</v>
      </c>
      <c r="G3336" s="73" t="s">
        <v>4817</v>
      </c>
      <c r="H3336" s="74">
        <v>998898</v>
      </c>
      <c r="I3336" s="72">
        <v>0</v>
      </c>
      <c r="J3336" s="72">
        <v>0</v>
      </c>
      <c r="K3336" s="72">
        <v>8463.75</v>
      </c>
      <c r="L3336" s="72">
        <v>0</v>
      </c>
      <c r="M3336" s="73" t="s">
        <v>3925</v>
      </c>
      <c r="N3336" s="75">
        <f>IF(M3336="YES",K3336+ I3336+J3336, 0)</f>
        <v>8463.75</v>
      </c>
    </row>
    <row r="3337" spans="1:14">
      <c r="A3337" s="12">
        <v>3336</v>
      </c>
      <c r="B3337" s="71" t="s">
        <v>4818</v>
      </c>
      <c r="C3337" s="42" t="s">
        <v>4819</v>
      </c>
      <c r="D3337" s="71" t="s">
        <v>4820</v>
      </c>
      <c r="E3337" s="71" t="s">
        <v>4821</v>
      </c>
      <c r="F3337" s="72">
        <v>4248</v>
      </c>
      <c r="G3337" s="73" t="s">
        <v>4817</v>
      </c>
      <c r="H3337" s="74">
        <v>998346</v>
      </c>
      <c r="I3337" s="72">
        <v>324</v>
      </c>
      <c r="J3337" s="72">
        <v>324</v>
      </c>
      <c r="K3337" s="72">
        <v>0</v>
      </c>
      <c r="L3337" s="72">
        <v>0</v>
      </c>
      <c r="M3337" s="73" t="s">
        <v>3925</v>
      </c>
      <c r="N3337" s="75">
        <f t="shared" ref="N3337:N3400" si="81">IF(M3337="YES",K3337+ I3337+J3337, 0)</f>
        <v>648</v>
      </c>
    </row>
    <row r="3338" spans="1:14">
      <c r="A3338" s="12">
        <v>3337</v>
      </c>
      <c r="B3338" s="71" t="s">
        <v>4822</v>
      </c>
      <c r="C3338" s="42" t="s">
        <v>4823</v>
      </c>
      <c r="D3338" s="71" t="s">
        <v>4824</v>
      </c>
      <c r="E3338" s="71" t="s">
        <v>4825</v>
      </c>
      <c r="F3338" s="72">
        <v>216799</v>
      </c>
      <c r="G3338" s="73" t="s">
        <v>4817</v>
      </c>
      <c r="H3338" s="76" t="s">
        <v>4826</v>
      </c>
      <c r="I3338" s="72">
        <v>12592.92</v>
      </c>
      <c r="J3338" s="72">
        <v>12592.92</v>
      </c>
      <c r="K3338" s="72">
        <v>0</v>
      </c>
      <c r="L3338" s="72">
        <v>0</v>
      </c>
      <c r="M3338" s="73" t="s">
        <v>3925</v>
      </c>
      <c r="N3338" s="75">
        <f t="shared" si="81"/>
        <v>25185.84</v>
      </c>
    </row>
    <row r="3339" spans="1:14">
      <c r="A3339" s="12">
        <v>3338</v>
      </c>
      <c r="B3339" s="71" t="s">
        <v>4822</v>
      </c>
      <c r="C3339" s="42" t="s">
        <v>4823</v>
      </c>
      <c r="D3339" s="71" t="s">
        <v>4827</v>
      </c>
      <c r="E3339" s="71" t="s">
        <v>4828</v>
      </c>
      <c r="F3339" s="72">
        <v>4130</v>
      </c>
      <c r="G3339" s="73" t="s">
        <v>4817</v>
      </c>
      <c r="H3339" s="76" t="s">
        <v>4826</v>
      </c>
      <c r="I3339" s="72">
        <v>315</v>
      </c>
      <c r="J3339" s="72">
        <v>315</v>
      </c>
      <c r="K3339" s="72">
        <v>0</v>
      </c>
      <c r="L3339" s="72">
        <v>0</v>
      </c>
      <c r="M3339" s="73" t="s">
        <v>3925</v>
      </c>
      <c r="N3339" s="75">
        <f t="shared" si="81"/>
        <v>630</v>
      </c>
    </row>
    <row r="3340" spans="1:14">
      <c r="A3340" s="12">
        <v>3339</v>
      </c>
      <c r="B3340" s="71" t="s">
        <v>4822</v>
      </c>
      <c r="C3340" s="42" t="s">
        <v>4823</v>
      </c>
      <c r="D3340" s="71" t="s">
        <v>4829</v>
      </c>
      <c r="E3340" s="71" t="s">
        <v>4830</v>
      </c>
      <c r="F3340" s="72">
        <v>558033</v>
      </c>
      <c r="G3340" s="73" t="s">
        <v>4817</v>
      </c>
      <c r="H3340" s="76" t="s">
        <v>4826</v>
      </c>
      <c r="I3340" s="72">
        <v>19082.59</v>
      </c>
      <c r="J3340" s="72">
        <v>19082.59</v>
      </c>
      <c r="K3340" s="72">
        <v>0</v>
      </c>
      <c r="L3340" s="72">
        <v>0</v>
      </c>
      <c r="M3340" s="73" t="s">
        <v>3925</v>
      </c>
      <c r="N3340" s="75">
        <f t="shared" si="81"/>
        <v>38165.18</v>
      </c>
    </row>
    <row r="3341" spans="1:14">
      <c r="A3341" s="12">
        <v>3340</v>
      </c>
      <c r="B3341" s="71" t="s">
        <v>4822</v>
      </c>
      <c r="C3341" s="42" t="s">
        <v>4823</v>
      </c>
      <c r="D3341" s="71" t="s">
        <v>4831</v>
      </c>
      <c r="E3341" s="71" t="s">
        <v>4830</v>
      </c>
      <c r="F3341" s="72">
        <v>372880</v>
      </c>
      <c r="G3341" s="73" t="s">
        <v>4817</v>
      </c>
      <c r="H3341" s="76" t="s">
        <v>4826</v>
      </c>
      <c r="I3341" s="72">
        <v>12787.13</v>
      </c>
      <c r="J3341" s="72">
        <v>12787.13</v>
      </c>
      <c r="K3341" s="72">
        <v>0</v>
      </c>
      <c r="L3341" s="72">
        <v>0</v>
      </c>
      <c r="M3341" s="73" t="s">
        <v>3925</v>
      </c>
      <c r="N3341" s="75">
        <f t="shared" si="81"/>
        <v>25574.26</v>
      </c>
    </row>
    <row r="3342" spans="1:14">
      <c r="A3342" s="12">
        <v>3341</v>
      </c>
      <c r="B3342" s="71" t="s">
        <v>528</v>
      </c>
      <c r="C3342" s="42" t="s">
        <v>529</v>
      </c>
      <c r="D3342" s="71" t="s">
        <v>4832</v>
      </c>
      <c r="E3342" s="71" t="s">
        <v>4833</v>
      </c>
      <c r="F3342" s="72">
        <v>7125.53</v>
      </c>
      <c r="G3342" s="73" t="s">
        <v>4817</v>
      </c>
      <c r="H3342" s="74">
        <v>9971</v>
      </c>
      <c r="I3342" s="72">
        <v>543.47</v>
      </c>
      <c r="J3342" s="72">
        <v>543.47</v>
      </c>
      <c r="K3342" s="72">
        <v>0</v>
      </c>
      <c r="L3342" s="72">
        <v>0</v>
      </c>
      <c r="M3342" s="73" t="s">
        <v>3925</v>
      </c>
      <c r="N3342" s="75">
        <f t="shared" si="81"/>
        <v>1086.94</v>
      </c>
    </row>
    <row r="3343" spans="1:14">
      <c r="A3343" s="12">
        <v>3342</v>
      </c>
      <c r="B3343" s="71" t="s">
        <v>528</v>
      </c>
      <c r="C3343" s="42" t="s">
        <v>529</v>
      </c>
      <c r="D3343" s="71" t="s">
        <v>4834</v>
      </c>
      <c r="E3343" s="71" t="s">
        <v>4835</v>
      </c>
      <c r="F3343" s="72">
        <v>10143.06</v>
      </c>
      <c r="G3343" s="73" t="s">
        <v>4817</v>
      </c>
      <c r="H3343" s="74">
        <v>9971</v>
      </c>
      <c r="I3343" s="72">
        <v>773.62</v>
      </c>
      <c r="J3343" s="72">
        <v>773.62</v>
      </c>
      <c r="K3343" s="72">
        <v>0</v>
      </c>
      <c r="L3343" s="72">
        <v>0</v>
      </c>
      <c r="M3343" s="73" t="s">
        <v>3925</v>
      </c>
      <c r="N3343" s="75">
        <f t="shared" si="81"/>
        <v>1547.24</v>
      </c>
    </row>
    <row r="3344" spans="1:14">
      <c r="A3344" s="12">
        <v>3343</v>
      </c>
      <c r="B3344" s="71" t="s">
        <v>528</v>
      </c>
      <c r="C3344" s="42" t="s">
        <v>529</v>
      </c>
      <c r="D3344" s="71" t="s">
        <v>4836</v>
      </c>
      <c r="E3344" s="71" t="s">
        <v>4837</v>
      </c>
      <c r="F3344" s="72">
        <v>7080</v>
      </c>
      <c r="G3344" s="73" t="s">
        <v>4817</v>
      </c>
      <c r="H3344" s="74">
        <v>9971</v>
      </c>
      <c r="I3344" s="72">
        <v>540</v>
      </c>
      <c r="J3344" s="72">
        <v>540</v>
      </c>
      <c r="K3344" s="72">
        <v>0</v>
      </c>
      <c r="L3344" s="72">
        <v>0</v>
      </c>
      <c r="M3344" s="73" t="s">
        <v>3925</v>
      </c>
      <c r="N3344" s="75">
        <f t="shared" si="81"/>
        <v>1080</v>
      </c>
    </row>
    <row r="3345" spans="1:14">
      <c r="A3345" s="12">
        <v>3344</v>
      </c>
      <c r="B3345" s="71" t="s">
        <v>528</v>
      </c>
      <c r="C3345" s="42" t="s">
        <v>529</v>
      </c>
      <c r="D3345" s="71" t="s">
        <v>4838</v>
      </c>
      <c r="E3345" s="71" t="s">
        <v>4837</v>
      </c>
      <c r="F3345" s="72">
        <v>102627.66</v>
      </c>
      <c r="G3345" s="73" t="s">
        <v>4817</v>
      </c>
      <c r="H3345" s="74">
        <v>9971</v>
      </c>
      <c r="I3345" s="72">
        <v>7827.53</v>
      </c>
      <c r="J3345" s="72">
        <v>7827.53</v>
      </c>
      <c r="K3345" s="72">
        <v>0</v>
      </c>
      <c r="L3345" s="72">
        <v>0</v>
      </c>
      <c r="M3345" s="73" t="s">
        <v>3925</v>
      </c>
      <c r="N3345" s="75">
        <f t="shared" si="81"/>
        <v>15655.06</v>
      </c>
    </row>
    <row r="3346" spans="1:14">
      <c r="A3346" s="12">
        <v>3345</v>
      </c>
      <c r="B3346" s="71" t="s">
        <v>528</v>
      </c>
      <c r="C3346" s="42" t="s">
        <v>529</v>
      </c>
      <c r="D3346" s="71" t="s">
        <v>4839</v>
      </c>
      <c r="E3346" s="71" t="s">
        <v>4837</v>
      </c>
      <c r="F3346" s="72">
        <v>354</v>
      </c>
      <c r="G3346" s="73" t="s">
        <v>4817</v>
      </c>
      <c r="H3346" s="74">
        <v>9971</v>
      </c>
      <c r="I3346" s="72">
        <v>27</v>
      </c>
      <c r="J3346" s="72">
        <v>27</v>
      </c>
      <c r="K3346" s="72">
        <v>0</v>
      </c>
      <c r="L3346" s="72">
        <v>0</v>
      </c>
      <c r="M3346" s="73" t="s">
        <v>3925</v>
      </c>
      <c r="N3346" s="75">
        <f t="shared" si="81"/>
        <v>54</v>
      </c>
    </row>
    <row r="3347" spans="1:14">
      <c r="A3347" s="12">
        <v>3346</v>
      </c>
      <c r="B3347" s="71" t="s">
        <v>528</v>
      </c>
      <c r="C3347" s="42" t="s">
        <v>529</v>
      </c>
      <c r="D3347" s="71" t="s">
        <v>4840</v>
      </c>
      <c r="E3347" s="71" t="s">
        <v>4830</v>
      </c>
      <c r="F3347" s="72">
        <v>44.24</v>
      </c>
      <c r="G3347" s="73" t="s">
        <v>4817</v>
      </c>
      <c r="H3347" s="74">
        <v>9971</v>
      </c>
      <c r="I3347" s="72">
        <v>3.37</v>
      </c>
      <c r="J3347" s="72">
        <v>3.37</v>
      </c>
      <c r="K3347" s="72">
        <v>0</v>
      </c>
      <c r="L3347" s="72">
        <v>0</v>
      </c>
      <c r="M3347" s="73" t="s">
        <v>3925</v>
      </c>
      <c r="N3347" s="75">
        <f t="shared" si="81"/>
        <v>6.74</v>
      </c>
    </row>
    <row r="3348" spans="1:14">
      <c r="A3348" s="12">
        <v>3347</v>
      </c>
      <c r="B3348" s="71" t="s">
        <v>528</v>
      </c>
      <c r="C3348" s="42" t="s">
        <v>529</v>
      </c>
      <c r="D3348" s="71" t="s">
        <v>4841</v>
      </c>
      <c r="E3348" s="71" t="s">
        <v>4842</v>
      </c>
      <c r="F3348" s="72">
        <v>4831.04</v>
      </c>
      <c r="G3348" s="73" t="s">
        <v>4817</v>
      </c>
      <c r="H3348" s="74">
        <v>9971</v>
      </c>
      <c r="I3348" s="72">
        <v>368.47</v>
      </c>
      <c r="J3348" s="72">
        <v>368.47</v>
      </c>
      <c r="K3348" s="72">
        <v>0</v>
      </c>
      <c r="L3348" s="72">
        <v>0</v>
      </c>
      <c r="M3348" s="73" t="s">
        <v>3925</v>
      </c>
      <c r="N3348" s="75">
        <f t="shared" si="81"/>
        <v>736.94</v>
      </c>
    </row>
    <row r="3349" spans="1:14">
      <c r="A3349" s="12">
        <v>3348</v>
      </c>
      <c r="B3349" s="71" t="s">
        <v>4843</v>
      </c>
      <c r="C3349" s="42" t="s">
        <v>4844</v>
      </c>
      <c r="D3349" s="71" t="s">
        <v>4845</v>
      </c>
      <c r="E3349" s="71" t="s">
        <v>4846</v>
      </c>
      <c r="F3349" s="72">
        <v>48300</v>
      </c>
      <c r="G3349" s="73" t="s">
        <v>4817</v>
      </c>
      <c r="H3349" s="77">
        <v>996519</v>
      </c>
      <c r="I3349" s="78">
        <v>1207.5</v>
      </c>
      <c r="J3349" s="72">
        <v>1207.5</v>
      </c>
      <c r="K3349" s="72">
        <v>0</v>
      </c>
      <c r="L3349" s="72">
        <v>0</v>
      </c>
      <c r="M3349" s="73" t="s">
        <v>4847</v>
      </c>
      <c r="N3349" s="75">
        <f t="shared" si="81"/>
        <v>0</v>
      </c>
    </row>
    <row r="3350" spans="1:14">
      <c r="A3350" s="12">
        <v>3349</v>
      </c>
      <c r="B3350" s="71" t="s">
        <v>4843</v>
      </c>
      <c r="C3350" s="42" t="s">
        <v>4844</v>
      </c>
      <c r="D3350" s="71" t="s">
        <v>4848</v>
      </c>
      <c r="E3350" s="71" t="s">
        <v>4849</v>
      </c>
      <c r="F3350" s="72">
        <v>48300</v>
      </c>
      <c r="G3350" s="73" t="s">
        <v>4817</v>
      </c>
      <c r="H3350" s="77">
        <v>996519</v>
      </c>
      <c r="I3350" s="78">
        <v>1207.5</v>
      </c>
      <c r="J3350" s="72">
        <v>1207.5</v>
      </c>
      <c r="K3350" s="72">
        <v>0</v>
      </c>
      <c r="L3350" s="72">
        <v>0</v>
      </c>
      <c r="M3350" s="73" t="s">
        <v>4847</v>
      </c>
      <c r="N3350" s="75">
        <f t="shared" si="81"/>
        <v>0</v>
      </c>
    </row>
    <row r="3351" spans="1:14">
      <c r="A3351" s="12">
        <v>3350</v>
      </c>
      <c r="B3351" s="71" t="s">
        <v>4843</v>
      </c>
      <c r="C3351" s="42" t="s">
        <v>4844</v>
      </c>
      <c r="D3351" s="71" t="s">
        <v>4850</v>
      </c>
      <c r="E3351" s="71" t="s">
        <v>4835</v>
      </c>
      <c r="F3351" s="72">
        <v>47000</v>
      </c>
      <c r="G3351" s="73" t="s">
        <v>4817</v>
      </c>
      <c r="H3351" s="77">
        <v>996519</v>
      </c>
      <c r="I3351" s="78">
        <v>1175</v>
      </c>
      <c r="J3351" s="72">
        <v>1175</v>
      </c>
      <c r="K3351" s="72">
        <v>0</v>
      </c>
      <c r="L3351" s="72">
        <v>0</v>
      </c>
      <c r="M3351" s="73" t="s">
        <v>4847</v>
      </c>
      <c r="N3351" s="75">
        <f t="shared" si="81"/>
        <v>0</v>
      </c>
    </row>
    <row r="3352" spans="1:14">
      <c r="A3352" s="12">
        <v>3351</v>
      </c>
      <c r="B3352" s="71" t="s">
        <v>4843</v>
      </c>
      <c r="C3352" s="42" t="s">
        <v>4844</v>
      </c>
      <c r="D3352" s="71" t="s">
        <v>4851</v>
      </c>
      <c r="E3352" s="71" t="s">
        <v>4835</v>
      </c>
      <c r="F3352" s="72">
        <v>43400</v>
      </c>
      <c r="G3352" s="73" t="s">
        <v>4817</v>
      </c>
      <c r="H3352" s="77">
        <v>996519</v>
      </c>
      <c r="I3352" s="78">
        <v>1085</v>
      </c>
      <c r="J3352" s="72">
        <v>1085</v>
      </c>
      <c r="K3352" s="72">
        <v>0</v>
      </c>
      <c r="L3352" s="72">
        <v>0</v>
      </c>
      <c r="M3352" s="73" t="s">
        <v>4847</v>
      </c>
      <c r="N3352" s="75">
        <f t="shared" si="81"/>
        <v>0</v>
      </c>
    </row>
    <row r="3353" spans="1:14">
      <c r="A3353" s="12">
        <v>3352</v>
      </c>
      <c r="B3353" s="71" t="s">
        <v>4852</v>
      </c>
      <c r="C3353" s="42" t="s">
        <v>4853</v>
      </c>
      <c r="D3353" s="71" t="s">
        <v>4854</v>
      </c>
      <c r="E3353" s="71" t="s">
        <v>4855</v>
      </c>
      <c r="F3353" s="72">
        <v>17700</v>
      </c>
      <c r="G3353" s="73" t="s">
        <v>4817</v>
      </c>
      <c r="H3353" s="73">
        <v>998399</v>
      </c>
      <c r="I3353" s="72">
        <v>0</v>
      </c>
      <c r="J3353" s="72">
        <v>0</v>
      </c>
      <c r="K3353" s="72">
        <v>2700</v>
      </c>
      <c r="L3353" s="72">
        <v>0</v>
      </c>
      <c r="M3353" s="73" t="s">
        <v>3925</v>
      </c>
      <c r="N3353" s="75">
        <f t="shared" si="81"/>
        <v>2700</v>
      </c>
    </row>
    <row r="3354" spans="1:14">
      <c r="A3354" s="12">
        <v>3353</v>
      </c>
      <c r="B3354" s="71" t="s">
        <v>4056</v>
      </c>
      <c r="C3354" s="42" t="s">
        <v>4057</v>
      </c>
      <c r="D3354" s="71" t="s">
        <v>4856</v>
      </c>
      <c r="E3354" s="71" t="s">
        <v>4857</v>
      </c>
      <c r="F3354" s="72">
        <v>982517</v>
      </c>
      <c r="G3354" s="73" t="s">
        <v>24</v>
      </c>
      <c r="H3354" s="77">
        <v>10064000</v>
      </c>
      <c r="I3354" s="72">
        <v>0</v>
      </c>
      <c r="J3354" s="72">
        <v>0</v>
      </c>
      <c r="K3354" s="72">
        <v>0</v>
      </c>
      <c r="L3354" s="72">
        <v>0</v>
      </c>
      <c r="M3354" s="73" t="s">
        <v>3925</v>
      </c>
      <c r="N3354" s="75">
        <f t="shared" si="81"/>
        <v>0</v>
      </c>
    </row>
    <row r="3355" spans="1:14">
      <c r="A3355" s="12">
        <v>3354</v>
      </c>
      <c r="B3355" s="71" t="s">
        <v>4858</v>
      </c>
      <c r="C3355" s="42" t="s">
        <v>4859</v>
      </c>
      <c r="D3355" s="71" t="s">
        <v>4860</v>
      </c>
      <c r="E3355" s="71" t="s">
        <v>4835</v>
      </c>
      <c r="F3355" s="72">
        <v>2282350</v>
      </c>
      <c r="G3355" s="73" t="s">
        <v>24</v>
      </c>
      <c r="H3355" s="73">
        <v>100630</v>
      </c>
      <c r="I3355" s="78">
        <v>0</v>
      </c>
      <c r="J3355" s="72">
        <v>0</v>
      </c>
      <c r="K3355" s="72">
        <v>0</v>
      </c>
      <c r="L3355" s="72">
        <v>0</v>
      </c>
      <c r="M3355" s="73" t="s">
        <v>4847</v>
      </c>
      <c r="N3355" s="75">
        <f t="shared" si="81"/>
        <v>0</v>
      </c>
    </row>
    <row r="3356" spans="1:14">
      <c r="A3356" s="12">
        <v>3355</v>
      </c>
      <c r="B3356" s="71" t="s">
        <v>3391</v>
      </c>
      <c r="C3356" s="42" t="s">
        <v>3392</v>
      </c>
      <c r="D3356" s="71" t="s">
        <v>4861</v>
      </c>
      <c r="E3356" s="71" t="s">
        <v>4837</v>
      </c>
      <c r="F3356" s="72">
        <v>2359.36</v>
      </c>
      <c r="G3356" s="73" t="s">
        <v>4817</v>
      </c>
      <c r="H3356" s="74">
        <v>996812</v>
      </c>
      <c r="I3356" s="72">
        <v>179.95</v>
      </c>
      <c r="J3356" s="72">
        <v>179.95</v>
      </c>
      <c r="K3356" s="72">
        <v>0</v>
      </c>
      <c r="L3356" s="72">
        <v>0</v>
      </c>
      <c r="M3356" s="73" t="s">
        <v>3925</v>
      </c>
      <c r="N3356" s="75">
        <f t="shared" si="81"/>
        <v>359.9</v>
      </c>
    </row>
    <row r="3357" spans="1:14">
      <c r="A3357" s="12">
        <v>3356</v>
      </c>
      <c r="B3357" s="71" t="s">
        <v>4274</v>
      </c>
      <c r="C3357" s="42" t="s">
        <v>4275</v>
      </c>
      <c r="D3357" s="71" t="s">
        <v>4862</v>
      </c>
      <c r="E3357" s="71" t="s">
        <v>4863</v>
      </c>
      <c r="F3357" s="72">
        <v>1180</v>
      </c>
      <c r="G3357" s="73" t="s">
        <v>4817</v>
      </c>
      <c r="H3357" s="76" t="s">
        <v>992</v>
      </c>
      <c r="I3357" s="72">
        <v>90</v>
      </c>
      <c r="J3357" s="72">
        <v>90</v>
      </c>
      <c r="K3357" s="72">
        <v>0</v>
      </c>
      <c r="L3357" s="72">
        <v>0</v>
      </c>
      <c r="M3357" s="73" t="s">
        <v>3925</v>
      </c>
      <c r="N3357" s="75">
        <f t="shared" si="81"/>
        <v>180</v>
      </c>
    </row>
    <row r="3358" spans="1:14">
      <c r="A3358" s="12">
        <v>3357</v>
      </c>
      <c r="B3358" s="71" t="s">
        <v>211</v>
      </c>
      <c r="C3358" s="42" t="s">
        <v>212</v>
      </c>
      <c r="D3358" s="71" t="s">
        <v>4864</v>
      </c>
      <c r="E3358" s="71" t="s">
        <v>4842</v>
      </c>
      <c r="F3358" s="72">
        <v>354</v>
      </c>
      <c r="G3358" s="73" t="s">
        <v>4817</v>
      </c>
      <c r="H3358" s="73">
        <v>9971</v>
      </c>
      <c r="I3358" s="72">
        <v>27</v>
      </c>
      <c r="J3358" s="72">
        <v>27</v>
      </c>
      <c r="K3358" s="72">
        <v>0</v>
      </c>
      <c r="L3358" s="72">
        <v>0</v>
      </c>
      <c r="M3358" s="73" t="s">
        <v>3925</v>
      </c>
      <c r="N3358" s="75">
        <f t="shared" si="81"/>
        <v>54</v>
      </c>
    </row>
    <row r="3359" spans="1:14">
      <c r="A3359" s="12">
        <v>3358</v>
      </c>
      <c r="B3359" s="71" t="s">
        <v>211</v>
      </c>
      <c r="C3359" s="42" t="s">
        <v>212</v>
      </c>
      <c r="D3359" s="71" t="s">
        <v>4865</v>
      </c>
      <c r="E3359" s="71" t="s">
        <v>4842</v>
      </c>
      <c r="F3359" s="72">
        <v>26926</v>
      </c>
      <c r="G3359" s="73" t="s">
        <v>4817</v>
      </c>
      <c r="H3359" s="73">
        <v>9971</v>
      </c>
      <c r="I3359" s="72">
        <v>2054.5</v>
      </c>
      <c r="J3359" s="72">
        <v>2054.5</v>
      </c>
      <c r="K3359" s="72">
        <v>0</v>
      </c>
      <c r="L3359" s="72">
        <v>0</v>
      </c>
      <c r="M3359" s="73" t="s">
        <v>3925</v>
      </c>
      <c r="N3359" s="75">
        <f t="shared" si="81"/>
        <v>4109</v>
      </c>
    </row>
    <row r="3360" spans="1:14">
      <c r="A3360" s="12">
        <v>3359</v>
      </c>
      <c r="B3360" s="71" t="s">
        <v>4866</v>
      </c>
      <c r="C3360" s="42" t="s">
        <v>4867</v>
      </c>
      <c r="D3360" s="71" t="s">
        <v>4868</v>
      </c>
      <c r="E3360" s="71" t="s">
        <v>4869</v>
      </c>
      <c r="F3360" s="72">
        <v>76405</v>
      </c>
      <c r="G3360" s="74" t="s">
        <v>24</v>
      </c>
      <c r="H3360" s="74">
        <v>48194000</v>
      </c>
      <c r="I3360" s="72">
        <v>5827.5</v>
      </c>
      <c r="J3360" s="72">
        <v>5827.5</v>
      </c>
      <c r="K3360" s="72">
        <v>0</v>
      </c>
      <c r="L3360" s="72">
        <v>0</v>
      </c>
      <c r="M3360" s="73" t="s">
        <v>3925</v>
      </c>
      <c r="N3360" s="75">
        <f t="shared" si="81"/>
        <v>11655</v>
      </c>
    </row>
    <row r="3361" spans="1:14">
      <c r="A3361" s="12">
        <v>3360</v>
      </c>
      <c r="B3361" s="71" t="s">
        <v>4866</v>
      </c>
      <c r="C3361" s="42" t="s">
        <v>4867</v>
      </c>
      <c r="D3361" s="71" t="s">
        <v>4870</v>
      </c>
      <c r="E3361" s="71" t="s">
        <v>4869</v>
      </c>
      <c r="F3361" s="72">
        <v>32782</v>
      </c>
      <c r="G3361" s="74" t="s">
        <v>24</v>
      </c>
      <c r="H3361" s="74">
        <v>48194000</v>
      </c>
      <c r="I3361" s="72">
        <v>2500.31</v>
      </c>
      <c r="J3361" s="72">
        <v>2500.31</v>
      </c>
      <c r="K3361" s="72">
        <v>0</v>
      </c>
      <c r="L3361" s="72">
        <v>0</v>
      </c>
      <c r="M3361" s="73" t="s">
        <v>3925</v>
      </c>
      <c r="N3361" s="75">
        <f t="shared" si="81"/>
        <v>5000.62</v>
      </c>
    </row>
    <row r="3362" spans="1:14">
      <c r="A3362" s="12">
        <v>3361</v>
      </c>
      <c r="B3362" s="71" t="s">
        <v>917</v>
      </c>
      <c r="C3362" s="42" t="s">
        <v>918</v>
      </c>
      <c r="D3362" s="71" t="s">
        <v>4871</v>
      </c>
      <c r="E3362" s="71" t="s">
        <v>4872</v>
      </c>
      <c r="F3362" s="72">
        <v>21476</v>
      </c>
      <c r="G3362" s="73" t="s">
        <v>4817</v>
      </c>
      <c r="H3362" s="74">
        <v>998399</v>
      </c>
      <c r="I3362" s="72">
        <v>1638</v>
      </c>
      <c r="J3362" s="72">
        <v>1638</v>
      </c>
      <c r="K3362" s="72">
        <v>0</v>
      </c>
      <c r="L3362" s="72">
        <v>0</v>
      </c>
      <c r="M3362" s="73" t="s">
        <v>3925</v>
      </c>
      <c r="N3362" s="75">
        <f t="shared" si="81"/>
        <v>3276</v>
      </c>
    </row>
    <row r="3363" spans="1:14">
      <c r="A3363" s="12">
        <v>3362</v>
      </c>
      <c r="B3363" s="71" t="s">
        <v>917</v>
      </c>
      <c r="C3363" s="42" t="s">
        <v>918</v>
      </c>
      <c r="D3363" s="71" t="s">
        <v>4873</v>
      </c>
      <c r="E3363" s="71" t="s">
        <v>4874</v>
      </c>
      <c r="F3363" s="72">
        <v>472</v>
      </c>
      <c r="G3363" s="73" t="s">
        <v>4817</v>
      </c>
      <c r="H3363" s="74">
        <v>998399</v>
      </c>
      <c r="I3363" s="72">
        <v>36</v>
      </c>
      <c r="J3363" s="72">
        <v>36</v>
      </c>
      <c r="K3363" s="72">
        <v>0</v>
      </c>
      <c r="L3363" s="72">
        <v>0</v>
      </c>
      <c r="M3363" s="73" t="s">
        <v>3925</v>
      </c>
      <c r="N3363" s="75">
        <f t="shared" si="81"/>
        <v>72</v>
      </c>
    </row>
    <row r="3364" spans="1:14">
      <c r="A3364" s="12">
        <v>3363</v>
      </c>
      <c r="B3364" s="71" t="s">
        <v>917</v>
      </c>
      <c r="C3364" s="42" t="s">
        <v>918</v>
      </c>
      <c r="D3364" s="71" t="s">
        <v>4875</v>
      </c>
      <c r="E3364" s="71" t="s">
        <v>4876</v>
      </c>
      <c r="F3364" s="72">
        <v>21329.39</v>
      </c>
      <c r="G3364" s="73" t="s">
        <v>4817</v>
      </c>
      <c r="H3364" s="74">
        <v>998399</v>
      </c>
      <c r="I3364" s="72">
        <v>1626.82</v>
      </c>
      <c r="J3364" s="72">
        <v>1626.82</v>
      </c>
      <c r="K3364" s="72">
        <v>0</v>
      </c>
      <c r="L3364" s="72">
        <v>0</v>
      </c>
      <c r="M3364" s="73" t="s">
        <v>3925</v>
      </c>
      <c r="N3364" s="75">
        <f t="shared" si="81"/>
        <v>3253.64</v>
      </c>
    </row>
    <row r="3365" spans="1:14">
      <c r="A3365" s="12">
        <v>3364</v>
      </c>
      <c r="B3365" s="71" t="s">
        <v>4877</v>
      </c>
      <c r="C3365" s="42" t="s">
        <v>4878</v>
      </c>
      <c r="D3365" s="71" t="s">
        <v>4879</v>
      </c>
      <c r="E3365" s="71" t="s">
        <v>4874</v>
      </c>
      <c r="F3365" s="72">
        <v>236</v>
      </c>
      <c r="G3365" s="73" t="s">
        <v>4817</v>
      </c>
      <c r="H3365" s="74">
        <v>996812</v>
      </c>
      <c r="I3365" s="72">
        <v>18</v>
      </c>
      <c r="J3365" s="72">
        <v>18</v>
      </c>
      <c r="K3365" s="72">
        <v>0</v>
      </c>
      <c r="L3365" s="72">
        <v>0</v>
      </c>
      <c r="M3365" s="73" t="s">
        <v>3925</v>
      </c>
      <c r="N3365" s="75">
        <f t="shared" si="81"/>
        <v>36</v>
      </c>
    </row>
    <row r="3366" spans="1:14">
      <c r="A3366" s="12">
        <v>3365</v>
      </c>
      <c r="B3366" s="71" t="s">
        <v>4880</v>
      </c>
      <c r="C3366" s="42" t="s">
        <v>4881</v>
      </c>
      <c r="D3366" s="71" t="s">
        <v>4882</v>
      </c>
      <c r="E3366" s="71" t="s">
        <v>4833</v>
      </c>
      <c r="F3366" s="72">
        <v>4130</v>
      </c>
      <c r="G3366" s="73" t="s">
        <v>4817</v>
      </c>
      <c r="H3366" s="77">
        <v>996713</v>
      </c>
      <c r="I3366" s="72">
        <v>315</v>
      </c>
      <c r="J3366" s="72">
        <v>315</v>
      </c>
      <c r="K3366" s="72">
        <v>0</v>
      </c>
      <c r="L3366" s="72">
        <v>0</v>
      </c>
      <c r="M3366" s="73" t="s">
        <v>3925</v>
      </c>
      <c r="N3366" s="75">
        <f t="shared" si="81"/>
        <v>630</v>
      </c>
    </row>
    <row r="3367" spans="1:14">
      <c r="A3367" s="12">
        <v>3366</v>
      </c>
      <c r="B3367" s="71" t="s">
        <v>4880</v>
      </c>
      <c r="C3367" s="42" t="s">
        <v>4881</v>
      </c>
      <c r="D3367" s="71" t="s">
        <v>4883</v>
      </c>
      <c r="E3367" s="71" t="s">
        <v>4884</v>
      </c>
      <c r="F3367" s="72">
        <v>2096581.62</v>
      </c>
      <c r="G3367" s="73" t="s">
        <v>4817</v>
      </c>
      <c r="H3367" s="77">
        <v>996713</v>
      </c>
      <c r="I3367" s="72">
        <v>61298.31</v>
      </c>
      <c r="J3367" s="72">
        <v>61298.31</v>
      </c>
      <c r="K3367" s="72">
        <v>0</v>
      </c>
      <c r="L3367" s="72">
        <v>0</v>
      </c>
      <c r="M3367" s="73" t="s">
        <v>3925</v>
      </c>
      <c r="N3367" s="75">
        <f t="shared" si="81"/>
        <v>122596.62</v>
      </c>
    </row>
    <row r="3368" spans="1:14">
      <c r="A3368" s="12">
        <v>3367</v>
      </c>
      <c r="B3368" s="71" t="s">
        <v>4880</v>
      </c>
      <c r="C3368" s="42" t="s">
        <v>4881</v>
      </c>
      <c r="D3368" s="71" t="s">
        <v>4885</v>
      </c>
      <c r="E3368" s="71" t="s">
        <v>4821</v>
      </c>
      <c r="F3368" s="72">
        <v>2107181.6</v>
      </c>
      <c r="G3368" s="73" t="s">
        <v>4817</v>
      </c>
      <c r="H3368" s="77">
        <v>996713</v>
      </c>
      <c r="I3368" s="72">
        <v>61090.8</v>
      </c>
      <c r="J3368" s="72">
        <v>61090.8</v>
      </c>
      <c r="K3368" s="72">
        <v>0</v>
      </c>
      <c r="L3368" s="72">
        <v>0</v>
      </c>
      <c r="M3368" s="73" t="s">
        <v>3925</v>
      </c>
      <c r="N3368" s="75">
        <f t="shared" si="81"/>
        <v>122181.6</v>
      </c>
    </row>
    <row r="3369" spans="1:14">
      <c r="A3369" s="12">
        <v>3368</v>
      </c>
      <c r="B3369" s="71" t="s">
        <v>4880</v>
      </c>
      <c r="C3369" s="42" t="s">
        <v>4881</v>
      </c>
      <c r="D3369" s="71" t="s">
        <v>4886</v>
      </c>
      <c r="E3369" s="71" t="s">
        <v>4887</v>
      </c>
      <c r="F3369" s="72">
        <v>283666.38</v>
      </c>
      <c r="G3369" s="73" t="s">
        <v>4817</v>
      </c>
      <c r="H3369" s="77">
        <v>996713</v>
      </c>
      <c r="I3369" s="72">
        <v>9244.49</v>
      </c>
      <c r="J3369" s="72">
        <v>9244.49</v>
      </c>
      <c r="K3369" s="72">
        <v>0</v>
      </c>
      <c r="L3369" s="72">
        <v>0</v>
      </c>
      <c r="M3369" s="73" t="s">
        <v>3925</v>
      </c>
      <c r="N3369" s="75">
        <f t="shared" si="81"/>
        <v>18488.98</v>
      </c>
    </row>
    <row r="3370" spans="1:14" ht="15" thickBot="1">
      <c r="A3370" s="12">
        <v>3369</v>
      </c>
      <c r="B3370" s="79" t="s">
        <v>4075</v>
      </c>
      <c r="C3370" s="104" t="s">
        <v>4076</v>
      </c>
      <c r="D3370" s="79" t="s">
        <v>4888</v>
      </c>
      <c r="E3370" s="79" t="s">
        <v>4889</v>
      </c>
      <c r="F3370" s="80">
        <v>236</v>
      </c>
      <c r="G3370" s="81" t="s">
        <v>4817</v>
      </c>
      <c r="H3370" s="82" t="s">
        <v>992</v>
      </c>
      <c r="I3370" s="80">
        <v>18</v>
      </c>
      <c r="J3370" s="80">
        <v>18</v>
      </c>
      <c r="K3370" s="80">
        <v>0</v>
      </c>
      <c r="L3370" s="80">
        <v>0</v>
      </c>
      <c r="M3370" s="81" t="s">
        <v>3925</v>
      </c>
      <c r="N3370" s="83">
        <f t="shared" si="81"/>
        <v>36</v>
      </c>
    </row>
    <row r="3371" spans="1:14">
      <c r="A3371" s="12">
        <v>3370</v>
      </c>
      <c r="B3371" s="84" t="s">
        <v>1267</v>
      </c>
      <c r="C3371" s="105" t="s">
        <v>1268</v>
      </c>
      <c r="D3371" s="84" t="s">
        <v>4890</v>
      </c>
      <c r="E3371" s="84" t="s">
        <v>4891</v>
      </c>
      <c r="F3371" s="85">
        <v>11210</v>
      </c>
      <c r="G3371" s="86" t="s">
        <v>4817</v>
      </c>
      <c r="H3371" s="86">
        <v>998346</v>
      </c>
      <c r="I3371" s="85">
        <v>0</v>
      </c>
      <c r="J3371" s="85">
        <v>0</v>
      </c>
      <c r="K3371" s="85">
        <v>1710</v>
      </c>
      <c r="L3371" s="85">
        <v>0</v>
      </c>
      <c r="M3371" s="86" t="s">
        <v>3925</v>
      </c>
      <c r="N3371" s="87">
        <f t="shared" si="81"/>
        <v>1710</v>
      </c>
    </row>
    <row r="3372" spans="1:14">
      <c r="A3372" s="12">
        <v>3371</v>
      </c>
      <c r="B3372" s="71" t="s">
        <v>1267</v>
      </c>
      <c r="C3372" s="42" t="s">
        <v>1268</v>
      </c>
      <c r="D3372" s="71" t="s">
        <v>4892</v>
      </c>
      <c r="E3372" s="71" t="s">
        <v>4891</v>
      </c>
      <c r="F3372" s="72">
        <v>944</v>
      </c>
      <c r="G3372" s="73" t="s">
        <v>4817</v>
      </c>
      <c r="H3372" s="73">
        <v>998346</v>
      </c>
      <c r="I3372" s="72">
        <v>0</v>
      </c>
      <c r="J3372" s="72">
        <v>0</v>
      </c>
      <c r="K3372" s="72">
        <v>144</v>
      </c>
      <c r="L3372" s="72">
        <v>0</v>
      </c>
      <c r="M3372" s="73" t="s">
        <v>3925</v>
      </c>
      <c r="N3372" s="75">
        <f t="shared" si="81"/>
        <v>144</v>
      </c>
    </row>
    <row r="3373" spans="1:14">
      <c r="A3373" s="12">
        <v>3372</v>
      </c>
      <c r="B3373" s="71" t="s">
        <v>4880</v>
      </c>
      <c r="C3373" s="42" t="s">
        <v>4881</v>
      </c>
      <c r="D3373" s="71" t="s">
        <v>4893</v>
      </c>
      <c r="E3373" s="71" t="s">
        <v>4894</v>
      </c>
      <c r="F3373" s="72">
        <v>6018</v>
      </c>
      <c r="G3373" s="73" t="s">
        <v>4817</v>
      </c>
      <c r="H3373" s="77">
        <v>996713</v>
      </c>
      <c r="I3373" s="72">
        <v>459</v>
      </c>
      <c r="J3373" s="72">
        <v>459</v>
      </c>
      <c r="K3373" s="72">
        <v>0</v>
      </c>
      <c r="L3373" s="72">
        <v>0</v>
      </c>
      <c r="M3373" s="73" t="s">
        <v>3925</v>
      </c>
      <c r="N3373" s="75">
        <f t="shared" si="81"/>
        <v>918</v>
      </c>
    </row>
    <row r="3374" spans="1:14">
      <c r="A3374" s="12">
        <v>3373</v>
      </c>
      <c r="B3374" s="71" t="s">
        <v>4880</v>
      </c>
      <c r="C3374" s="42" t="s">
        <v>4881</v>
      </c>
      <c r="D3374" s="71" t="s">
        <v>4895</v>
      </c>
      <c r="E3374" s="71" t="s">
        <v>4896</v>
      </c>
      <c r="F3374" s="72">
        <v>140242.72</v>
      </c>
      <c r="G3374" s="73" t="s">
        <v>4817</v>
      </c>
      <c r="H3374" s="77">
        <v>996713</v>
      </c>
      <c r="I3374" s="72">
        <v>4669.6099999999997</v>
      </c>
      <c r="J3374" s="72">
        <v>4669.6099999999997</v>
      </c>
      <c r="K3374" s="72">
        <v>0</v>
      </c>
      <c r="L3374" s="72">
        <v>0</v>
      </c>
      <c r="M3374" s="73" t="s">
        <v>3925</v>
      </c>
      <c r="N3374" s="75">
        <f t="shared" si="81"/>
        <v>9339.2199999999993</v>
      </c>
    </row>
    <row r="3375" spans="1:14">
      <c r="A3375" s="12">
        <v>3374</v>
      </c>
      <c r="B3375" s="71" t="s">
        <v>1534</v>
      </c>
      <c r="C3375" s="42" t="s">
        <v>1535</v>
      </c>
      <c r="D3375" s="71" t="s">
        <v>4897</v>
      </c>
      <c r="E3375" s="71" t="s">
        <v>4898</v>
      </c>
      <c r="F3375" s="72">
        <v>11210</v>
      </c>
      <c r="G3375" s="73" t="s">
        <v>4817</v>
      </c>
      <c r="H3375" s="74">
        <v>996719</v>
      </c>
      <c r="I3375" s="72">
        <v>0</v>
      </c>
      <c r="J3375" s="72">
        <v>0</v>
      </c>
      <c r="K3375" s="72">
        <v>1710</v>
      </c>
      <c r="L3375" s="72">
        <v>0</v>
      </c>
      <c r="M3375" s="73" t="s">
        <v>3925</v>
      </c>
      <c r="N3375" s="75">
        <f t="shared" si="81"/>
        <v>1710</v>
      </c>
    </row>
    <row r="3376" spans="1:14">
      <c r="A3376" s="12">
        <v>3375</v>
      </c>
      <c r="B3376" s="71" t="s">
        <v>4899</v>
      </c>
      <c r="C3376" s="42" t="s">
        <v>4900</v>
      </c>
      <c r="D3376" s="71" t="s">
        <v>4901</v>
      </c>
      <c r="E3376" s="71" t="s">
        <v>4896</v>
      </c>
      <c r="F3376" s="72">
        <v>283</v>
      </c>
      <c r="G3376" s="73" t="s">
        <v>4817</v>
      </c>
      <c r="H3376" s="77">
        <v>996791</v>
      </c>
      <c r="I3376" s="78">
        <v>7.08</v>
      </c>
      <c r="J3376" s="72">
        <v>7.08</v>
      </c>
      <c r="K3376" s="72">
        <v>0</v>
      </c>
      <c r="L3376" s="72">
        <v>0</v>
      </c>
      <c r="M3376" s="73" t="s">
        <v>4847</v>
      </c>
      <c r="N3376" s="75">
        <f t="shared" si="81"/>
        <v>0</v>
      </c>
    </row>
    <row r="3377" spans="1:14">
      <c r="A3377" s="12">
        <v>3376</v>
      </c>
      <c r="B3377" s="71" t="s">
        <v>4899</v>
      </c>
      <c r="C3377" s="42" t="s">
        <v>4900</v>
      </c>
      <c r="D3377" s="71" t="s">
        <v>4902</v>
      </c>
      <c r="E3377" s="71" t="s">
        <v>4903</v>
      </c>
      <c r="F3377" s="72">
        <v>278</v>
      </c>
      <c r="G3377" s="73" t="s">
        <v>4817</v>
      </c>
      <c r="H3377" s="77">
        <v>996791</v>
      </c>
      <c r="I3377" s="78">
        <v>6.95</v>
      </c>
      <c r="J3377" s="72">
        <v>6.95</v>
      </c>
      <c r="K3377" s="72">
        <v>0</v>
      </c>
      <c r="L3377" s="72">
        <v>0</v>
      </c>
      <c r="M3377" s="73" t="s">
        <v>4847</v>
      </c>
      <c r="N3377" s="75">
        <f t="shared" si="81"/>
        <v>0</v>
      </c>
    </row>
    <row r="3378" spans="1:14">
      <c r="A3378" s="12">
        <v>3377</v>
      </c>
      <c r="B3378" s="71" t="s">
        <v>4843</v>
      </c>
      <c r="C3378" s="42" t="s">
        <v>4844</v>
      </c>
      <c r="D3378" s="71" t="s">
        <v>4904</v>
      </c>
      <c r="E3378" s="71" t="s">
        <v>4905</v>
      </c>
      <c r="F3378" s="72">
        <v>45200</v>
      </c>
      <c r="G3378" s="73" t="s">
        <v>4817</v>
      </c>
      <c r="H3378" s="77">
        <v>996519</v>
      </c>
      <c r="I3378" s="72">
        <v>1130</v>
      </c>
      <c r="J3378" s="72">
        <v>1130</v>
      </c>
      <c r="K3378" s="72">
        <v>0</v>
      </c>
      <c r="L3378" s="72">
        <v>0</v>
      </c>
      <c r="M3378" s="73" t="s">
        <v>3925</v>
      </c>
      <c r="N3378" s="75">
        <f t="shared" si="81"/>
        <v>2260</v>
      </c>
    </row>
    <row r="3379" spans="1:14">
      <c r="A3379" s="12">
        <v>3378</v>
      </c>
      <c r="B3379" s="71" t="s">
        <v>3391</v>
      </c>
      <c r="C3379" s="42" t="s">
        <v>3392</v>
      </c>
      <c r="D3379" s="71" t="s">
        <v>4906</v>
      </c>
      <c r="E3379" s="71" t="s">
        <v>4907</v>
      </c>
      <c r="F3379" s="72">
        <v>4060.67</v>
      </c>
      <c r="G3379" s="73" t="s">
        <v>4817</v>
      </c>
      <c r="H3379" s="74">
        <v>996812</v>
      </c>
      <c r="I3379" s="72">
        <v>309.70999999999998</v>
      </c>
      <c r="J3379" s="72">
        <v>309.70999999999998</v>
      </c>
      <c r="K3379" s="72">
        <v>0</v>
      </c>
      <c r="L3379" s="72">
        <v>0</v>
      </c>
      <c r="M3379" s="73" t="s">
        <v>3925</v>
      </c>
      <c r="N3379" s="75">
        <f t="shared" si="81"/>
        <v>619.41999999999996</v>
      </c>
    </row>
    <row r="3380" spans="1:14">
      <c r="A3380" s="12">
        <v>3379</v>
      </c>
      <c r="B3380" s="71" t="s">
        <v>3391</v>
      </c>
      <c r="C3380" s="42" t="s">
        <v>3392</v>
      </c>
      <c r="D3380" s="71" t="s">
        <v>4908</v>
      </c>
      <c r="E3380" s="71" t="s">
        <v>4909</v>
      </c>
      <c r="F3380" s="72">
        <v>6393.12</v>
      </c>
      <c r="G3380" s="73" t="s">
        <v>4817</v>
      </c>
      <c r="H3380" s="74">
        <v>996812</v>
      </c>
      <c r="I3380" s="72">
        <v>487.61</v>
      </c>
      <c r="J3380" s="72">
        <v>487.61</v>
      </c>
      <c r="K3380" s="72">
        <v>0</v>
      </c>
      <c r="L3380" s="72">
        <v>0</v>
      </c>
      <c r="M3380" s="73" t="s">
        <v>3925</v>
      </c>
      <c r="N3380" s="75">
        <f t="shared" si="81"/>
        <v>975.22</v>
      </c>
    </row>
    <row r="3381" spans="1:14">
      <c r="A3381" s="12">
        <v>3380</v>
      </c>
      <c r="B3381" s="71" t="s">
        <v>4866</v>
      </c>
      <c r="C3381" s="42" t="s">
        <v>4867</v>
      </c>
      <c r="D3381" s="71" t="s">
        <v>4910</v>
      </c>
      <c r="E3381" s="71" t="s">
        <v>4911</v>
      </c>
      <c r="F3381" s="72">
        <v>11033</v>
      </c>
      <c r="G3381" s="74" t="s">
        <v>24</v>
      </c>
      <c r="H3381" s="74">
        <v>48194000</v>
      </c>
      <c r="I3381" s="72">
        <v>841.5</v>
      </c>
      <c r="J3381" s="72">
        <v>841.5</v>
      </c>
      <c r="K3381" s="72">
        <v>0</v>
      </c>
      <c r="L3381" s="72">
        <v>0</v>
      </c>
      <c r="M3381" s="73" t="s">
        <v>3925</v>
      </c>
      <c r="N3381" s="75">
        <f t="shared" si="81"/>
        <v>1683</v>
      </c>
    </row>
    <row r="3382" spans="1:14">
      <c r="A3382" s="12">
        <v>3381</v>
      </c>
      <c r="B3382" s="71" t="s">
        <v>4866</v>
      </c>
      <c r="C3382" s="42" t="s">
        <v>4867</v>
      </c>
      <c r="D3382" s="71" t="s">
        <v>4912</v>
      </c>
      <c r="E3382" s="71" t="s">
        <v>4894</v>
      </c>
      <c r="F3382" s="72">
        <v>117859</v>
      </c>
      <c r="G3382" s="74" t="s">
        <v>24</v>
      </c>
      <c r="H3382" s="74">
        <v>48194000</v>
      </c>
      <c r="I3382" s="72">
        <v>8989.25</v>
      </c>
      <c r="J3382" s="72">
        <v>8989.25</v>
      </c>
      <c r="K3382" s="72">
        <v>0</v>
      </c>
      <c r="L3382" s="72">
        <v>0</v>
      </c>
      <c r="M3382" s="73" t="s">
        <v>3925</v>
      </c>
      <c r="N3382" s="75">
        <f t="shared" si="81"/>
        <v>17978.5</v>
      </c>
    </row>
    <row r="3383" spans="1:14">
      <c r="A3383" s="12">
        <v>3382</v>
      </c>
      <c r="B3383" s="71" t="s">
        <v>4866</v>
      </c>
      <c r="C3383" s="42" t="s">
        <v>4867</v>
      </c>
      <c r="D3383" s="71" t="s">
        <v>4913</v>
      </c>
      <c r="E3383" s="71" t="s">
        <v>4894</v>
      </c>
      <c r="F3383" s="72">
        <v>88500</v>
      </c>
      <c r="G3383" s="74" t="s">
        <v>24</v>
      </c>
      <c r="H3383" s="74">
        <v>48194000</v>
      </c>
      <c r="I3383" s="72">
        <v>6750</v>
      </c>
      <c r="J3383" s="72">
        <v>6750</v>
      </c>
      <c r="K3383" s="72">
        <v>0</v>
      </c>
      <c r="L3383" s="72">
        <v>0</v>
      </c>
      <c r="M3383" s="73" t="s">
        <v>3925</v>
      </c>
      <c r="N3383" s="75">
        <f t="shared" si="81"/>
        <v>13500</v>
      </c>
    </row>
    <row r="3384" spans="1:14">
      <c r="A3384" s="12">
        <v>3383</v>
      </c>
      <c r="B3384" s="71" t="s">
        <v>4866</v>
      </c>
      <c r="C3384" s="42" t="s">
        <v>4867</v>
      </c>
      <c r="D3384" s="71" t="s">
        <v>4914</v>
      </c>
      <c r="E3384" s="71" t="s">
        <v>4915</v>
      </c>
      <c r="F3384" s="72">
        <v>121245</v>
      </c>
      <c r="G3384" s="74" t="s">
        <v>24</v>
      </c>
      <c r="H3384" s="74">
        <v>48194000</v>
      </c>
      <c r="I3384" s="72">
        <v>9247.5</v>
      </c>
      <c r="J3384" s="72">
        <v>9247.5</v>
      </c>
      <c r="K3384" s="72">
        <v>0</v>
      </c>
      <c r="L3384" s="72">
        <v>0</v>
      </c>
      <c r="M3384" s="73" t="s">
        <v>3925</v>
      </c>
      <c r="N3384" s="75">
        <f t="shared" si="81"/>
        <v>18495</v>
      </c>
    </row>
    <row r="3385" spans="1:14">
      <c r="A3385" s="12">
        <v>3384</v>
      </c>
      <c r="B3385" s="71" t="s">
        <v>4866</v>
      </c>
      <c r="C3385" s="42" t="s">
        <v>4867</v>
      </c>
      <c r="D3385" s="71" t="s">
        <v>4916</v>
      </c>
      <c r="E3385" s="71" t="s">
        <v>4917</v>
      </c>
      <c r="F3385" s="72">
        <v>38203</v>
      </c>
      <c r="G3385" s="74" t="s">
        <v>24</v>
      </c>
      <c r="H3385" s="74">
        <v>48194000</v>
      </c>
      <c r="I3385" s="72">
        <v>2913.75</v>
      </c>
      <c r="J3385" s="72">
        <v>2913.75</v>
      </c>
      <c r="K3385" s="72">
        <v>0</v>
      </c>
      <c r="L3385" s="72">
        <v>0</v>
      </c>
      <c r="M3385" s="73" t="s">
        <v>3925</v>
      </c>
      <c r="N3385" s="75">
        <f t="shared" si="81"/>
        <v>5827.5</v>
      </c>
    </row>
    <row r="3386" spans="1:14">
      <c r="A3386" s="12">
        <v>3385</v>
      </c>
      <c r="B3386" s="71" t="s">
        <v>4866</v>
      </c>
      <c r="C3386" s="42" t="s">
        <v>4867</v>
      </c>
      <c r="D3386" s="71" t="s">
        <v>4918</v>
      </c>
      <c r="E3386" s="71" t="s">
        <v>4917</v>
      </c>
      <c r="F3386" s="72">
        <v>4318.8</v>
      </c>
      <c r="G3386" s="74" t="s">
        <v>24</v>
      </c>
      <c r="H3386" s="74">
        <v>48194000</v>
      </c>
      <c r="I3386" s="72">
        <v>329.4</v>
      </c>
      <c r="J3386" s="72">
        <v>329.4</v>
      </c>
      <c r="K3386" s="72">
        <v>0</v>
      </c>
      <c r="L3386" s="72">
        <v>0</v>
      </c>
      <c r="M3386" s="73" t="s">
        <v>3925</v>
      </c>
      <c r="N3386" s="75">
        <f t="shared" si="81"/>
        <v>658.8</v>
      </c>
    </row>
    <row r="3387" spans="1:14">
      <c r="A3387" s="12">
        <v>3386</v>
      </c>
      <c r="B3387" s="71" t="s">
        <v>4866</v>
      </c>
      <c r="C3387" s="42" t="s">
        <v>4867</v>
      </c>
      <c r="D3387" s="71" t="s">
        <v>4919</v>
      </c>
      <c r="E3387" s="71" t="s">
        <v>4920</v>
      </c>
      <c r="F3387" s="72">
        <v>65317.43</v>
      </c>
      <c r="G3387" s="74" t="s">
        <v>24</v>
      </c>
      <c r="H3387" s="74">
        <v>48194000</v>
      </c>
      <c r="I3387" s="72">
        <v>4981.84</v>
      </c>
      <c r="J3387" s="72">
        <v>4981.84</v>
      </c>
      <c r="K3387" s="72">
        <v>0</v>
      </c>
      <c r="L3387" s="72">
        <v>0</v>
      </c>
      <c r="M3387" s="73" t="s">
        <v>3925</v>
      </c>
      <c r="N3387" s="75">
        <f t="shared" si="81"/>
        <v>9963.68</v>
      </c>
    </row>
    <row r="3388" spans="1:14">
      <c r="A3388" s="12">
        <v>3387</v>
      </c>
      <c r="B3388" s="71" t="s">
        <v>528</v>
      </c>
      <c r="C3388" s="42" t="s">
        <v>529</v>
      </c>
      <c r="D3388" s="71" t="s">
        <v>4921</v>
      </c>
      <c r="E3388" s="71" t="s">
        <v>4922</v>
      </c>
      <c r="F3388" s="72">
        <v>3697.84</v>
      </c>
      <c r="G3388" s="73" t="s">
        <v>4817</v>
      </c>
      <c r="H3388" s="74">
        <v>9971</v>
      </c>
      <c r="I3388" s="72">
        <v>282.04000000000002</v>
      </c>
      <c r="J3388" s="72">
        <v>282.04000000000002</v>
      </c>
      <c r="K3388" s="72">
        <v>0</v>
      </c>
      <c r="L3388" s="72">
        <v>0</v>
      </c>
      <c r="M3388" s="73" t="s">
        <v>3925</v>
      </c>
      <c r="N3388" s="75">
        <f t="shared" si="81"/>
        <v>564.08000000000004</v>
      </c>
    </row>
    <row r="3389" spans="1:14">
      <c r="A3389" s="12">
        <v>3388</v>
      </c>
      <c r="B3389" s="71" t="s">
        <v>528</v>
      </c>
      <c r="C3389" s="42" t="s">
        <v>529</v>
      </c>
      <c r="D3389" s="71" t="s">
        <v>4923</v>
      </c>
      <c r="E3389" s="71" t="s">
        <v>4924</v>
      </c>
      <c r="F3389" s="72">
        <v>10025.23</v>
      </c>
      <c r="G3389" s="73" t="s">
        <v>4817</v>
      </c>
      <c r="H3389" s="74">
        <v>9971</v>
      </c>
      <c r="I3389" s="72">
        <v>764.64</v>
      </c>
      <c r="J3389" s="72">
        <v>764.64</v>
      </c>
      <c r="K3389" s="72">
        <v>0</v>
      </c>
      <c r="L3389" s="72">
        <v>0</v>
      </c>
      <c r="M3389" s="73" t="s">
        <v>3925</v>
      </c>
      <c r="N3389" s="75">
        <f t="shared" si="81"/>
        <v>1529.28</v>
      </c>
    </row>
    <row r="3390" spans="1:14">
      <c r="A3390" s="12">
        <v>3389</v>
      </c>
      <c r="B3390" s="71" t="s">
        <v>528</v>
      </c>
      <c r="C3390" s="42" t="s">
        <v>529</v>
      </c>
      <c r="D3390" s="71" t="s">
        <v>4925</v>
      </c>
      <c r="E3390" s="71" t="s">
        <v>4926</v>
      </c>
      <c r="F3390" s="72">
        <v>7877.4</v>
      </c>
      <c r="G3390" s="73" t="s">
        <v>4817</v>
      </c>
      <c r="H3390" s="74">
        <v>9971</v>
      </c>
      <c r="I3390" s="72">
        <v>600.82000000000005</v>
      </c>
      <c r="J3390" s="72">
        <v>600.82000000000005</v>
      </c>
      <c r="K3390" s="72">
        <v>0</v>
      </c>
      <c r="L3390" s="72">
        <v>0</v>
      </c>
      <c r="M3390" s="73" t="s">
        <v>3925</v>
      </c>
      <c r="N3390" s="75">
        <f t="shared" si="81"/>
        <v>1201.6400000000001</v>
      </c>
    </row>
    <row r="3391" spans="1:14">
      <c r="A3391" s="12">
        <v>3390</v>
      </c>
      <c r="B3391" s="71" t="s">
        <v>528</v>
      </c>
      <c r="C3391" s="42" t="s">
        <v>529</v>
      </c>
      <c r="D3391" s="71" t="s">
        <v>4927</v>
      </c>
      <c r="E3391" s="71" t="s">
        <v>4926</v>
      </c>
      <c r="F3391" s="72">
        <v>3384.87</v>
      </c>
      <c r="G3391" s="73" t="s">
        <v>4817</v>
      </c>
      <c r="H3391" s="74">
        <v>9971</v>
      </c>
      <c r="I3391" s="72">
        <v>258.17</v>
      </c>
      <c r="J3391" s="72">
        <v>258.17</v>
      </c>
      <c r="K3391" s="72">
        <v>0</v>
      </c>
      <c r="L3391" s="72">
        <v>0</v>
      </c>
      <c r="M3391" s="73" t="s">
        <v>3925</v>
      </c>
      <c r="N3391" s="75">
        <f t="shared" si="81"/>
        <v>516.34</v>
      </c>
    </row>
    <row r="3392" spans="1:14">
      <c r="A3392" s="12">
        <v>3391</v>
      </c>
      <c r="B3392" s="71" t="s">
        <v>528</v>
      </c>
      <c r="C3392" s="42" t="s">
        <v>529</v>
      </c>
      <c r="D3392" s="71" t="s">
        <v>4928</v>
      </c>
      <c r="E3392" s="71" t="s">
        <v>4926</v>
      </c>
      <c r="F3392" s="72">
        <v>6997.77</v>
      </c>
      <c r="G3392" s="73" t="s">
        <v>4817</v>
      </c>
      <c r="H3392" s="74">
        <v>9971</v>
      </c>
      <c r="I3392" s="72">
        <v>533.73</v>
      </c>
      <c r="J3392" s="72">
        <v>533.73</v>
      </c>
      <c r="K3392" s="72">
        <v>0</v>
      </c>
      <c r="L3392" s="72">
        <v>0</v>
      </c>
      <c r="M3392" s="73" t="s">
        <v>3925</v>
      </c>
      <c r="N3392" s="75">
        <f t="shared" si="81"/>
        <v>1067.46</v>
      </c>
    </row>
    <row r="3393" spans="1:14">
      <c r="A3393" s="12">
        <v>3392</v>
      </c>
      <c r="B3393" s="71" t="s">
        <v>528</v>
      </c>
      <c r="C3393" s="42" t="s">
        <v>529</v>
      </c>
      <c r="D3393" s="71" t="s">
        <v>4929</v>
      </c>
      <c r="E3393" s="71" t="s">
        <v>4905</v>
      </c>
      <c r="F3393" s="72">
        <v>29.5</v>
      </c>
      <c r="G3393" s="73" t="s">
        <v>4817</v>
      </c>
      <c r="H3393" s="74">
        <v>9971</v>
      </c>
      <c r="I3393" s="72">
        <v>2.25</v>
      </c>
      <c r="J3393" s="72">
        <v>2.25</v>
      </c>
      <c r="K3393" s="72">
        <v>0</v>
      </c>
      <c r="L3393" s="72">
        <v>0</v>
      </c>
      <c r="M3393" s="73" t="s">
        <v>3925</v>
      </c>
      <c r="N3393" s="75">
        <f t="shared" si="81"/>
        <v>4.5</v>
      </c>
    </row>
    <row r="3394" spans="1:14">
      <c r="A3394" s="12">
        <v>3393</v>
      </c>
      <c r="B3394" s="71" t="s">
        <v>917</v>
      </c>
      <c r="C3394" s="42" t="s">
        <v>918</v>
      </c>
      <c r="D3394" s="71" t="s">
        <v>4930</v>
      </c>
      <c r="E3394" s="71" t="s">
        <v>4905</v>
      </c>
      <c r="F3394" s="72">
        <v>5432.77</v>
      </c>
      <c r="G3394" s="73" t="s">
        <v>4817</v>
      </c>
      <c r="H3394" s="74">
        <v>998399</v>
      </c>
      <c r="I3394" s="72">
        <v>414.36</v>
      </c>
      <c r="J3394" s="72">
        <v>414.36</v>
      </c>
      <c r="K3394" s="72">
        <v>0</v>
      </c>
      <c r="L3394" s="72">
        <v>0</v>
      </c>
      <c r="M3394" s="73" t="s">
        <v>3925</v>
      </c>
      <c r="N3394" s="75">
        <f t="shared" si="81"/>
        <v>828.72</v>
      </c>
    </row>
    <row r="3395" spans="1:14">
      <c r="A3395" s="12">
        <v>3394</v>
      </c>
      <c r="B3395" s="71" t="s">
        <v>917</v>
      </c>
      <c r="C3395" s="42" t="s">
        <v>918</v>
      </c>
      <c r="D3395" s="71" t="s">
        <v>4931</v>
      </c>
      <c r="E3395" s="71" t="s">
        <v>4915</v>
      </c>
      <c r="F3395" s="72">
        <v>2230.1999999999998</v>
      </c>
      <c r="G3395" s="73" t="s">
        <v>4817</v>
      </c>
      <c r="H3395" s="74">
        <v>998399</v>
      </c>
      <c r="I3395" s="72">
        <v>170.1</v>
      </c>
      <c r="J3395" s="72">
        <v>170.1</v>
      </c>
      <c r="K3395" s="72">
        <v>0</v>
      </c>
      <c r="L3395" s="72">
        <v>0</v>
      </c>
      <c r="M3395" s="73" t="s">
        <v>3925</v>
      </c>
      <c r="N3395" s="75">
        <f t="shared" si="81"/>
        <v>340.2</v>
      </c>
    </row>
    <row r="3396" spans="1:14">
      <c r="A3396" s="12">
        <v>3395</v>
      </c>
      <c r="B3396" s="71" t="s">
        <v>4012</v>
      </c>
      <c r="C3396" s="42" t="s">
        <v>4013</v>
      </c>
      <c r="D3396" s="71" t="s">
        <v>4932</v>
      </c>
      <c r="E3396" s="71" t="s">
        <v>4905</v>
      </c>
      <c r="F3396" s="72">
        <v>2000</v>
      </c>
      <c r="G3396" s="73" t="s">
        <v>4817</v>
      </c>
      <c r="H3396" s="88" t="s">
        <v>642</v>
      </c>
      <c r="I3396" s="72">
        <v>152.54</v>
      </c>
      <c r="J3396" s="72">
        <v>152.54</v>
      </c>
      <c r="K3396" s="72">
        <v>0</v>
      </c>
      <c r="L3396" s="72">
        <v>0</v>
      </c>
      <c r="M3396" s="73" t="s">
        <v>3925</v>
      </c>
      <c r="N3396" s="75">
        <f t="shared" si="81"/>
        <v>305.08</v>
      </c>
    </row>
    <row r="3397" spans="1:14">
      <c r="A3397" s="12">
        <v>3396</v>
      </c>
      <c r="B3397" s="71" t="s">
        <v>4933</v>
      </c>
      <c r="C3397" s="42" t="s">
        <v>4934</v>
      </c>
      <c r="D3397" s="71" t="s">
        <v>4935</v>
      </c>
      <c r="E3397" s="71" t="s">
        <v>4936</v>
      </c>
      <c r="F3397" s="72">
        <v>30828</v>
      </c>
      <c r="G3397" s="73" t="s">
        <v>4817</v>
      </c>
      <c r="H3397" s="77">
        <v>440362</v>
      </c>
      <c r="I3397" s="78">
        <v>734</v>
      </c>
      <c r="J3397" s="72">
        <v>734</v>
      </c>
      <c r="K3397" s="72">
        <v>0</v>
      </c>
      <c r="L3397" s="72">
        <v>0</v>
      </c>
      <c r="M3397" s="73" t="s">
        <v>3925</v>
      </c>
      <c r="N3397" s="75">
        <f t="shared" si="81"/>
        <v>1468</v>
      </c>
    </row>
    <row r="3398" spans="1:14">
      <c r="A3398" s="12">
        <v>3397</v>
      </c>
      <c r="B3398" s="71" t="s">
        <v>4937</v>
      </c>
      <c r="C3398" s="42" t="s">
        <v>4938</v>
      </c>
      <c r="D3398" s="71" t="s">
        <v>4939</v>
      </c>
      <c r="E3398" s="71" t="s">
        <v>4940</v>
      </c>
      <c r="F3398" s="72">
        <v>29500</v>
      </c>
      <c r="G3398" s="73" t="s">
        <v>4817</v>
      </c>
      <c r="H3398" s="77">
        <v>997136</v>
      </c>
      <c r="I3398" s="72">
        <v>2250</v>
      </c>
      <c r="J3398" s="72">
        <v>2250</v>
      </c>
      <c r="K3398" s="72">
        <v>0</v>
      </c>
      <c r="L3398" s="72">
        <v>0</v>
      </c>
      <c r="M3398" s="73" t="s">
        <v>3925</v>
      </c>
      <c r="N3398" s="75">
        <f t="shared" si="81"/>
        <v>4500</v>
      </c>
    </row>
    <row r="3399" spans="1:14">
      <c r="A3399" s="12">
        <v>3398</v>
      </c>
      <c r="B3399" s="71" t="s">
        <v>4941</v>
      </c>
      <c r="C3399" s="42" t="s">
        <v>4942</v>
      </c>
      <c r="D3399" s="71" t="s">
        <v>4943</v>
      </c>
      <c r="E3399" s="71" t="s">
        <v>4924</v>
      </c>
      <c r="F3399" s="72">
        <v>-2060100</v>
      </c>
      <c r="G3399" s="73" t="s">
        <v>24</v>
      </c>
      <c r="H3399" s="73">
        <v>100630</v>
      </c>
      <c r="I3399" s="72">
        <v>0</v>
      </c>
      <c r="J3399" s="72">
        <v>0</v>
      </c>
      <c r="K3399" s="72">
        <v>0</v>
      </c>
      <c r="L3399" s="72">
        <v>0</v>
      </c>
      <c r="M3399" s="73" t="s">
        <v>3925</v>
      </c>
      <c r="N3399" s="75">
        <f t="shared" si="81"/>
        <v>0</v>
      </c>
    </row>
    <row r="3400" spans="1:14">
      <c r="A3400" s="12">
        <v>3399</v>
      </c>
      <c r="B3400" s="71" t="s">
        <v>4944</v>
      </c>
      <c r="C3400" s="42" t="s">
        <v>4945</v>
      </c>
      <c r="D3400" s="71" t="s">
        <v>4946</v>
      </c>
      <c r="E3400" s="71" t="s">
        <v>4947</v>
      </c>
      <c r="F3400" s="72">
        <v>31860</v>
      </c>
      <c r="G3400" s="73" t="s">
        <v>4817</v>
      </c>
      <c r="H3400" s="77">
        <v>996713</v>
      </c>
      <c r="I3400" s="72">
        <v>0</v>
      </c>
      <c r="J3400" s="72">
        <v>0</v>
      </c>
      <c r="K3400" s="72">
        <v>4860</v>
      </c>
      <c r="L3400" s="72">
        <v>0</v>
      </c>
      <c r="M3400" s="73" t="s">
        <v>3925</v>
      </c>
      <c r="N3400" s="75">
        <f t="shared" si="81"/>
        <v>4860</v>
      </c>
    </row>
    <row r="3401" spans="1:14">
      <c r="A3401" s="12">
        <v>3400</v>
      </c>
      <c r="B3401" s="71" t="s">
        <v>4899</v>
      </c>
      <c r="C3401" s="42" t="s">
        <v>4900</v>
      </c>
      <c r="D3401" s="71" t="s">
        <v>4948</v>
      </c>
      <c r="E3401" s="71" t="s">
        <v>4949</v>
      </c>
      <c r="F3401" s="72">
        <v>339</v>
      </c>
      <c r="G3401" s="73" t="s">
        <v>4817</v>
      </c>
      <c r="H3401" s="77">
        <v>996791</v>
      </c>
      <c r="I3401" s="78">
        <v>25.86</v>
      </c>
      <c r="J3401" s="72">
        <v>25.86</v>
      </c>
      <c r="K3401" s="72">
        <v>0</v>
      </c>
      <c r="L3401" s="72">
        <v>0</v>
      </c>
      <c r="M3401" s="73" t="s">
        <v>4847</v>
      </c>
      <c r="N3401" s="75">
        <f t="shared" ref="N3401:N3464" si="82">IF(M3401="YES",K3401+ I3401+J3401, 0)</f>
        <v>0</v>
      </c>
    </row>
    <row r="3402" spans="1:14">
      <c r="A3402" s="12">
        <v>3401</v>
      </c>
      <c r="B3402" s="71" t="s">
        <v>4899</v>
      </c>
      <c r="C3402" s="42" t="s">
        <v>4900</v>
      </c>
      <c r="D3402" s="71" t="s">
        <v>4950</v>
      </c>
      <c r="E3402" s="71" t="s">
        <v>4951</v>
      </c>
      <c r="F3402" s="72">
        <v>209.96</v>
      </c>
      <c r="G3402" s="73" t="s">
        <v>4817</v>
      </c>
      <c r="H3402" s="77">
        <v>996791</v>
      </c>
      <c r="I3402" s="78">
        <v>16.010000000000002</v>
      </c>
      <c r="J3402" s="72">
        <v>16.010000000000002</v>
      </c>
      <c r="K3402" s="72">
        <v>0</v>
      </c>
      <c r="L3402" s="72">
        <v>0</v>
      </c>
      <c r="M3402" s="73" t="s">
        <v>4847</v>
      </c>
      <c r="N3402" s="75">
        <f t="shared" si="82"/>
        <v>0</v>
      </c>
    </row>
    <row r="3403" spans="1:14">
      <c r="A3403" s="12">
        <v>3402</v>
      </c>
      <c r="B3403" s="71" t="s">
        <v>4899</v>
      </c>
      <c r="C3403" s="42" t="s">
        <v>4900</v>
      </c>
      <c r="D3403" s="71" t="s">
        <v>4952</v>
      </c>
      <c r="E3403" s="71" t="s">
        <v>4953</v>
      </c>
      <c r="F3403" s="72">
        <v>260.99</v>
      </c>
      <c r="G3403" s="73" t="s">
        <v>4817</v>
      </c>
      <c r="H3403" s="77">
        <v>996791</v>
      </c>
      <c r="I3403" s="78">
        <v>19.91</v>
      </c>
      <c r="J3403" s="72">
        <v>19.91</v>
      </c>
      <c r="K3403" s="72">
        <v>0</v>
      </c>
      <c r="L3403" s="72">
        <v>0</v>
      </c>
      <c r="M3403" s="73" t="s">
        <v>4847</v>
      </c>
      <c r="N3403" s="75">
        <f t="shared" si="82"/>
        <v>0</v>
      </c>
    </row>
    <row r="3404" spans="1:14">
      <c r="A3404" s="12">
        <v>3403</v>
      </c>
      <c r="B3404" s="71" t="s">
        <v>528</v>
      </c>
      <c r="C3404" s="42" t="s">
        <v>529</v>
      </c>
      <c r="D3404" s="71" t="s">
        <v>4954</v>
      </c>
      <c r="E3404" s="71" t="s">
        <v>4955</v>
      </c>
      <c r="F3404" s="72">
        <v>7404.03</v>
      </c>
      <c r="G3404" s="73" t="s">
        <v>4817</v>
      </c>
      <c r="H3404" s="74">
        <v>9971</v>
      </c>
      <c r="I3404" s="78">
        <v>564.71</v>
      </c>
      <c r="J3404" s="72">
        <v>564.71</v>
      </c>
      <c r="K3404" s="72">
        <v>0</v>
      </c>
      <c r="L3404" s="72">
        <v>0</v>
      </c>
      <c r="M3404" s="73" t="s">
        <v>4847</v>
      </c>
      <c r="N3404" s="75">
        <f t="shared" si="82"/>
        <v>0</v>
      </c>
    </row>
    <row r="3405" spans="1:14">
      <c r="A3405" s="12">
        <v>3404</v>
      </c>
      <c r="B3405" s="71" t="s">
        <v>528</v>
      </c>
      <c r="C3405" s="42" t="s">
        <v>529</v>
      </c>
      <c r="D3405" s="71" t="s">
        <v>4956</v>
      </c>
      <c r="E3405" s="71" t="s">
        <v>4957</v>
      </c>
      <c r="F3405" s="72">
        <v>12479.51</v>
      </c>
      <c r="G3405" s="73" t="s">
        <v>4817</v>
      </c>
      <c r="H3405" s="74">
        <v>9971</v>
      </c>
      <c r="I3405" s="78">
        <v>951.83</v>
      </c>
      <c r="J3405" s="72">
        <v>951.83</v>
      </c>
      <c r="K3405" s="72">
        <v>0</v>
      </c>
      <c r="L3405" s="72">
        <v>0</v>
      </c>
      <c r="M3405" s="73" t="s">
        <v>4847</v>
      </c>
      <c r="N3405" s="75">
        <f t="shared" si="82"/>
        <v>0</v>
      </c>
    </row>
    <row r="3406" spans="1:14">
      <c r="A3406" s="12">
        <v>3405</v>
      </c>
      <c r="B3406" s="71" t="s">
        <v>528</v>
      </c>
      <c r="C3406" s="42" t="s">
        <v>529</v>
      </c>
      <c r="D3406" s="71" t="s">
        <v>4958</v>
      </c>
      <c r="E3406" s="71" t="s">
        <v>4959</v>
      </c>
      <c r="F3406" s="72">
        <v>590</v>
      </c>
      <c r="G3406" s="73" t="s">
        <v>4817</v>
      </c>
      <c r="H3406" s="74">
        <v>9971</v>
      </c>
      <c r="I3406" s="78">
        <v>45</v>
      </c>
      <c r="J3406" s="72">
        <v>45</v>
      </c>
      <c r="K3406" s="72">
        <v>0</v>
      </c>
      <c r="L3406" s="72">
        <v>0</v>
      </c>
      <c r="M3406" s="73" t="s">
        <v>4847</v>
      </c>
      <c r="N3406" s="75">
        <f t="shared" si="82"/>
        <v>0</v>
      </c>
    </row>
    <row r="3407" spans="1:14">
      <c r="A3407" s="12">
        <v>3406</v>
      </c>
      <c r="B3407" s="71" t="s">
        <v>528</v>
      </c>
      <c r="C3407" s="42" t="s">
        <v>529</v>
      </c>
      <c r="D3407" s="71" t="s">
        <v>4960</v>
      </c>
      <c r="E3407" s="71" t="s">
        <v>4959</v>
      </c>
      <c r="F3407" s="72">
        <v>5.9</v>
      </c>
      <c r="G3407" s="73" t="s">
        <v>4817</v>
      </c>
      <c r="H3407" s="74">
        <v>9971</v>
      </c>
      <c r="I3407" s="78">
        <v>0.45</v>
      </c>
      <c r="J3407" s="72">
        <v>0.45</v>
      </c>
      <c r="K3407" s="72">
        <v>0</v>
      </c>
      <c r="L3407" s="72">
        <v>0</v>
      </c>
      <c r="M3407" s="73" t="s">
        <v>4847</v>
      </c>
      <c r="N3407" s="75">
        <f t="shared" si="82"/>
        <v>0</v>
      </c>
    </row>
    <row r="3408" spans="1:14">
      <c r="A3408" s="12">
        <v>3407</v>
      </c>
      <c r="B3408" s="71" t="s">
        <v>4822</v>
      </c>
      <c r="C3408" s="42" t="s">
        <v>4823</v>
      </c>
      <c r="D3408" s="71" t="s">
        <v>4961</v>
      </c>
      <c r="E3408" s="71" t="s">
        <v>4959</v>
      </c>
      <c r="F3408" s="72">
        <v>6313</v>
      </c>
      <c r="G3408" s="73" t="s">
        <v>4817</v>
      </c>
      <c r="H3408" s="76" t="s">
        <v>4826</v>
      </c>
      <c r="I3408" s="72">
        <v>481.5</v>
      </c>
      <c r="J3408" s="72">
        <v>481.5</v>
      </c>
      <c r="K3408" s="72">
        <v>0</v>
      </c>
      <c r="L3408" s="72">
        <v>0</v>
      </c>
      <c r="M3408" s="73" t="s">
        <v>3925</v>
      </c>
      <c r="N3408" s="75">
        <f t="shared" si="82"/>
        <v>963</v>
      </c>
    </row>
    <row r="3409" spans="1:14">
      <c r="A3409" s="12">
        <v>3408</v>
      </c>
      <c r="B3409" s="71" t="s">
        <v>4822</v>
      </c>
      <c r="C3409" s="42" t="s">
        <v>4823</v>
      </c>
      <c r="D3409" s="71" t="s">
        <v>4962</v>
      </c>
      <c r="E3409" s="71" t="s">
        <v>4955</v>
      </c>
      <c r="F3409" s="72">
        <v>4720</v>
      </c>
      <c r="G3409" s="73" t="s">
        <v>4817</v>
      </c>
      <c r="H3409" s="76" t="s">
        <v>4826</v>
      </c>
      <c r="I3409" s="72">
        <v>360</v>
      </c>
      <c r="J3409" s="72">
        <v>360</v>
      </c>
      <c r="K3409" s="72">
        <v>0</v>
      </c>
      <c r="L3409" s="72">
        <v>0</v>
      </c>
      <c r="M3409" s="73" t="s">
        <v>3925</v>
      </c>
      <c r="N3409" s="75">
        <f t="shared" si="82"/>
        <v>720</v>
      </c>
    </row>
    <row r="3410" spans="1:14">
      <c r="A3410" s="12">
        <v>3409</v>
      </c>
      <c r="B3410" s="71" t="s">
        <v>4818</v>
      </c>
      <c r="C3410" s="42" t="s">
        <v>4819</v>
      </c>
      <c r="D3410" s="71" t="s">
        <v>4963</v>
      </c>
      <c r="E3410" s="71" t="s">
        <v>4964</v>
      </c>
      <c r="F3410" s="72">
        <v>2124</v>
      </c>
      <c r="G3410" s="73" t="s">
        <v>4817</v>
      </c>
      <c r="H3410" s="89" t="s">
        <v>4965</v>
      </c>
      <c r="I3410" s="72">
        <v>162</v>
      </c>
      <c r="J3410" s="72">
        <v>162</v>
      </c>
      <c r="K3410" s="72">
        <v>0</v>
      </c>
      <c r="L3410" s="72">
        <v>0</v>
      </c>
      <c r="M3410" s="73" t="s">
        <v>3925</v>
      </c>
      <c r="N3410" s="75">
        <f t="shared" si="82"/>
        <v>324</v>
      </c>
    </row>
    <row r="3411" spans="1:14">
      <c r="A3411" s="12">
        <v>3410</v>
      </c>
      <c r="B3411" s="71" t="s">
        <v>4966</v>
      </c>
      <c r="C3411" s="42" t="s">
        <v>4967</v>
      </c>
      <c r="D3411" s="71" t="s">
        <v>4968</v>
      </c>
      <c r="E3411" s="71" t="s">
        <v>4969</v>
      </c>
      <c r="F3411" s="72">
        <v>23010</v>
      </c>
      <c r="G3411" s="73" t="s">
        <v>4970</v>
      </c>
      <c r="H3411" s="74">
        <v>8422</v>
      </c>
      <c r="I3411" s="78">
        <v>1755</v>
      </c>
      <c r="J3411" s="72">
        <v>1755</v>
      </c>
      <c r="K3411" s="72">
        <v>0</v>
      </c>
      <c r="L3411" s="72">
        <v>0</v>
      </c>
      <c r="M3411" s="73" t="s">
        <v>4847</v>
      </c>
      <c r="N3411" s="75">
        <f t="shared" si="82"/>
        <v>0</v>
      </c>
    </row>
    <row r="3412" spans="1:14">
      <c r="A3412" s="12">
        <v>3411</v>
      </c>
      <c r="B3412" s="71" t="s">
        <v>4971</v>
      </c>
      <c r="C3412" s="42" t="s">
        <v>4972</v>
      </c>
      <c r="D3412" s="71" t="s">
        <v>4973</v>
      </c>
      <c r="E3412" s="71" t="s">
        <v>4953</v>
      </c>
      <c r="F3412" s="72">
        <v>13282.08</v>
      </c>
      <c r="G3412" s="73" t="s">
        <v>4817</v>
      </c>
      <c r="H3412" s="73">
        <v>996711</v>
      </c>
      <c r="I3412" s="72">
        <v>0</v>
      </c>
      <c r="J3412" s="72">
        <v>0</v>
      </c>
      <c r="K3412" s="72">
        <v>2026.08</v>
      </c>
      <c r="L3412" s="72">
        <v>0</v>
      </c>
      <c r="M3412" s="73" t="s">
        <v>3925</v>
      </c>
      <c r="N3412" s="75">
        <f t="shared" si="82"/>
        <v>2026.08</v>
      </c>
    </row>
    <row r="3413" spans="1:14">
      <c r="A3413" s="12">
        <v>3412</v>
      </c>
      <c r="B3413" s="71" t="s">
        <v>4877</v>
      </c>
      <c r="C3413" s="42" t="s">
        <v>4878</v>
      </c>
      <c r="D3413" s="71" t="s">
        <v>4974</v>
      </c>
      <c r="E3413" s="71" t="s">
        <v>4951</v>
      </c>
      <c r="F3413" s="72">
        <v>236</v>
      </c>
      <c r="G3413" s="73" t="s">
        <v>4817</v>
      </c>
      <c r="H3413" s="74">
        <v>996812</v>
      </c>
      <c r="I3413" s="72">
        <v>18</v>
      </c>
      <c r="J3413" s="72">
        <v>18</v>
      </c>
      <c r="K3413" s="72">
        <v>0</v>
      </c>
      <c r="L3413" s="72">
        <v>0</v>
      </c>
      <c r="M3413" s="73" t="s">
        <v>3925</v>
      </c>
      <c r="N3413" s="75">
        <f t="shared" si="82"/>
        <v>36</v>
      </c>
    </row>
    <row r="3414" spans="1:14">
      <c r="A3414" s="12">
        <v>3413</v>
      </c>
      <c r="B3414" s="71" t="s">
        <v>4877</v>
      </c>
      <c r="C3414" s="42" t="s">
        <v>4878</v>
      </c>
      <c r="D3414" s="71" t="s">
        <v>4975</v>
      </c>
      <c r="E3414" s="71" t="s">
        <v>4964</v>
      </c>
      <c r="F3414" s="72">
        <v>236</v>
      </c>
      <c r="G3414" s="73" t="s">
        <v>4817</v>
      </c>
      <c r="H3414" s="74">
        <v>996812</v>
      </c>
      <c r="I3414" s="72">
        <v>18</v>
      </c>
      <c r="J3414" s="72">
        <v>18</v>
      </c>
      <c r="K3414" s="72">
        <v>0</v>
      </c>
      <c r="L3414" s="72">
        <v>0</v>
      </c>
      <c r="M3414" s="73" t="s">
        <v>3925</v>
      </c>
      <c r="N3414" s="75">
        <f t="shared" si="82"/>
        <v>36</v>
      </c>
    </row>
    <row r="3415" spans="1:14">
      <c r="A3415" s="12">
        <v>3414</v>
      </c>
      <c r="B3415" s="71" t="s">
        <v>1534</v>
      </c>
      <c r="C3415" s="42" t="s">
        <v>1535</v>
      </c>
      <c r="D3415" s="71" t="s">
        <v>4976</v>
      </c>
      <c r="E3415" s="71" t="s">
        <v>4977</v>
      </c>
      <c r="F3415" s="72">
        <v>4248</v>
      </c>
      <c r="G3415" s="73" t="s">
        <v>4817</v>
      </c>
      <c r="H3415" s="74">
        <v>996719</v>
      </c>
      <c r="I3415" s="72">
        <v>0</v>
      </c>
      <c r="J3415" s="72">
        <v>0</v>
      </c>
      <c r="K3415" s="72">
        <v>648</v>
      </c>
      <c r="L3415" s="72">
        <v>0</v>
      </c>
      <c r="M3415" s="73" t="s">
        <v>3925</v>
      </c>
      <c r="N3415" s="75">
        <f t="shared" si="82"/>
        <v>648</v>
      </c>
    </row>
    <row r="3416" spans="1:14">
      <c r="A3416" s="12">
        <v>3415</v>
      </c>
      <c r="B3416" s="71" t="s">
        <v>1534</v>
      </c>
      <c r="C3416" s="42" t="s">
        <v>1535</v>
      </c>
      <c r="D3416" s="71" t="s">
        <v>4978</v>
      </c>
      <c r="E3416" s="71" t="s">
        <v>4979</v>
      </c>
      <c r="F3416" s="72">
        <v>12744</v>
      </c>
      <c r="G3416" s="73" t="s">
        <v>4817</v>
      </c>
      <c r="H3416" s="74">
        <v>996719</v>
      </c>
      <c r="I3416" s="72">
        <v>0</v>
      </c>
      <c r="J3416" s="72">
        <v>0</v>
      </c>
      <c r="K3416" s="72">
        <v>1944</v>
      </c>
      <c r="L3416" s="72">
        <v>0</v>
      </c>
      <c r="M3416" s="73" t="s">
        <v>3925</v>
      </c>
      <c r="N3416" s="75">
        <f t="shared" si="82"/>
        <v>1944</v>
      </c>
    </row>
    <row r="3417" spans="1:14">
      <c r="A3417" s="12">
        <v>3416</v>
      </c>
      <c r="B3417" s="71" t="s">
        <v>4866</v>
      </c>
      <c r="C3417" s="42" t="s">
        <v>4867</v>
      </c>
      <c r="D3417" s="71" t="s">
        <v>4980</v>
      </c>
      <c r="E3417" s="71" t="s">
        <v>4981</v>
      </c>
      <c r="F3417" s="72">
        <v>187964</v>
      </c>
      <c r="G3417" s="74" t="s">
        <v>24</v>
      </c>
      <c r="H3417" s="74">
        <v>48194000</v>
      </c>
      <c r="I3417" s="72">
        <v>4475.34</v>
      </c>
      <c r="J3417" s="72">
        <v>4475.34</v>
      </c>
      <c r="K3417" s="72">
        <v>0</v>
      </c>
      <c r="L3417" s="72">
        <v>0</v>
      </c>
      <c r="M3417" s="73" t="s">
        <v>3925</v>
      </c>
      <c r="N3417" s="75">
        <f t="shared" si="82"/>
        <v>8950.68</v>
      </c>
    </row>
    <row r="3418" spans="1:14">
      <c r="A3418" s="12">
        <v>3417</v>
      </c>
      <c r="B3418" s="71" t="s">
        <v>4866</v>
      </c>
      <c r="C3418" s="42" t="s">
        <v>4867</v>
      </c>
      <c r="D3418" s="71" t="s">
        <v>4982</v>
      </c>
      <c r="E3418" s="71" t="s">
        <v>4964</v>
      </c>
      <c r="F3418" s="72">
        <v>397694.22</v>
      </c>
      <c r="G3418" s="74" t="s">
        <v>24</v>
      </c>
      <c r="H3418" s="74">
        <v>48194000</v>
      </c>
      <c r="I3418" s="72">
        <v>30332.61</v>
      </c>
      <c r="J3418" s="72">
        <v>30332.61</v>
      </c>
      <c r="K3418" s="72">
        <v>0</v>
      </c>
      <c r="L3418" s="72">
        <v>0</v>
      </c>
      <c r="M3418" s="73" t="s">
        <v>3925</v>
      </c>
      <c r="N3418" s="75">
        <f t="shared" si="82"/>
        <v>60665.22</v>
      </c>
    </row>
    <row r="3419" spans="1:14">
      <c r="A3419" s="12">
        <v>3418</v>
      </c>
      <c r="B3419" s="71" t="s">
        <v>917</v>
      </c>
      <c r="C3419" s="42" t="s">
        <v>918</v>
      </c>
      <c r="D3419" s="71" t="s">
        <v>4983</v>
      </c>
      <c r="E3419" s="71" t="s">
        <v>4984</v>
      </c>
      <c r="F3419" s="72">
        <v>509.76</v>
      </c>
      <c r="G3419" s="73" t="s">
        <v>4817</v>
      </c>
      <c r="H3419" s="74">
        <v>998399</v>
      </c>
      <c r="I3419" s="72">
        <v>38.880000000000003</v>
      </c>
      <c r="J3419" s="72">
        <v>38.880000000000003</v>
      </c>
      <c r="K3419" s="72">
        <v>0</v>
      </c>
      <c r="L3419" s="72">
        <v>0</v>
      </c>
      <c r="M3419" s="73" t="s">
        <v>3925</v>
      </c>
      <c r="N3419" s="75">
        <f t="shared" si="82"/>
        <v>77.760000000000005</v>
      </c>
    </row>
    <row r="3420" spans="1:14">
      <c r="A3420" s="12">
        <v>3419</v>
      </c>
      <c r="B3420" s="71" t="s">
        <v>917</v>
      </c>
      <c r="C3420" s="42" t="s">
        <v>918</v>
      </c>
      <c r="D3420" s="71" t="s">
        <v>4985</v>
      </c>
      <c r="E3420" s="71" t="s">
        <v>4953</v>
      </c>
      <c r="F3420" s="72">
        <v>2230.1999999999998</v>
      </c>
      <c r="G3420" s="73" t="s">
        <v>4817</v>
      </c>
      <c r="H3420" s="74">
        <v>998399</v>
      </c>
      <c r="I3420" s="72">
        <v>170.1</v>
      </c>
      <c r="J3420" s="72">
        <v>170.1</v>
      </c>
      <c r="K3420" s="72">
        <v>0</v>
      </c>
      <c r="L3420" s="72">
        <v>0</v>
      </c>
      <c r="M3420" s="73" t="s">
        <v>3925</v>
      </c>
      <c r="N3420" s="75">
        <f t="shared" si="82"/>
        <v>340.2</v>
      </c>
    </row>
    <row r="3421" spans="1:14">
      <c r="A3421" s="12">
        <v>3420</v>
      </c>
      <c r="B3421" s="71" t="s">
        <v>917</v>
      </c>
      <c r="C3421" s="42" t="s">
        <v>918</v>
      </c>
      <c r="D3421" s="71" t="s">
        <v>4986</v>
      </c>
      <c r="E3421" s="71" t="s">
        <v>4947</v>
      </c>
      <c r="F3421" s="72">
        <v>4295.2</v>
      </c>
      <c r="G3421" s="73" t="s">
        <v>4817</v>
      </c>
      <c r="H3421" s="74">
        <v>998399</v>
      </c>
      <c r="I3421" s="72">
        <v>327.60000000000002</v>
      </c>
      <c r="J3421" s="72">
        <v>327.60000000000002</v>
      </c>
      <c r="K3421" s="72">
        <v>0</v>
      </c>
      <c r="L3421" s="72">
        <v>0</v>
      </c>
      <c r="M3421" s="73" t="s">
        <v>3925</v>
      </c>
      <c r="N3421" s="75">
        <f t="shared" si="82"/>
        <v>655.20000000000005</v>
      </c>
    </row>
    <row r="3422" spans="1:14" ht="15" thickBot="1">
      <c r="A3422" s="12">
        <v>3421</v>
      </c>
      <c r="B3422" s="79" t="s">
        <v>4880</v>
      </c>
      <c r="C3422" s="104" t="s">
        <v>4881</v>
      </c>
      <c r="D3422" s="79" t="s">
        <v>4987</v>
      </c>
      <c r="E3422" s="79" t="s">
        <v>4955</v>
      </c>
      <c r="F3422" s="80">
        <v>406739.86</v>
      </c>
      <c r="G3422" s="81" t="s">
        <v>4817</v>
      </c>
      <c r="H3422" s="90">
        <v>996713</v>
      </c>
      <c r="I3422" s="80">
        <v>12181.25</v>
      </c>
      <c r="J3422" s="80">
        <v>12181.25</v>
      </c>
      <c r="K3422" s="80">
        <v>0</v>
      </c>
      <c r="L3422" s="80">
        <v>0</v>
      </c>
      <c r="M3422" s="81" t="s">
        <v>3925</v>
      </c>
      <c r="N3422" s="83">
        <f t="shared" si="82"/>
        <v>24362.5</v>
      </c>
    </row>
    <row r="3423" spans="1:14">
      <c r="A3423" s="12">
        <v>3422</v>
      </c>
      <c r="B3423" s="84" t="s">
        <v>4880</v>
      </c>
      <c r="C3423" s="105" t="s">
        <v>4881</v>
      </c>
      <c r="D3423" s="84" t="s">
        <v>4988</v>
      </c>
      <c r="E3423" s="84" t="s">
        <v>4959</v>
      </c>
      <c r="F3423" s="85">
        <v>251610.3</v>
      </c>
      <c r="G3423" s="86" t="s">
        <v>4817</v>
      </c>
      <c r="H3423" s="91">
        <v>996713</v>
      </c>
      <c r="I3423" s="85">
        <v>7257.15</v>
      </c>
      <c r="J3423" s="85">
        <v>7257.15</v>
      </c>
      <c r="K3423" s="85">
        <v>0</v>
      </c>
      <c r="L3423" s="85">
        <v>0</v>
      </c>
      <c r="M3423" s="86" t="s">
        <v>3925</v>
      </c>
      <c r="N3423" s="87">
        <f t="shared" si="82"/>
        <v>14514.3</v>
      </c>
    </row>
    <row r="3424" spans="1:14">
      <c r="A3424" s="12">
        <v>3423</v>
      </c>
      <c r="B3424" s="71" t="s">
        <v>4880</v>
      </c>
      <c r="C3424" s="42" t="s">
        <v>4881</v>
      </c>
      <c r="D3424" s="71" t="s">
        <v>4989</v>
      </c>
      <c r="E3424" s="71" t="s">
        <v>4959</v>
      </c>
      <c r="F3424" s="72">
        <v>505220.72</v>
      </c>
      <c r="G3424" s="73" t="s">
        <v>4817</v>
      </c>
      <c r="H3424" s="77">
        <v>996713</v>
      </c>
      <c r="I3424" s="72">
        <v>14314.31</v>
      </c>
      <c r="J3424" s="72">
        <v>14314.31</v>
      </c>
      <c r="K3424" s="72">
        <v>0</v>
      </c>
      <c r="L3424" s="72">
        <v>0</v>
      </c>
      <c r="M3424" s="73" t="s">
        <v>3925</v>
      </c>
      <c r="N3424" s="75">
        <f t="shared" si="82"/>
        <v>28628.62</v>
      </c>
    </row>
    <row r="3425" spans="1:14">
      <c r="A3425" s="12">
        <v>3424</v>
      </c>
      <c r="B3425" s="71" t="s">
        <v>4990</v>
      </c>
      <c r="C3425" s="42" t="s">
        <v>4991</v>
      </c>
      <c r="D3425" s="71" t="s">
        <v>4992</v>
      </c>
      <c r="E3425" s="71" t="s">
        <v>4993</v>
      </c>
      <c r="F3425" s="72">
        <v>-59826</v>
      </c>
      <c r="G3425" s="73" t="s">
        <v>4817</v>
      </c>
      <c r="H3425" s="76" t="s">
        <v>4826</v>
      </c>
      <c r="I3425" s="78">
        <v>0</v>
      </c>
      <c r="J3425" s="72">
        <v>0</v>
      </c>
      <c r="K3425" s="72">
        <v>-9126</v>
      </c>
      <c r="L3425" s="72">
        <v>0</v>
      </c>
      <c r="M3425" s="73" t="s">
        <v>3925</v>
      </c>
      <c r="N3425" s="75">
        <f t="shared" si="82"/>
        <v>-9126</v>
      </c>
    </row>
    <row r="3426" spans="1:14">
      <c r="A3426" s="12">
        <v>3425</v>
      </c>
      <c r="B3426" s="71" t="s">
        <v>4994</v>
      </c>
      <c r="C3426" s="42" t="s">
        <v>4995</v>
      </c>
      <c r="D3426" s="71" t="s">
        <v>4996</v>
      </c>
      <c r="E3426" s="71" t="s">
        <v>4997</v>
      </c>
      <c r="F3426" s="72">
        <v>41300</v>
      </c>
      <c r="G3426" s="73" t="s">
        <v>4817</v>
      </c>
      <c r="H3426" s="77">
        <v>998559</v>
      </c>
      <c r="I3426" s="78">
        <v>22.88</v>
      </c>
      <c r="J3426" s="72">
        <v>22.88</v>
      </c>
      <c r="K3426" s="72">
        <v>0</v>
      </c>
      <c r="L3426" s="72">
        <v>0</v>
      </c>
      <c r="M3426" s="73" t="s">
        <v>4847</v>
      </c>
      <c r="N3426" s="75">
        <f t="shared" si="82"/>
        <v>0</v>
      </c>
    </row>
    <row r="3427" spans="1:14">
      <c r="A3427" s="12">
        <v>3426</v>
      </c>
      <c r="B3427" s="71" t="s">
        <v>4994</v>
      </c>
      <c r="C3427" s="42" t="s">
        <v>4995</v>
      </c>
      <c r="D3427" s="71" t="s">
        <v>4998</v>
      </c>
      <c r="E3427" s="71" t="s">
        <v>4999</v>
      </c>
      <c r="F3427" s="72">
        <v>22350</v>
      </c>
      <c r="G3427" s="73" t="s">
        <v>4817</v>
      </c>
      <c r="H3427" s="77">
        <v>998559</v>
      </c>
      <c r="I3427" s="78">
        <v>22.88</v>
      </c>
      <c r="J3427" s="72">
        <v>22.88</v>
      </c>
      <c r="K3427" s="72">
        <v>0</v>
      </c>
      <c r="L3427" s="72">
        <v>0</v>
      </c>
      <c r="M3427" s="73" t="s">
        <v>4847</v>
      </c>
      <c r="N3427" s="75">
        <f t="shared" si="82"/>
        <v>0</v>
      </c>
    </row>
    <row r="3428" spans="1:14">
      <c r="A3428" s="12">
        <v>3427</v>
      </c>
      <c r="B3428" s="71" t="s">
        <v>528</v>
      </c>
      <c r="C3428" s="42" t="s">
        <v>529</v>
      </c>
      <c r="D3428" s="71" t="s">
        <v>5000</v>
      </c>
      <c r="E3428" s="71" t="s">
        <v>5001</v>
      </c>
      <c r="F3428" s="72">
        <v>8577.7000000000007</v>
      </c>
      <c r="G3428" s="73" t="s">
        <v>4817</v>
      </c>
      <c r="H3428" s="74">
        <v>9971</v>
      </c>
      <c r="I3428" s="72">
        <v>654.23</v>
      </c>
      <c r="J3428" s="72">
        <v>654.23</v>
      </c>
      <c r="K3428" s="72">
        <v>0</v>
      </c>
      <c r="L3428" s="72">
        <v>0</v>
      </c>
      <c r="M3428" s="73" t="s">
        <v>3925</v>
      </c>
      <c r="N3428" s="75">
        <f t="shared" si="82"/>
        <v>1308.46</v>
      </c>
    </row>
    <row r="3429" spans="1:14">
      <c r="A3429" s="12">
        <v>3428</v>
      </c>
      <c r="B3429" s="71" t="s">
        <v>5002</v>
      </c>
      <c r="C3429" s="42" t="s">
        <v>5003</v>
      </c>
      <c r="D3429" s="71" t="s">
        <v>5004</v>
      </c>
      <c r="E3429" s="71" t="s">
        <v>5005</v>
      </c>
      <c r="F3429" s="72">
        <v>12579</v>
      </c>
      <c r="G3429" s="73" t="s">
        <v>4817</v>
      </c>
      <c r="H3429" s="74">
        <v>998719</v>
      </c>
      <c r="I3429" s="78">
        <v>959.31</v>
      </c>
      <c r="J3429" s="72">
        <v>959.31</v>
      </c>
      <c r="K3429" s="72">
        <v>0</v>
      </c>
      <c r="L3429" s="72">
        <v>0</v>
      </c>
      <c r="M3429" s="73" t="s">
        <v>4847</v>
      </c>
      <c r="N3429" s="75">
        <f t="shared" si="82"/>
        <v>0</v>
      </c>
    </row>
    <row r="3430" spans="1:14">
      <c r="A3430" s="12">
        <v>3429</v>
      </c>
      <c r="B3430" s="71" t="s">
        <v>5006</v>
      </c>
      <c r="C3430" s="42" t="s">
        <v>5007</v>
      </c>
      <c r="D3430" s="71" t="s">
        <v>5008</v>
      </c>
      <c r="E3430" s="71" t="s">
        <v>5009</v>
      </c>
      <c r="F3430" s="72">
        <v>8000</v>
      </c>
      <c r="G3430" s="73" t="s">
        <v>4970</v>
      </c>
      <c r="H3430" s="74">
        <v>8517</v>
      </c>
      <c r="I3430" s="78">
        <v>610.16999999999996</v>
      </c>
      <c r="J3430" s="72">
        <v>610.16999999999996</v>
      </c>
      <c r="K3430" s="72">
        <v>0</v>
      </c>
      <c r="L3430" s="72">
        <v>0</v>
      </c>
      <c r="M3430" s="73" t="s">
        <v>4847</v>
      </c>
      <c r="N3430" s="75">
        <f t="shared" si="82"/>
        <v>0</v>
      </c>
    </row>
    <row r="3431" spans="1:14">
      <c r="A3431" s="12">
        <v>3430</v>
      </c>
      <c r="B3431" s="71" t="s">
        <v>5010</v>
      </c>
      <c r="C3431" s="42" t="s">
        <v>5011</v>
      </c>
      <c r="D3431" s="71" t="s">
        <v>5012</v>
      </c>
      <c r="E3431" s="71" t="s">
        <v>5013</v>
      </c>
      <c r="F3431" s="72">
        <v>17200</v>
      </c>
      <c r="G3431" s="73" t="s">
        <v>4970</v>
      </c>
      <c r="H3431" s="74">
        <v>8443</v>
      </c>
      <c r="I3431" s="78">
        <v>1311.86</v>
      </c>
      <c r="J3431" s="72">
        <v>1311.86</v>
      </c>
      <c r="K3431" s="72">
        <v>0</v>
      </c>
      <c r="L3431" s="72">
        <v>0</v>
      </c>
      <c r="M3431" s="73" t="s">
        <v>4847</v>
      </c>
      <c r="N3431" s="75">
        <f t="shared" si="82"/>
        <v>0</v>
      </c>
    </row>
    <row r="3432" spans="1:14">
      <c r="A3432" s="12">
        <v>3431</v>
      </c>
      <c r="B3432" s="71" t="s">
        <v>4012</v>
      </c>
      <c r="C3432" s="42" t="s">
        <v>4013</v>
      </c>
      <c r="D3432" s="71" t="s">
        <v>5014</v>
      </c>
      <c r="E3432" s="71" t="s">
        <v>5015</v>
      </c>
      <c r="F3432" s="72">
        <v>2000</v>
      </c>
      <c r="G3432" s="73" t="s">
        <v>4817</v>
      </c>
      <c r="H3432" s="88" t="s">
        <v>642</v>
      </c>
      <c r="I3432" s="72">
        <v>152.54</v>
      </c>
      <c r="J3432" s="72">
        <v>152.54</v>
      </c>
      <c r="K3432" s="72">
        <v>0</v>
      </c>
      <c r="L3432" s="72">
        <v>0</v>
      </c>
      <c r="M3432" s="73" t="s">
        <v>3925</v>
      </c>
      <c r="N3432" s="75">
        <f t="shared" si="82"/>
        <v>305.08</v>
      </c>
    </row>
    <row r="3433" spans="1:14">
      <c r="A3433" s="12">
        <v>3432</v>
      </c>
      <c r="B3433" s="71" t="s">
        <v>5016</v>
      </c>
      <c r="C3433" s="42" t="s">
        <v>5017</v>
      </c>
      <c r="D3433" s="71" t="s">
        <v>5018</v>
      </c>
      <c r="E3433" s="71" t="s">
        <v>5009</v>
      </c>
      <c r="F3433" s="72">
        <v>125375</v>
      </c>
      <c r="G3433" s="73" t="s">
        <v>4817</v>
      </c>
      <c r="H3433" s="74">
        <v>997141</v>
      </c>
      <c r="I3433" s="72">
        <v>9562.5</v>
      </c>
      <c r="J3433" s="72">
        <v>9562.5</v>
      </c>
      <c r="K3433" s="72">
        <v>0</v>
      </c>
      <c r="L3433" s="72">
        <v>0</v>
      </c>
      <c r="M3433" s="73" t="s">
        <v>3925</v>
      </c>
      <c r="N3433" s="75">
        <f t="shared" si="82"/>
        <v>19125</v>
      </c>
    </row>
    <row r="3434" spans="1:14">
      <c r="A3434" s="12">
        <v>3433</v>
      </c>
      <c r="B3434" s="71" t="s">
        <v>1134</v>
      </c>
      <c r="C3434" s="42" t="s">
        <v>5019</v>
      </c>
      <c r="D3434" s="71" t="s">
        <v>5020</v>
      </c>
      <c r="E3434" s="71" t="s">
        <v>5021</v>
      </c>
      <c r="F3434" s="72">
        <v>236</v>
      </c>
      <c r="G3434" s="73" t="s">
        <v>4817</v>
      </c>
      <c r="H3434" s="92" t="s">
        <v>1137</v>
      </c>
      <c r="I3434" s="72">
        <v>0</v>
      </c>
      <c r="J3434" s="72">
        <v>0</v>
      </c>
      <c r="K3434" s="72">
        <v>36</v>
      </c>
      <c r="L3434" s="72">
        <v>0</v>
      </c>
      <c r="M3434" s="73" t="s">
        <v>3925</v>
      </c>
      <c r="N3434" s="75">
        <f t="shared" si="82"/>
        <v>36</v>
      </c>
    </row>
    <row r="3435" spans="1:14">
      <c r="A3435" s="12">
        <v>3434</v>
      </c>
      <c r="B3435" s="71" t="s">
        <v>1134</v>
      </c>
      <c r="C3435" s="42" t="s">
        <v>5019</v>
      </c>
      <c r="D3435" s="71" t="s">
        <v>5022</v>
      </c>
      <c r="E3435" s="71" t="s">
        <v>5021</v>
      </c>
      <c r="F3435" s="72">
        <v>236</v>
      </c>
      <c r="G3435" s="73" t="s">
        <v>4817</v>
      </c>
      <c r="H3435" s="92" t="s">
        <v>1137</v>
      </c>
      <c r="I3435" s="72">
        <v>0</v>
      </c>
      <c r="J3435" s="72">
        <v>0</v>
      </c>
      <c r="K3435" s="72">
        <v>36</v>
      </c>
      <c r="L3435" s="72">
        <v>0</v>
      </c>
      <c r="M3435" s="73" t="s">
        <v>3925</v>
      </c>
      <c r="N3435" s="75">
        <f t="shared" si="82"/>
        <v>36</v>
      </c>
    </row>
    <row r="3436" spans="1:14">
      <c r="A3436" s="12">
        <v>3435</v>
      </c>
      <c r="B3436" s="71" t="s">
        <v>917</v>
      </c>
      <c r="C3436" s="42" t="s">
        <v>918</v>
      </c>
      <c r="D3436" s="71" t="s">
        <v>5023</v>
      </c>
      <c r="E3436" s="71" t="s">
        <v>4999</v>
      </c>
      <c r="F3436" s="72">
        <v>10325</v>
      </c>
      <c r="G3436" s="73" t="s">
        <v>4817</v>
      </c>
      <c r="H3436" s="74">
        <v>998399</v>
      </c>
      <c r="I3436" s="72">
        <v>787.5</v>
      </c>
      <c r="J3436" s="72">
        <v>787.5</v>
      </c>
      <c r="K3436" s="72">
        <v>0</v>
      </c>
      <c r="L3436" s="72">
        <v>0</v>
      </c>
      <c r="M3436" s="73" t="s">
        <v>3925</v>
      </c>
      <c r="N3436" s="75">
        <f t="shared" si="82"/>
        <v>1575</v>
      </c>
    </row>
    <row r="3437" spans="1:14">
      <c r="A3437" s="12">
        <v>3436</v>
      </c>
      <c r="B3437" s="71" t="s">
        <v>917</v>
      </c>
      <c r="C3437" s="42" t="s">
        <v>918</v>
      </c>
      <c r="D3437" s="71" t="s">
        <v>5024</v>
      </c>
      <c r="E3437" s="71" t="s">
        <v>4997</v>
      </c>
      <c r="F3437" s="72">
        <v>944</v>
      </c>
      <c r="G3437" s="73" t="s">
        <v>4817</v>
      </c>
      <c r="H3437" s="74">
        <v>998399</v>
      </c>
      <c r="I3437" s="72">
        <v>72</v>
      </c>
      <c r="J3437" s="72">
        <v>72</v>
      </c>
      <c r="K3437" s="72">
        <v>0</v>
      </c>
      <c r="L3437" s="72">
        <v>0</v>
      </c>
      <c r="M3437" s="73" t="s">
        <v>3925</v>
      </c>
      <c r="N3437" s="75">
        <f t="shared" si="82"/>
        <v>144</v>
      </c>
    </row>
    <row r="3438" spans="1:14">
      <c r="A3438" s="12">
        <v>3437</v>
      </c>
      <c r="B3438" s="71" t="s">
        <v>917</v>
      </c>
      <c r="C3438" s="42" t="s">
        <v>918</v>
      </c>
      <c r="D3438" s="71" t="s">
        <v>5025</v>
      </c>
      <c r="E3438" s="71" t="s">
        <v>4997</v>
      </c>
      <c r="F3438" s="72">
        <v>4130</v>
      </c>
      <c r="G3438" s="73" t="s">
        <v>4817</v>
      </c>
      <c r="H3438" s="74">
        <v>998399</v>
      </c>
      <c r="I3438" s="72">
        <v>315</v>
      </c>
      <c r="J3438" s="72">
        <v>315</v>
      </c>
      <c r="K3438" s="72">
        <v>0</v>
      </c>
      <c r="L3438" s="72">
        <v>0</v>
      </c>
      <c r="M3438" s="73" t="s">
        <v>3925</v>
      </c>
      <c r="N3438" s="75">
        <f t="shared" si="82"/>
        <v>630</v>
      </c>
    </row>
    <row r="3439" spans="1:14">
      <c r="A3439" s="12">
        <v>3438</v>
      </c>
      <c r="B3439" s="71" t="s">
        <v>917</v>
      </c>
      <c r="C3439" s="42" t="s">
        <v>918</v>
      </c>
      <c r="D3439" s="71" t="s">
        <v>5026</v>
      </c>
      <c r="E3439" s="71" t="s">
        <v>5027</v>
      </c>
      <c r="F3439" s="72">
        <v>708</v>
      </c>
      <c r="G3439" s="73" t="s">
        <v>4817</v>
      </c>
      <c r="H3439" s="74">
        <v>998399</v>
      </c>
      <c r="I3439" s="72">
        <v>54</v>
      </c>
      <c r="J3439" s="72">
        <v>54</v>
      </c>
      <c r="K3439" s="72">
        <v>0</v>
      </c>
      <c r="L3439" s="72">
        <v>0</v>
      </c>
      <c r="M3439" s="73" t="s">
        <v>3925</v>
      </c>
      <c r="N3439" s="75">
        <f t="shared" si="82"/>
        <v>108</v>
      </c>
    </row>
    <row r="3440" spans="1:14">
      <c r="A3440" s="12">
        <v>3439</v>
      </c>
      <c r="B3440" s="71" t="s">
        <v>5028</v>
      </c>
      <c r="C3440" s="42" t="s">
        <v>1470</v>
      </c>
      <c r="D3440" s="71" t="s">
        <v>5029</v>
      </c>
      <c r="E3440" s="71" t="s">
        <v>5021</v>
      </c>
      <c r="F3440" s="72">
        <v>54516</v>
      </c>
      <c r="G3440" s="73" t="s">
        <v>4817</v>
      </c>
      <c r="H3440" s="89" t="s">
        <v>5030</v>
      </c>
      <c r="I3440" s="72">
        <v>0</v>
      </c>
      <c r="J3440" s="72">
        <v>0</v>
      </c>
      <c r="K3440" s="72">
        <v>8316</v>
      </c>
      <c r="L3440" s="72">
        <v>0</v>
      </c>
      <c r="M3440" s="73" t="s">
        <v>3925</v>
      </c>
      <c r="N3440" s="75">
        <f t="shared" si="82"/>
        <v>8316</v>
      </c>
    </row>
    <row r="3441" spans="1:14">
      <c r="A3441" s="12">
        <v>3440</v>
      </c>
      <c r="B3441" s="71" t="s">
        <v>5028</v>
      </c>
      <c r="C3441" s="42" t="s">
        <v>1470</v>
      </c>
      <c r="D3441" s="71" t="s">
        <v>5031</v>
      </c>
      <c r="E3441" s="71" t="s">
        <v>5032</v>
      </c>
      <c r="F3441" s="72">
        <v>63366</v>
      </c>
      <c r="G3441" s="73" t="s">
        <v>4817</v>
      </c>
      <c r="H3441" s="89" t="s">
        <v>5030</v>
      </c>
      <c r="I3441" s="72">
        <v>0</v>
      </c>
      <c r="J3441" s="72">
        <v>0</v>
      </c>
      <c r="K3441" s="72">
        <v>9666</v>
      </c>
      <c r="L3441" s="72">
        <v>0</v>
      </c>
      <c r="M3441" s="73" t="s">
        <v>3925</v>
      </c>
      <c r="N3441" s="75">
        <f t="shared" si="82"/>
        <v>9666</v>
      </c>
    </row>
    <row r="3442" spans="1:14">
      <c r="A3442" s="12">
        <v>3441</v>
      </c>
      <c r="B3442" s="71" t="s">
        <v>3391</v>
      </c>
      <c r="C3442" s="42" t="s">
        <v>3392</v>
      </c>
      <c r="D3442" s="71" t="s">
        <v>5033</v>
      </c>
      <c r="E3442" s="71" t="s">
        <v>5034</v>
      </c>
      <c r="F3442" s="72">
        <v>2795.13</v>
      </c>
      <c r="G3442" s="73" t="s">
        <v>4817</v>
      </c>
      <c r="H3442" s="74">
        <v>996812</v>
      </c>
      <c r="I3442" s="72">
        <v>213.19</v>
      </c>
      <c r="J3442" s="72">
        <v>213.19</v>
      </c>
      <c r="K3442" s="72">
        <v>0</v>
      </c>
      <c r="L3442" s="72">
        <v>0</v>
      </c>
      <c r="M3442" s="73" t="s">
        <v>3925</v>
      </c>
      <c r="N3442" s="75">
        <f t="shared" si="82"/>
        <v>426.38</v>
      </c>
    </row>
    <row r="3443" spans="1:14">
      <c r="A3443" s="12">
        <v>3442</v>
      </c>
      <c r="B3443" s="71" t="s">
        <v>3391</v>
      </c>
      <c r="C3443" s="42" t="s">
        <v>3392</v>
      </c>
      <c r="D3443" s="71" t="s">
        <v>5035</v>
      </c>
      <c r="E3443" s="71" t="s">
        <v>5032</v>
      </c>
      <c r="F3443" s="72">
        <v>2205.13</v>
      </c>
      <c r="G3443" s="73" t="s">
        <v>4817</v>
      </c>
      <c r="H3443" s="74">
        <v>996812</v>
      </c>
      <c r="I3443" s="72">
        <v>168.19</v>
      </c>
      <c r="J3443" s="72">
        <v>168.19</v>
      </c>
      <c r="K3443" s="72">
        <v>0</v>
      </c>
      <c r="L3443" s="72">
        <v>0</v>
      </c>
      <c r="M3443" s="73" t="s">
        <v>3925</v>
      </c>
      <c r="N3443" s="75">
        <f t="shared" si="82"/>
        <v>336.38</v>
      </c>
    </row>
    <row r="3444" spans="1:14">
      <c r="A3444" s="12">
        <v>3443</v>
      </c>
      <c r="B3444" s="71" t="s">
        <v>4899</v>
      </c>
      <c r="C3444" s="42" t="s">
        <v>4900</v>
      </c>
      <c r="D3444" s="71" t="s">
        <v>5036</v>
      </c>
      <c r="E3444" s="71" t="s">
        <v>5027</v>
      </c>
      <c r="F3444" s="72">
        <v>97</v>
      </c>
      <c r="G3444" s="73" t="s">
        <v>4817</v>
      </c>
      <c r="H3444" s="77">
        <v>996791</v>
      </c>
      <c r="I3444" s="78">
        <v>2.4300000000000002</v>
      </c>
      <c r="J3444" s="72">
        <v>2.4300000000000002</v>
      </c>
      <c r="K3444" s="72">
        <v>0</v>
      </c>
      <c r="L3444" s="72">
        <v>0</v>
      </c>
      <c r="M3444" s="73" t="s">
        <v>4847</v>
      </c>
      <c r="N3444" s="75">
        <f t="shared" si="82"/>
        <v>0</v>
      </c>
    </row>
    <row r="3445" spans="1:14">
      <c r="A3445" s="12">
        <v>3444</v>
      </c>
      <c r="B3445" s="71" t="s">
        <v>5037</v>
      </c>
      <c r="C3445" s="42" t="s">
        <v>5038</v>
      </c>
      <c r="D3445" s="71" t="s">
        <v>5039</v>
      </c>
      <c r="E3445" s="71" t="s">
        <v>5040</v>
      </c>
      <c r="F3445" s="72">
        <v>7080</v>
      </c>
      <c r="G3445" s="73" t="s">
        <v>4817</v>
      </c>
      <c r="H3445" s="89" t="s">
        <v>4965</v>
      </c>
      <c r="I3445" s="72">
        <v>0</v>
      </c>
      <c r="J3445" s="72">
        <v>0</v>
      </c>
      <c r="K3445" s="72">
        <v>1080</v>
      </c>
      <c r="L3445" s="72">
        <v>0</v>
      </c>
      <c r="M3445" s="73" t="s">
        <v>3925</v>
      </c>
      <c r="N3445" s="75">
        <f t="shared" si="82"/>
        <v>1080</v>
      </c>
    </row>
    <row r="3446" spans="1:14">
      <c r="A3446" s="12">
        <v>3445</v>
      </c>
      <c r="B3446" s="71" t="s">
        <v>3419</v>
      </c>
      <c r="C3446" s="42" t="s">
        <v>3420</v>
      </c>
      <c r="D3446" s="71" t="s">
        <v>5041</v>
      </c>
      <c r="E3446" s="71" t="s">
        <v>5009</v>
      </c>
      <c r="F3446" s="72">
        <v>177000</v>
      </c>
      <c r="G3446" s="73" t="s">
        <v>4817</v>
      </c>
      <c r="H3446" s="89" t="s">
        <v>5042</v>
      </c>
      <c r="I3446" s="72">
        <v>13500</v>
      </c>
      <c r="J3446" s="72">
        <v>13500</v>
      </c>
      <c r="K3446" s="72">
        <v>0</v>
      </c>
      <c r="L3446" s="72">
        <v>0</v>
      </c>
      <c r="M3446" s="73" t="s">
        <v>3925</v>
      </c>
      <c r="N3446" s="75">
        <f t="shared" si="82"/>
        <v>27000</v>
      </c>
    </row>
    <row r="3447" spans="1:14">
      <c r="A3447" s="12">
        <v>3446</v>
      </c>
      <c r="B3447" s="71" t="s">
        <v>1166</v>
      </c>
      <c r="C3447" s="42" t="s">
        <v>1167</v>
      </c>
      <c r="D3447" s="71" t="s">
        <v>5043</v>
      </c>
      <c r="E3447" s="71" t="s">
        <v>5044</v>
      </c>
      <c r="F3447" s="72">
        <v>1703.92</v>
      </c>
      <c r="G3447" s="73" t="s">
        <v>4817</v>
      </c>
      <c r="H3447" s="93">
        <v>9971</v>
      </c>
      <c r="I3447" s="72">
        <v>129.96</v>
      </c>
      <c r="J3447" s="72">
        <v>129.96</v>
      </c>
      <c r="K3447" s="72">
        <v>0</v>
      </c>
      <c r="L3447" s="72">
        <v>0</v>
      </c>
      <c r="M3447" s="73" t="s">
        <v>3925</v>
      </c>
      <c r="N3447" s="75">
        <f t="shared" si="82"/>
        <v>259.92</v>
      </c>
    </row>
    <row r="3448" spans="1:14">
      <c r="A3448" s="12">
        <v>3447</v>
      </c>
      <c r="B3448" s="71" t="s">
        <v>1166</v>
      </c>
      <c r="C3448" s="42" t="s">
        <v>1167</v>
      </c>
      <c r="D3448" s="71" t="s">
        <v>5045</v>
      </c>
      <c r="E3448" s="71" t="s">
        <v>5009</v>
      </c>
      <c r="F3448" s="72">
        <v>2588.92</v>
      </c>
      <c r="G3448" s="73" t="s">
        <v>4817</v>
      </c>
      <c r="H3448" s="93">
        <v>9971</v>
      </c>
      <c r="I3448" s="72">
        <v>197.46</v>
      </c>
      <c r="J3448" s="72">
        <v>197.46</v>
      </c>
      <c r="K3448" s="72">
        <v>0</v>
      </c>
      <c r="L3448" s="72">
        <v>0</v>
      </c>
      <c r="M3448" s="73" t="s">
        <v>3925</v>
      </c>
      <c r="N3448" s="75">
        <f t="shared" si="82"/>
        <v>394.92</v>
      </c>
    </row>
    <row r="3449" spans="1:14">
      <c r="A3449" s="12">
        <v>3448</v>
      </c>
      <c r="B3449" s="71" t="s">
        <v>1166</v>
      </c>
      <c r="C3449" s="42" t="s">
        <v>1167</v>
      </c>
      <c r="D3449" s="71" t="s">
        <v>5046</v>
      </c>
      <c r="E3449" s="71" t="s">
        <v>5009</v>
      </c>
      <c r="F3449" s="72">
        <v>1926.94</v>
      </c>
      <c r="G3449" s="73" t="s">
        <v>4817</v>
      </c>
      <c r="H3449" s="93">
        <v>9971</v>
      </c>
      <c r="I3449" s="72">
        <v>146.97</v>
      </c>
      <c r="J3449" s="72">
        <v>146.97</v>
      </c>
      <c r="K3449" s="72">
        <v>0</v>
      </c>
      <c r="L3449" s="72">
        <v>0</v>
      </c>
      <c r="M3449" s="73" t="s">
        <v>3925</v>
      </c>
      <c r="N3449" s="75">
        <f t="shared" si="82"/>
        <v>293.94</v>
      </c>
    </row>
    <row r="3450" spans="1:14">
      <c r="A3450" s="12">
        <v>3449</v>
      </c>
      <c r="B3450" s="71" t="s">
        <v>1166</v>
      </c>
      <c r="C3450" s="42" t="s">
        <v>1167</v>
      </c>
      <c r="D3450" s="71" t="s">
        <v>5047</v>
      </c>
      <c r="E3450" s="71" t="s">
        <v>5048</v>
      </c>
      <c r="F3450" s="72">
        <v>2629.04</v>
      </c>
      <c r="G3450" s="73" t="s">
        <v>4817</v>
      </c>
      <c r="H3450" s="93">
        <v>9971</v>
      </c>
      <c r="I3450" s="72">
        <v>200.52</v>
      </c>
      <c r="J3450" s="72">
        <v>200.52</v>
      </c>
      <c r="K3450" s="72">
        <v>0</v>
      </c>
      <c r="L3450" s="72">
        <v>0</v>
      </c>
      <c r="M3450" s="73" t="s">
        <v>3925</v>
      </c>
      <c r="N3450" s="75">
        <f t="shared" si="82"/>
        <v>401.04</v>
      </c>
    </row>
    <row r="3451" spans="1:14">
      <c r="A3451" s="12">
        <v>3450</v>
      </c>
      <c r="B3451" s="71" t="s">
        <v>5049</v>
      </c>
      <c r="C3451" s="42" t="s">
        <v>4853</v>
      </c>
      <c r="D3451" s="71" t="s">
        <v>5050</v>
      </c>
      <c r="E3451" s="71" t="s">
        <v>5027</v>
      </c>
      <c r="F3451" s="72">
        <v>10738</v>
      </c>
      <c r="G3451" s="73" t="s">
        <v>4817</v>
      </c>
      <c r="H3451" s="89" t="s">
        <v>5051</v>
      </c>
      <c r="I3451" s="72">
        <v>0</v>
      </c>
      <c r="J3451" s="72">
        <v>0</v>
      </c>
      <c r="K3451" s="72">
        <v>1638</v>
      </c>
      <c r="L3451" s="72">
        <v>0</v>
      </c>
      <c r="M3451" s="73" t="s">
        <v>3925</v>
      </c>
      <c r="N3451" s="75">
        <f t="shared" si="82"/>
        <v>1638</v>
      </c>
    </row>
    <row r="3452" spans="1:14">
      <c r="A3452" s="12">
        <v>3451</v>
      </c>
      <c r="B3452" s="71" t="s">
        <v>4866</v>
      </c>
      <c r="C3452" s="42" t="s">
        <v>4867</v>
      </c>
      <c r="D3452" s="71" t="s">
        <v>5052</v>
      </c>
      <c r="E3452" s="71" t="s">
        <v>5009</v>
      </c>
      <c r="F3452" s="72">
        <v>76853</v>
      </c>
      <c r="G3452" s="74" t="s">
        <v>24</v>
      </c>
      <c r="H3452" s="74">
        <v>48194000</v>
      </c>
      <c r="I3452" s="72">
        <v>5861.7</v>
      </c>
      <c r="J3452" s="72">
        <v>5861.7</v>
      </c>
      <c r="K3452" s="72">
        <v>0</v>
      </c>
      <c r="L3452" s="72">
        <v>0</v>
      </c>
      <c r="M3452" s="73" t="s">
        <v>3925</v>
      </c>
      <c r="N3452" s="75">
        <f t="shared" si="82"/>
        <v>11723.4</v>
      </c>
    </row>
    <row r="3453" spans="1:14">
      <c r="A3453" s="12">
        <v>3452</v>
      </c>
      <c r="B3453" s="71" t="s">
        <v>4866</v>
      </c>
      <c r="C3453" s="42" t="s">
        <v>4867</v>
      </c>
      <c r="D3453" s="71" t="s">
        <v>5053</v>
      </c>
      <c r="E3453" s="71" t="s">
        <v>5048</v>
      </c>
      <c r="F3453" s="72">
        <v>152816</v>
      </c>
      <c r="G3453" s="74" t="s">
        <v>24</v>
      </c>
      <c r="H3453" s="74">
        <v>48194000</v>
      </c>
      <c r="I3453" s="72">
        <v>5508</v>
      </c>
      <c r="J3453" s="72">
        <v>5508</v>
      </c>
      <c r="K3453" s="72">
        <v>0</v>
      </c>
      <c r="L3453" s="72">
        <v>0</v>
      </c>
      <c r="M3453" s="73" t="s">
        <v>3925</v>
      </c>
      <c r="N3453" s="75">
        <f t="shared" si="82"/>
        <v>11016</v>
      </c>
    </row>
    <row r="3454" spans="1:14">
      <c r="A3454" s="12">
        <v>3453</v>
      </c>
      <c r="B3454" s="71" t="s">
        <v>4866</v>
      </c>
      <c r="C3454" s="42" t="s">
        <v>4867</v>
      </c>
      <c r="D3454" s="71" t="s">
        <v>5054</v>
      </c>
      <c r="E3454" s="71" t="s">
        <v>5055</v>
      </c>
      <c r="F3454" s="72">
        <v>114317</v>
      </c>
      <c r="G3454" s="74" t="s">
        <v>24</v>
      </c>
      <c r="H3454" s="74">
        <v>48194000</v>
      </c>
      <c r="I3454" s="72">
        <v>4108.5</v>
      </c>
      <c r="J3454" s="72">
        <v>4108.5</v>
      </c>
      <c r="K3454" s="72">
        <v>0</v>
      </c>
      <c r="L3454" s="72">
        <v>0</v>
      </c>
      <c r="M3454" s="73" t="s">
        <v>3925</v>
      </c>
      <c r="N3454" s="75">
        <f t="shared" si="82"/>
        <v>8217</v>
      </c>
    </row>
    <row r="3455" spans="1:14">
      <c r="A3455" s="12">
        <v>3454</v>
      </c>
      <c r="B3455" s="71" t="s">
        <v>4866</v>
      </c>
      <c r="C3455" s="42" t="s">
        <v>4867</v>
      </c>
      <c r="D3455" s="71" t="s">
        <v>5056</v>
      </c>
      <c r="E3455" s="71" t="s">
        <v>5057</v>
      </c>
      <c r="F3455" s="72">
        <v>133455</v>
      </c>
      <c r="G3455" s="74" t="s">
        <v>24</v>
      </c>
      <c r="H3455" s="74">
        <v>48194000</v>
      </c>
      <c r="I3455" s="72">
        <v>3177.5</v>
      </c>
      <c r="J3455" s="72">
        <v>3177.5</v>
      </c>
      <c r="K3455" s="72">
        <v>0</v>
      </c>
      <c r="L3455" s="72">
        <v>0</v>
      </c>
      <c r="M3455" s="73" t="s">
        <v>3925</v>
      </c>
      <c r="N3455" s="75">
        <f t="shared" si="82"/>
        <v>6355</v>
      </c>
    </row>
    <row r="3456" spans="1:14">
      <c r="A3456" s="12">
        <v>3455</v>
      </c>
      <c r="B3456" s="71" t="s">
        <v>4866</v>
      </c>
      <c r="C3456" s="42" t="s">
        <v>4867</v>
      </c>
      <c r="D3456" s="71" t="s">
        <v>5058</v>
      </c>
      <c r="E3456" s="71" t="s">
        <v>5059</v>
      </c>
      <c r="F3456" s="72">
        <v>71408</v>
      </c>
      <c r="G3456" s="74" t="s">
        <v>24</v>
      </c>
      <c r="H3456" s="74">
        <v>48194000</v>
      </c>
      <c r="I3456" s="72">
        <v>5446.35</v>
      </c>
      <c r="J3456" s="72">
        <v>5446.35</v>
      </c>
      <c r="K3456" s="72">
        <v>0</v>
      </c>
      <c r="L3456" s="72">
        <v>0</v>
      </c>
      <c r="M3456" s="73" t="s">
        <v>3925</v>
      </c>
      <c r="N3456" s="75">
        <f t="shared" si="82"/>
        <v>10892.7</v>
      </c>
    </row>
    <row r="3457" spans="1:14">
      <c r="A3457" s="12">
        <v>3456</v>
      </c>
      <c r="B3457" s="71" t="s">
        <v>5060</v>
      </c>
      <c r="C3457" s="42" t="s">
        <v>5061</v>
      </c>
      <c r="D3457" s="71" t="s">
        <v>5062</v>
      </c>
      <c r="E3457" s="71" t="s">
        <v>4872</v>
      </c>
      <c r="F3457" s="72">
        <v>16166</v>
      </c>
      <c r="G3457" s="73" t="s">
        <v>4817</v>
      </c>
      <c r="H3457" s="76" t="s">
        <v>992</v>
      </c>
      <c r="I3457" s="72">
        <v>0</v>
      </c>
      <c r="J3457" s="72">
        <v>0</v>
      </c>
      <c r="K3457" s="72">
        <v>2466</v>
      </c>
      <c r="L3457" s="72">
        <v>0</v>
      </c>
      <c r="M3457" s="73" t="s">
        <v>3925</v>
      </c>
      <c r="N3457" s="75">
        <f t="shared" si="82"/>
        <v>2466</v>
      </c>
    </row>
    <row r="3458" spans="1:14">
      <c r="A3458" s="12">
        <v>3457</v>
      </c>
      <c r="B3458" s="71" t="s">
        <v>211</v>
      </c>
      <c r="C3458" s="42" t="s">
        <v>212</v>
      </c>
      <c r="D3458" s="71" t="s">
        <v>5063</v>
      </c>
      <c r="E3458" s="71" t="s">
        <v>5064</v>
      </c>
      <c r="F3458" s="72">
        <v>708</v>
      </c>
      <c r="G3458" s="73" t="s">
        <v>4817</v>
      </c>
      <c r="H3458" s="73">
        <v>9971</v>
      </c>
      <c r="I3458" s="72">
        <v>54</v>
      </c>
      <c r="J3458" s="72">
        <v>54</v>
      </c>
      <c r="K3458" s="72">
        <v>0</v>
      </c>
      <c r="L3458" s="72">
        <v>0</v>
      </c>
      <c r="M3458" s="73" t="s">
        <v>3925</v>
      </c>
      <c r="N3458" s="75">
        <f t="shared" si="82"/>
        <v>108</v>
      </c>
    </row>
    <row r="3459" spans="1:14">
      <c r="A3459" s="12">
        <v>3458</v>
      </c>
      <c r="B3459" s="71" t="s">
        <v>211</v>
      </c>
      <c r="C3459" s="42" t="s">
        <v>212</v>
      </c>
      <c r="D3459" s="71" t="s">
        <v>5065</v>
      </c>
      <c r="E3459" s="71" t="s">
        <v>5064</v>
      </c>
      <c r="F3459" s="72">
        <v>32464</v>
      </c>
      <c r="G3459" s="73" t="s">
        <v>4817</v>
      </c>
      <c r="H3459" s="73">
        <v>9971</v>
      </c>
      <c r="I3459" s="72">
        <v>2476</v>
      </c>
      <c r="J3459" s="72">
        <v>2476</v>
      </c>
      <c r="K3459" s="72">
        <v>0</v>
      </c>
      <c r="L3459" s="72">
        <v>0</v>
      </c>
      <c r="M3459" s="73" t="s">
        <v>3925</v>
      </c>
      <c r="N3459" s="75">
        <f t="shared" si="82"/>
        <v>4952</v>
      </c>
    </row>
    <row r="3460" spans="1:14">
      <c r="A3460" s="12">
        <v>3459</v>
      </c>
      <c r="B3460" s="71" t="s">
        <v>4056</v>
      </c>
      <c r="C3460" s="42" t="s">
        <v>4057</v>
      </c>
      <c r="D3460" s="71" t="s">
        <v>5066</v>
      </c>
      <c r="E3460" s="71" t="s">
        <v>5067</v>
      </c>
      <c r="F3460" s="72">
        <v>1066977</v>
      </c>
      <c r="G3460" s="73" t="s">
        <v>24</v>
      </c>
      <c r="H3460" s="77">
        <v>10064000</v>
      </c>
      <c r="I3460" s="72">
        <v>0</v>
      </c>
      <c r="J3460" s="72">
        <v>0</v>
      </c>
      <c r="K3460" s="72">
        <v>0</v>
      </c>
      <c r="L3460" s="72">
        <v>0</v>
      </c>
      <c r="M3460" s="73" t="s">
        <v>3925</v>
      </c>
      <c r="N3460" s="75">
        <f t="shared" si="82"/>
        <v>0</v>
      </c>
    </row>
    <row r="3461" spans="1:14">
      <c r="A3461" s="12">
        <v>3460</v>
      </c>
      <c r="B3461" s="71" t="s">
        <v>4153</v>
      </c>
      <c r="C3461" s="42" t="s">
        <v>4154</v>
      </c>
      <c r="D3461" s="71" t="s">
        <v>5068</v>
      </c>
      <c r="E3461" s="71" t="s">
        <v>5044</v>
      </c>
      <c r="F3461" s="72">
        <v>37170</v>
      </c>
      <c r="G3461" s="73" t="s">
        <v>24</v>
      </c>
      <c r="H3461" s="73">
        <v>530310</v>
      </c>
      <c r="I3461" s="72">
        <v>2835</v>
      </c>
      <c r="J3461" s="72">
        <v>2835</v>
      </c>
      <c r="K3461" s="72">
        <v>0</v>
      </c>
      <c r="L3461" s="72">
        <v>0</v>
      </c>
      <c r="M3461" s="73" t="s">
        <v>3925</v>
      </c>
      <c r="N3461" s="75">
        <f t="shared" si="82"/>
        <v>5670</v>
      </c>
    </row>
    <row r="3462" spans="1:14">
      <c r="A3462" s="12">
        <v>3461</v>
      </c>
      <c r="B3462" s="71" t="s">
        <v>4153</v>
      </c>
      <c r="C3462" s="42" t="s">
        <v>4154</v>
      </c>
      <c r="D3462" s="71" t="s">
        <v>5069</v>
      </c>
      <c r="E3462" s="71" t="s">
        <v>5044</v>
      </c>
      <c r="F3462" s="72">
        <v>221516</v>
      </c>
      <c r="G3462" s="73" t="s">
        <v>24</v>
      </c>
      <c r="H3462" s="73">
        <v>530310</v>
      </c>
      <c r="I3462" s="72">
        <v>5274.2</v>
      </c>
      <c r="J3462" s="72">
        <v>5274.2</v>
      </c>
      <c r="K3462" s="72">
        <v>0</v>
      </c>
      <c r="L3462" s="72">
        <v>0</v>
      </c>
      <c r="M3462" s="73" t="s">
        <v>3925</v>
      </c>
      <c r="N3462" s="75">
        <f t="shared" si="82"/>
        <v>10548.4</v>
      </c>
    </row>
    <row r="3463" spans="1:14">
      <c r="A3463" s="12">
        <v>3462</v>
      </c>
      <c r="B3463" s="71" t="s">
        <v>4877</v>
      </c>
      <c r="C3463" s="42" t="s">
        <v>4878</v>
      </c>
      <c r="D3463" s="71" t="s">
        <v>5070</v>
      </c>
      <c r="E3463" s="71" t="s">
        <v>5059</v>
      </c>
      <c r="F3463" s="72">
        <v>236</v>
      </c>
      <c r="G3463" s="73" t="s">
        <v>4817</v>
      </c>
      <c r="H3463" s="74">
        <v>996812</v>
      </c>
      <c r="I3463" s="72">
        <v>18</v>
      </c>
      <c r="J3463" s="72">
        <v>18</v>
      </c>
      <c r="K3463" s="72">
        <v>0</v>
      </c>
      <c r="L3463" s="72">
        <v>0</v>
      </c>
      <c r="M3463" s="73" t="s">
        <v>3925</v>
      </c>
      <c r="N3463" s="75">
        <f t="shared" si="82"/>
        <v>36</v>
      </c>
    </row>
    <row r="3464" spans="1:14">
      <c r="A3464" s="12">
        <v>3463</v>
      </c>
      <c r="B3464" s="71" t="s">
        <v>4880</v>
      </c>
      <c r="C3464" s="42" t="s">
        <v>4881</v>
      </c>
      <c r="D3464" s="71" t="s">
        <v>5071</v>
      </c>
      <c r="E3464" s="71" t="s">
        <v>5059</v>
      </c>
      <c r="F3464" s="72">
        <v>4130</v>
      </c>
      <c r="G3464" s="73" t="s">
        <v>4817</v>
      </c>
      <c r="H3464" s="77">
        <v>996713</v>
      </c>
      <c r="I3464" s="72">
        <v>315</v>
      </c>
      <c r="J3464" s="72">
        <v>315</v>
      </c>
      <c r="K3464" s="72">
        <v>0</v>
      </c>
      <c r="L3464" s="72">
        <v>0</v>
      </c>
      <c r="M3464" s="73" t="s">
        <v>3925</v>
      </c>
      <c r="N3464" s="75">
        <f t="shared" si="82"/>
        <v>630</v>
      </c>
    </row>
    <row r="3465" spans="1:14">
      <c r="A3465" s="12">
        <v>3464</v>
      </c>
      <c r="B3465" s="71" t="s">
        <v>4075</v>
      </c>
      <c r="C3465" s="42" t="s">
        <v>4076</v>
      </c>
      <c r="D3465" s="71" t="s">
        <v>5072</v>
      </c>
      <c r="E3465" s="71" t="s">
        <v>5073</v>
      </c>
      <c r="F3465" s="72">
        <v>236</v>
      </c>
      <c r="G3465" s="73" t="s">
        <v>4817</v>
      </c>
      <c r="H3465" s="76" t="s">
        <v>992</v>
      </c>
      <c r="I3465" s="72">
        <v>18</v>
      </c>
      <c r="J3465" s="72">
        <v>18</v>
      </c>
      <c r="K3465" s="72">
        <v>0</v>
      </c>
      <c r="L3465" s="72">
        <v>0</v>
      </c>
      <c r="M3465" s="73" t="s">
        <v>3925</v>
      </c>
      <c r="N3465" s="75">
        <f t="shared" ref="N3465:N3472" si="83">IF(M3465="YES",K3465+ I3465+J3465, 0)</f>
        <v>36</v>
      </c>
    </row>
    <row r="3466" spans="1:14">
      <c r="A3466" s="12">
        <v>3465</v>
      </c>
      <c r="B3466" s="71" t="s">
        <v>4075</v>
      </c>
      <c r="C3466" s="42" t="s">
        <v>4076</v>
      </c>
      <c r="D3466" s="71" t="s">
        <v>5074</v>
      </c>
      <c r="E3466" s="71" t="s">
        <v>5073</v>
      </c>
      <c r="F3466" s="72">
        <v>236</v>
      </c>
      <c r="G3466" s="73" t="s">
        <v>4817</v>
      </c>
      <c r="H3466" s="76" t="s">
        <v>992</v>
      </c>
      <c r="I3466" s="72">
        <v>18</v>
      </c>
      <c r="J3466" s="72">
        <v>18</v>
      </c>
      <c r="K3466" s="72">
        <v>0</v>
      </c>
      <c r="L3466" s="72">
        <v>0</v>
      </c>
      <c r="M3466" s="73" t="s">
        <v>3925</v>
      </c>
      <c r="N3466" s="75">
        <f t="shared" si="83"/>
        <v>36</v>
      </c>
    </row>
    <row r="3467" spans="1:14">
      <c r="A3467" s="12">
        <v>3466</v>
      </c>
      <c r="B3467" s="71" t="s">
        <v>1569</v>
      </c>
      <c r="C3467" s="42" t="s">
        <v>1570</v>
      </c>
      <c r="D3467" s="71" t="s">
        <v>5075</v>
      </c>
      <c r="E3467" s="71" t="s">
        <v>5055</v>
      </c>
      <c r="F3467" s="72">
        <v>176089</v>
      </c>
      <c r="G3467" s="73" t="s">
        <v>4817</v>
      </c>
      <c r="H3467" s="74">
        <v>996713</v>
      </c>
      <c r="I3467" s="72">
        <v>0</v>
      </c>
      <c r="J3467" s="72">
        <v>0</v>
      </c>
      <c r="K3467" s="72">
        <v>9801.5400000000009</v>
      </c>
      <c r="L3467" s="72">
        <v>0</v>
      </c>
      <c r="M3467" s="73" t="s">
        <v>3925</v>
      </c>
      <c r="N3467" s="75">
        <f t="shared" si="83"/>
        <v>9801.5400000000009</v>
      </c>
    </row>
    <row r="3468" spans="1:14">
      <c r="A3468" s="12">
        <v>3467</v>
      </c>
      <c r="B3468" s="71" t="s">
        <v>1569</v>
      </c>
      <c r="C3468" s="42" t="s">
        <v>1570</v>
      </c>
      <c r="D3468" s="71" t="s">
        <v>5076</v>
      </c>
      <c r="E3468" s="71" t="s">
        <v>5055</v>
      </c>
      <c r="F3468" s="72">
        <v>264279</v>
      </c>
      <c r="G3468" s="73" t="s">
        <v>4817</v>
      </c>
      <c r="H3468" s="74">
        <v>996713</v>
      </c>
      <c r="I3468" s="72">
        <v>0</v>
      </c>
      <c r="J3468" s="72">
        <v>0</v>
      </c>
      <c r="K3468" s="72">
        <v>12584.7</v>
      </c>
      <c r="L3468" s="72">
        <v>0</v>
      </c>
      <c r="M3468" s="73" t="s">
        <v>3925</v>
      </c>
      <c r="N3468" s="75">
        <f t="shared" si="83"/>
        <v>12584.7</v>
      </c>
    </row>
    <row r="3469" spans="1:14">
      <c r="A3469" s="12">
        <v>3468</v>
      </c>
      <c r="B3469" s="71" t="s">
        <v>1569</v>
      </c>
      <c r="C3469" s="42" t="s">
        <v>1570</v>
      </c>
      <c r="D3469" s="71" t="s">
        <v>5077</v>
      </c>
      <c r="E3469" s="71" t="s">
        <v>5055</v>
      </c>
      <c r="F3469" s="72">
        <v>204805</v>
      </c>
      <c r="G3469" s="73" t="s">
        <v>4817</v>
      </c>
      <c r="H3469" s="74">
        <v>996713</v>
      </c>
      <c r="I3469" s="72">
        <v>0</v>
      </c>
      <c r="J3469" s="72">
        <v>0</v>
      </c>
      <c r="K3469" s="72">
        <v>31241.5</v>
      </c>
      <c r="L3469" s="72">
        <v>0</v>
      </c>
      <c r="M3469" s="73" t="s">
        <v>3925</v>
      </c>
      <c r="N3469" s="75">
        <f t="shared" si="83"/>
        <v>31241.5</v>
      </c>
    </row>
    <row r="3470" spans="1:14">
      <c r="A3470" s="12">
        <v>3469</v>
      </c>
      <c r="B3470" s="71" t="s">
        <v>1569</v>
      </c>
      <c r="C3470" s="42" t="s">
        <v>1570</v>
      </c>
      <c r="D3470" s="71" t="s">
        <v>5078</v>
      </c>
      <c r="E3470" s="71" t="s">
        <v>5055</v>
      </c>
      <c r="F3470" s="72">
        <v>58729</v>
      </c>
      <c r="G3470" s="73" t="s">
        <v>4817</v>
      </c>
      <c r="H3470" s="74">
        <v>996713</v>
      </c>
      <c r="I3470" s="72">
        <v>0</v>
      </c>
      <c r="J3470" s="72">
        <v>0</v>
      </c>
      <c r="K3470" s="72">
        <v>2796.6</v>
      </c>
      <c r="L3470" s="72">
        <v>0</v>
      </c>
      <c r="M3470" s="73" t="s">
        <v>3925</v>
      </c>
      <c r="N3470" s="75">
        <f t="shared" si="83"/>
        <v>2796.6</v>
      </c>
    </row>
    <row r="3471" spans="1:14">
      <c r="A3471" s="12">
        <v>3470</v>
      </c>
      <c r="B3471" s="71" t="s">
        <v>1569</v>
      </c>
      <c r="C3471" s="42" t="s">
        <v>1570</v>
      </c>
      <c r="D3471" s="71" t="s">
        <v>5079</v>
      </c>
      <c r="E3471" s="71" t="s">
        <v>5055</v>
      </c>
      <c r="F3471" s="72">
        <v>50101</v>
      </c>
      <c r="G3471" s="73" t="s">
        <v>4817</v>
      </c>
      <c r="H3471" s="74">
        <v>996713</v>
      </c>
      <c r="I3471" s="72">
        <v>0</v>
      </c>
      <c r="J3471" s="72">
        <v>0</v>
      </c>
      <c r="K3471" s="72">
        <v>7642.56</v>
      </c>
      <c r="L3471" s="72">
        <v>0</v>
      </c>
      <c r="M3471" s="73" t="s">
        <v>3925</v>
      </c>
      <c r="N3471" s="75">
        <f t="shared" si="83"/>
        <v>7642.56</v>
      </c>
    </row>
    <row r="3472" spans="1:14">
      <c r="A3472" s="12">
        <v>3471</v>
      </c>
      <c r="B3472" s="94" t="s">
        <v>5080</v>
      </c>
      <c r="C3472" s="106" t="s">
        <v>5081</v>
      </c>
      <c r="D3472" s="94" t="s">
        <v>5082</v>
      </c>
      <c r="E3472" s="94" t="s">
        <v>181</v>
      </c>
      <c r="F3472" s="95">
        <v>1</v>
      </c>
      <c r="G3472" s="74" t="s">
        <v>24</v>
      </c>
      <c r="H3472" s="96">
        <v>64041990</v>
      </c>
      <c r="I3472" s="95">
        <v>0.09</v>
      </c>
      <c r="J3472" s="95">
        <v>0.09</v>
      </c>
      <c r="K3472" s="72">
        <v>0</v>
      </c>
      <c r="L3472" s="97">
        <v>0</v>
      </c>
      <c r="M3472" s="74" t="s">
        <v>4847</v>
      </c>
      <c r="N3472" s="75">
        <f t="shared" si="83"/>
        <v>0</v>
      </c>
    </row>
    <row r="3473" spans="1:14">
      <c r="A3473" s="12">
        <v>3472</v>
      </c>
      <c r="B3473" s="71" t="s">
        <v>5083</v>
      </c>
      <c r="C3473" s="42" t="s">
        <v>5084</v>
      </c>
      <c r="D3473" s="71" t="s">
        <v>5085</v>
      </c>
      <c r="E3473" s="98" t="s">
        <v>3727</v>
      </c>
      <c r="F3473" s="72">
        <v>728.7</v>
      </c>
      <c r="G3473" s="73" t="s">
        <v>64</v>
      </c>
      <c r="H3473" s="89" t="s">
        <v>5086</v>
      </c>
      <c r="I3473" s="72">
        <v>0</v>
      </c>
      <c r="J3473" s="72">
        <v>0</v>
      </c>
      <c r="K3473" s="72">
        <v>34.700000000000003</v>
      </c>
      <c r="L3473" s="97">
        <v>0</v>
      </c>
      <c r="M3473" s="73" t="s">
        <v>3925</v>
      </c>
      <c r="N3473" s="99">
        <f t="shared" ref="N3473:N3510" si="84">IF(M3473="YES", I3473+J3473+K3473, 0)</f>
        <v>34.700000000000003</v>
      </c>
    </row>
    <row r="3474" spans="1:14">
      <c r="A3474" s="12">
        <v>3473</v>
      </c>
      <c r="B3474" s="71" t="s">
        <v>5083</v>
      </c>
      <c r="C3474" s="42" t="s">
        <v>5084</v>
      </c>
      <c r="D3474" s="71" t="s">
        <v>5087</v>
      </c>
      <c r="E3474" s="98" t="s">
        <v>3702</v>
      </c>
      <c r="F3474" s="72">
        <v>169.05</v>
      </c>
      <c r="G3474" s="73" t="s">
        <v>64</v>
      </c>
      <c r="H3474" s="89" t="s">
        <v>5086</v>
      </c>
      <c r="I3474" s="72">
        <v>0</v>
      </c>
      <c r="J3474" s="72">
        <v>0</v>
      </c>
      <c r="K3474" s="72">
        <v>8.0500000000000007</v>
      </c>
      <c r="L3474" s="97">
        <v>0</v>
      </c>
      <c r="M3474" s="73" t="s">
        <v>3925</v>
      </c>
      <c r="N3474" s="99">
        <f t="shared" si="84"/>
        <v>8.0500000000000007</v>
      </c>
    </row>
    <row r="3475" spans="1:14">
      <c r="A3475" s="12">
        <v>3474</v>
      </c>
      <c r="B3475" s="71" t="s">
        <v>5088</v>
      </c>
      <c r="C3475" s="42" t="s">
        <v>5089</v>
      </c>
      <c r="D3475" s="71" t="s">
        <v>5090</v>
      </c>
      <c r="E3475" s="98" t="s">
        <v>492</v>
      </c>
      <c r="F3475" s="72">
        <v>828.4</v>
      </c>
      <c r="G3475" s="73" t="s">
        <v>64</v>
      </c>
      <c r="H3475" s="73">
        <v>997119</v>
      </c>
      <c r="I3475" s="72">
        <v>0</v>
      </c>
      <c r="J3475" s="72">
        <v>0</v>
      </c>
      <c r="K3475" s="72">
        <v>126.37</v>
      </c>
      <c r="L3475" s="97">
        <v>0</v>
      </c>
      <c r="M3475" s="73" t="s">
        <v>3925</v>
      </c>
      <c r="N3475" s="99">
        <f t="shared" si="84"/>
        <v>126.37</v>
      </c>
    </row>
    <row r="3476" spans="1:14">
      <c r="A3476" s="12">
        <v>3475</v>
      </c>
      <c r="B3476" s="71" t="s">
        <v>5091</v>
      </c>
      <c r="C3476" s="42" t="s">
        <v>1794</v>
      </c>
      <c r="D3476" s="71" t="s">
        <v>5092</v>
      </c>
      <c r="E3476" s="98" t="s">
        <v>492</v>
      </c>
      <c r="F3476" s="72">
        <v>688.79</v>
      </c>
      <c r="G3476" s="73" t="s">
        <v>64</v>
      </c>
      <c r="H3476" s="89" t="s">
        <v>5093</v>
      </c>
      <c r="I3476" s="72">
        <v>0</v>
      </c>
      <c r="J3476" s="72">
        <v>0</v>
      </c>
      <c r="K3476" s="72">
        <v>105.07</v>
      </c>
      <c r="L3476" s="97">
        <v>0</v>
      </c>
      <c r="M3476" s="73" t="s">
        <v>3925</v>
      </c>
      <c r="N3476" s="99">
        <f t="shared" si="84"/>
        <v>105.07</v>
      </c>
    </row>
    <row r="3477" spans="1:14">
      <c r="A3477" s="12">
        <v>3476</v>
      </c>
      <c r="B3477" s="71" t="s">
        <v>5094</v>
      </c>
      <c r="C3477" s="42" t="s">
        <v>5095</v>
      </c>
      <c r="D3477" s="71" t="s">
        <v>5096</v>
      </c>
      <c r="E3477" s="98" t="s">
        <v>3684</v>
      </c>
      <c r="F3477" s="72">
        <v>49280</v>
      </c>
      <c r="G3477" s="73" t="s">
        <v>182</v>
      </c>
      <c r="H3477" s="73">
        <v>9403</v>
      </c>
      <c r="I3477" s="72">
        <v>0</v>
      </c>
      <c r="J3477" s="72">
        <v>0</v>
      </c>
      <c r="K3477" s="72">
        <v>5280</v>
      </c>
      <c r="L3477" s="97">
        <v>0</v>
      </c>
      <c r="M3477" s="73" t="s">
        <v>3925</v>
      </c>
      <c r="N3477" s="99">
        <f t="shared" si="84"/>
        <v>5280</v>
      </c>
    </row>
    <row r="3478" spans="1:14">
      <c r="A3478" s="12">
        <v>3477</v>
      </c>
      <c r="B3478" s="71" t="s">
        <v>5094</v>
      </c>
      <c r="C3478" s="42" t="s">
        <v>5095</v>
      </c>
      <c r="D3478" s="71" t="s">
        <v>5097</v>
      </c>
      <c r="E3478" s="98" t="s">
        <v>3727</v>
      </c>
      <c r="F3478" s="72">
        <v>45430</v>
      </c>
      <c r="G3478" s="73" t="s">
        <v>182</v>
      </c>
      <c r="H3478" s="73">
        <v>9403</v>
      </c>
      <c r="I3478" s="72">
        <v>0</v>
      </c>
      <c r="J3478" s="72">
        <v>0</v>
      </c>
      <c r="K3478" s="72">
        <v>6930</v>
      </c>
      <c r="L3478" s="97">
        <v>0</v>
      </c>
      <c r="M3478" s="73" t="s">
        <v>3925</v>
      </c>
      <c r="N3478" s="99">
        <f t="shared" si="84"/>
        <v>6930</v>
      </c>
    </row>
    <row r="3479" spans="1:14">
      <c r="A3479" s="12">
        <v>3478</v>
      </c>
      <c r="B3479" s="71" t="s">
        <v>5094</v>
      </c>
      <c r="C3479" s="42" t="s">
        <v>5095</v>
      </c>
      <c r="D3479" s="71" t="s">
        <v>5098</v>
      </c>
      <c r="E3479" s="98" t="s">
        <v>3729</v>
      </c>
      <c r="F3479" s="72">
        <v>33630</v>
      </c>
      <c r="G3479" s="73" t="s">
        <v>182</v>
      </c>
      <c r="H3479" s="73">
        <v>9403</v>
      </c>
      <c r="I3479" s="72">
        <v>0</v>
      </c>
      <c r="J3479" s="72">
        <v>0</v>
      </c>
      <c r="K3479" s="72">
        <v>5130</v>
      </c>
      <c r="L3479" s="97">
        <v>0</v>
      </c>
      <c r="M3479" s="73" t="s">
        <v>3925</v>
      </c>
      <c r="N3479" s="99">
        <f t="shared" si="84"/>
        <v>5130</v>
      </c>
    </row>
    <row r="3480" spans="1:14">
      <c r="A3480" s="12">
        <v>3479</v>
      </c>
      <c r="B3480" s="71" t="s">
        <v>5094</v>
      </c>
      <c r="C3480" s="42" t="s">
        <v>5095</v>
      </c>
      <c r="D3480" s="71" t="s">
        <v>5099</v>
      </c>
      <c r="E3480" s="98" t="s">
        <v>3715</v>
      </c>
      <c r="F3480" s="72">
        <v>43680</v>
      </c>
      <c r="G3480" s="73" t="s">
        <v>182</v>
      </c>
      <c r="H3480" s="73">
        <v>9403</v>
      </c>
      <c r="I3480" s="72">
        <v>0</v>
      </c>
      <c r="J3480" s="72">
        <v>0</v>
      </c>
      <c r="K3480" s="72">
        <v>4680</v>
      </c>
      <c r="L3480" s="97">
        <v>0</v>
      </c>
      <c r="M3480" s="73" t="s">
        <v>3925</v>
      </c>
      <c r="N3480" s="99">
        <f t="shared" si="84"/>
        <v>4680</v>
      </c>
    </row>
    <row r="3481" spans="1:14">
      <c r="A3481" s="12">
        <v>3480</v>
      </c>
      <c r="B3481" s="71" t="s">
        <v>5094</v>
      </c>
      <c r="C3481" s="42" t="s">
        <v>5095</v>
      </c>
      <c r="D3481" s="71" t="s">
        <v>5100</v>
      </c>
      <c r="E3481" s="98" t="s">
        <v>3741</v>
      </c>
      <c r="F3481" s="72">
        <v>41440</v>
      </c>
      <c r="G3481" s="73" t="s">
        <v>182</v>
      </c>
      <c r="H3481" s="73">
        <v>9403</v>
      </c>
      <c r="I3481" s="72">
        <v>0</v>
      </c>
      <c r="J3481" s="72">
        <v>0</v>
      </c>
      <c r="K3481" s="72">
        <v>4440</v>
      </c>
      <c r="L3481" s="97">
        <v>0</v>
      </c>
      <c r="M3481" s="73" t="s">
        <v>3925</v>
      </c>
      <c r="N3481" s="99">
        <f t="shared" si="84"/>
        <v>4440</v>
      </c>
    </row>
    <row r="3482" spans="1:14">
      <c r="A3482" s="12">
        <v>3481</v>
      </c>
      <c r="B3482" s="71" t="s">
        <v>5094</v>
      </c>
      <c r="C3482" s="42" t="s">
        <v>5095</v>
      </c>
      <c r="D3482" s="71" t="s">
        <v>5101</v>
      </c>
      <c r="E3482" s="98" t="s">
        <v>3793</v>
      </c>
      <c r="F3482" s="72">
        <v>40880</v>
      </c>
      <c r="G3482" s="73" t="s">
        <v>182</v>
      </c>
      <c r="H3482" s="73">
        <v>9403</v>
      </c>
      <c r="I3482" s="72">
        <v>0</v>
      </c>
      <c r="J3482" s="72">
        <v>0</v>
      </c>
      <c r="K3482" s="72">
        <v>4380</v>
      </c>
      <c r="L3482" s="97">
        <v>0</v>
      </c>
      <c r="M3482" s="73" t="s">
        <v>3925</v>
      </c>
      <c r="N3482" s="99">
        <f t="shared" si="84"/>
        <v>4380</v>
      </c>
    </row>
    <row r="3483" spans="1:14">
      <c r="A3483" s="12">
        <v>3482</v>
      </c>
      <c r="B3483" s="71" t="s">
        <v>5094</v>
      </c>
      <c r="C3483" s="42" t="s">
        <v>5095</v>
      </c>
      <c r="D3483" s="71" t="s">
        <v>5102</v>
      </c>
      <c r="E3483" s="98" t="s">
        <v>3698</v>
      </c>
      <c r="F3483" s="72">
        <v>29120</v>
      </c>
      <c r="G3483" s="73" t="s">
        <v>182</v>
      </c>
      <c r="H3483" s="73">
        <v>9403</v>
      </c>
      <c r="I3483" s="72">
        <v>0</v>
      </c>
      <c r="J3483" s="72">
        <v>0</v>
      </c>
      <c r="K3483" s="72">
        <v>3120</v>
      </c>
      <c r="L3483" s="97">
        <v>0</v>
      </c>
      <c r="M3483" s="73" t="s">
        <v>3925</v>
      </c>
      <c r="N3483" s="99">
        <f t="shared" si="84"/>
        <v>3120</v>
      </c>
    </row>
    <row r="3484" spans="1:14">
      <c r="A3484" s="12">
        <v>3483</v>
      </c>
      <c r="B3484" s="71" t="s">
        <v>5094</v>
      </c>
      <c r="C3484" s="42" t="s">
        <v>5095</v>
      </c>
      <c r="D3484" s="71" t="s">
        <v>5103</v>
      </c>
      <c r="E3484" s="98" t="s">
        <v>3702</v>
      </c>
      <c r="F3484" s="72">
        <v>12320</v>
      </c>
      <c r="G3484" s="73" t="s">
        <v>182</v>
      </c>
      <c r="H3484" s="73">
        <v>9403</v>
      </c>
      <c r="I3484" s="72">
        <v>0</v>
      </c>
      <c r="J3484" s="72">
        <v>0</v>
      </c>
      <c r="K3484" s="72">
        <v>1320</v>
      </c>
      <c r="L3484" s="97">
        <v>0</v>
      </c>
      <c r="M3484" s="73" t="s">
        <v>3925</v>
      </c>
      <c r="N3484" s="99">
        <f t="shared" si="84"/>
        <v>1320</v>
      </c>
    </row>
    <row r="3485" spans="1:14">
      <c r="A3485" s="12">
        <v>3484</v>
      </c>
      <c r="B3485" s="71" t="s">
        <v>5094</v>
      </c>
      <c r="C3485" s="42" t="s">
        <v>5095</v>
      </c>
      <c r="D3485" s="71" t="s">
        <v>5104</v>
      </c>
      <c r="E3485" s="98" t="s">
        <v>527</v>
      </c>
      <c r="F3485" s="72">
        <v>43070</v>
      </c>
      <c r="G3485" s="73" t="s">
        <v>182</v>
      </c>
      <c r="H3485" s="73">
        <v>9403</v>
      </c>
      <c r="I3485" s="72">
        <v>0</v>
      </c>
      <c r="J3485" s="72">
        <v>0</v>
      </c>
      <c r="K3485" s="72">
        <v>6570</v>
      </c>
      <c r="L3485" s="97">
        <v>0</v>
      </c>
      <c r="M3485" s="73" t="s">
        <v>3925</v>
      </c>
      <c r="N3485" s="99">
        <f t="shared" si="84"/>
        <v>6570</v>
      </c>
    </row>
    <row r="3486" spans="1:14">
      <c r="A3486" s="12">
        <v>3485</v>
      </c>
      <c r="B3486" s="71" t="s">
        <v>5094</v>
      </c>
      <c r="C3486" s="42" t="s">
        <v>5095</v>
      </c>
      <c r="D3486" s="71" t="s">
        <v>5105</v>
      </c>
      <c r="E3486" s="98" t="s">
        <v>3814</v>
      </c>
      <c r="F3486" s="72">
        <v>19040</v>
      </c>
      <c r="G3486" s="73" t="s">
        <v>182</v>
      </c>
      <c r="H3486" s="73">
        <v>9403</v>
      </c>
      <c r="I3486" s="72">
        <v>0</v>
      </c>
      <c r="J3486" s="72">
        <v>0</v>
      </c>
      <c r="K3486" s="72">
        <v>2040</v>
      </c>
      <c r="L3486" s="97">
        <v>0</v>
      </c>
      <c r="M3486" s="73" t="s">
        <v>3925</v>
      </c>
      <c r="N3486" s="99">
        <f t="shared" si="84"/>
        <v>2040</v>
      </c>
    </row>
    <row r="3487" spans="1:14">
      <c r="A3487" s="12">
        <v>3486</v>
      </c>
      <c r="B3487" s="71" t="s">
        <v>5094</v>
      </c>
      <c r="C3487" s="42" t="s">
        <v>5095</v>
      </c>
      <c r="D3487" s="71" t="s">
        <v>5106</v>
      </c>
      <c r="E3487" s="98" t="s">
        <v>3688</v>
      </c>
      <c r="F3487" s="72">
        <v>9296</v>
      </c>
      <c r="G3487" s="73" t="s">
        <v>182</v>
      </c>
      <c r="H3487" s="73">
        <v>9403</v>
      </c>
      <c r="I3487" s="72">
        <v>0</v>
      </c>
      <c r="J3487" s="72">
        <v>0</v>
      </c>
      <c r="K3487" s="72">
        <v>996</v>
      </c>
      <c r="L3487" s="97">
        <v>0</v>
      </c>
      <c r="M3487" s="73" t="s">
        <v>3925</v>
      </c>
      <c r="N3487" s="99">
        <f t="shared" si="84"/>
        <v>996</v>
      </c>
    </row>
    <row r="3488" spans="1:14">
      <c r="A3488" s="12">
        <v>3487</v>
      </c>
      <c r="B3488" s="71" t="s">
        <v>1793</v>
      </c>
      <c r="C3488" s="42" t="s">
        <v>1794</v>
      </c>
      <c r="D3488" s="71" t="s">
        <v>5107</v>
      </c>
      <c r="E3488" s="98" t="s">
        <v>492</v>
      </c>
      <c r="F3488" s="72">
        <v>3736.1</v>
      </c>
      <c r="G3488" s="73" t="s">
        <v>64</v>
      </c>
      <c r="H3488" s="89" t="s">
        <v>5093</v>
      </c>
      <c r="I3488" s="72">
        <v>284.95999999999998</v>
      </c>
      <c r="J3488" s="72">
        <v>284.95999999999998</v>
      </c>
      <c r="K3488" s="72">
        <v>0</v>
      </c>
      <c r="L3488" s="97">
        <v>0</v>
      </c>
      <c r="M3488" s="73" t="s">
        <v>3925</v>
      </c>
      <c r="N3488" s="99">
        <f t="shared" si="84"/>
        <v>569.91999999999996</v>
      </c>
    </row>
    <row r="3489" spans="1:14">
      <c r="A3489" s="12">
        <v>3488</v>
      </c>
      <c r="B3489" s="71" t="s">
        <v>5108</v>
      </c>
      <c r="C3489" s="42" t="s">
        <v>5109</v>
      </c>
      <c r="D3489" s="71" t="s">
        <v>5110</v>
      </c>
      <c r="E3489" s="98" t="s">
        <v>3802</v>
      </c>
      <c r="F3489" s="72">
        <v>12390</v>
      </c>
      <c r="G3489" s="73" t="s">
        <v>64</v>
      </c>
      <c r="H3489" s="73">
        <v>998312</v>
      </c>
      <c r="I3489" s="72">
        <v>0</v>
      </c>
      <c r="J3489" s="72">
        <v>0</v>
      </c>
      <c r="K3489" s="72">
        <v>1890</v>
      </c>
      <c r="L3489" s="97">
        <v>0</v>
      </c>
      <c r="M3489" s="73" t="s">
        <v>4847</v>
      </c>
      <c r="N3489" s="99">
        <f t="shared" si="84"/>
        <v>0</v>
      </c>
    </row>
    <row r="3490" spans="1:14">
      <c r="A3490" s="12">
        <v>3489</v>
      </c>
      <c r="B3490" s="71" t="s">
        <v>5111</v>
      </c>
      <c r="C3490" s="42" t="s">
        <v>5112</v>
      </c>
      <c r="D3490" s="71" t="s">
        <v>5113</v>
      </c>
      <c r="E3490" s="98" t="s">
        <v>3698</v>
      </c>
      <c r="F3490" s="72">
        <v>11200</v>
      </c>
      <c r="G3490" s="73" t="s">
        <v>24</v>
      </c>
      <c r="H3490" s="73">
        <v>4421</v>
      </c>
      <c r="I3490" s="72">
        <v>0</v>
      </c>
      <c r="J3490" s="72">
        <v>0</v>
      </c>
      <c r="K3490" s="72">
        <v>1200</v>
      </c>
      <c r="L3490" s="97">
        <v>0</v>
      </c>
      <c r="M3490" s="73" t="s">
        <v>3925</v>
      </c>
      <c r="N3490" s="99">
        <f t="shared" si="84"/>
        <v>1200</v>
      </c>
    </row>
    <row r="3491" spans="1:14">
      <c r="A3491" s="12">
        <v>3490</v>
      </c>
      <c r="B3491" s="71" t="s">
        <v>805</v>
      </c>
      <c r="C3491" s="42" t="s">
        <v>806</v>
      </c>
      <c r="D3491" s="71" t="s">
        <v>5114</v>
      </c>
      <c r="E3491" s="98" t="s">
        <v>492</v>
      </c>
      <c r="F3491" s="72">
        <v>28387.26</v>
      </c>
      <c r="G3491" s="73" t="s">
        <v>64</v>
      </c>
      <c r="H3491" s="89" t="s">
        <v>847</v>
      </c>
      <c r="I3491" s="72">
        <v>0</v>
      </c>
      <c r="J3491" s="72">
        <v>0</v>
      </c>
      <c r="K3491" s="72">
        <v>4330.26</v>
      </c>
      <c r="L3491" s="97">
        <v>0</v>
      </c>
      <c r="M3491" s="73" t="s">
        <v>3925</v>
      </c>
      <c r="N3491" s="99">
        <f t="shared" si="84"/>
        <v>4330.26</v>
      </c>
    </row>
    <row r="3492" spans="1:14">
      <c r="A3492" s="12">
        <v>3491</v>
      </c>
      <c r="B3492" s="71" t="s">
        <v>3936</v>
      </c>
      <c r="C3492" s="42" t="s">
        <v>3937</v>
      </c>
      <c r="D3492" s="71" t="s">
        <v>5115</v>
      </c>
      <c r="E3492" s="98" t="s">
        <v>3833</v>
      </c>
      <c r="F3492" s="72">
        <v>5.9</v>
      </c>
      <c r="G3492" s="73" t="s">
        <v>64</v>
      </c>
      <c r="H3492" s="73">
        <v>9971</v>
      </c>
      <c r="I3492" s="72">
        <v>0.45</v>
      </c>
      <c r="J3492" s="72">
        <v>0.45</v>
      </c>
      <c r="K3492" s="72">
        <v>0</v>
      </c>
      <c r="L3492" s="97">
        <v>0</v>
      </c>
      <c r="M3492" s="73" t="s">
        <v>3925</v>
      </c>
      <c r="N3492" s="99">
        <f t="shared" si="84"/>
        <v>0.9</v>
      </c>
    </row>
    <row r="3493" spans="1:14">
      <c r="A3493" s="12">
        <v>3492</v>
      </c>
      <c r="B3493" s="71" t="s">
        <v>3936</v>
      </c>
      <c r="C3493" s="42" t="s">
        <v>3937</v>
      </c>
      <c r="D3493" s="71" t="s">
        <v>5116</v>
      </c>
      <c r="E3493" s="98" t="s">
        <v>3729</v>
      </c>
      <c r="F3493" s="72">
        <v>5.9</v>
      </c>
      <c r="G3493" s="73" t="s">
        <v>64</v>
      </c>
      <c r="H3493" s="73">
        <v>9971</v>
      </c>
      <c r="I3493" s="72">
        <v>0.45</v>
      </c>
      <c r="J3493" s="72">
        <v>0.45</v>
      </c>
      <c r="K3493" s="72">
        <v>0</v>
      </c>
      <c r="L3493" s="97">
        <v>0</v>
      </c>
      <c r="M3493" s="73" t="s">
        <v>3925</v>
      </c>
      <c r="N3493" s="99">
        <f t="shared" si="84"/>
        <v>0.9</v>
      </c>
    </row>
    <row r="3494" spans="1:14">
      <c r="A3494" s="12">
        <v>3493</v>
      </c>
      <c r="B3494" s="71" t="s">
        <v>3936</v>
      </c>
      <c r="C3494" s="42" t="s">
        <v>3937</v>
      </c>
      <c r="D3494" s="71" t="s">
        <v>5117</v>
      </c>
      <c r="E3494" s="98" t="s">
        <v>3729</v>
      </c>
      <c r="F3494" s="72">
        <v>387.86</v>
      </c>
      <c r="G3494" s="73" t="s">
        <v>64</v>
      </c>
      <c r="H3494" s="73">
        <v>9971</v>
      </c>
      <c r="I3494" s="72">
        <v>29.58</v>
      </c>
      <c r="J3494" s="72">
        <v>29.58</v>
      </c>
      <c r="K3494" s="72">
        <v>0</v>
      </c>
      <c r="L3494" s="97">
        <v>0</v>
      </c>
      <c r="M3494" s="73" t="s">
        <v>3925</v>
      </c>
      <c r="N3494" s="99">
        <f t="shared" si="84"/>
        <v>59.16</v>
      </c>
    </row>
    <row r="3495" spans="1:14">
      <c r="A3495" s="12">
        <v>3494</v>
      </c>
      <c r="B3495" s="71" t="s">
        <v>3936</v>
      </c>
      <c r="C3495" s="42" t="s">
        <v>3937</v>
      </c>
      <c r="D3495" s="71" t="s">
        <v>5118</v>
      </c>
      <c r="E3495" s="98" t="s">
        <v>3729</v>
      </c>
      <c r="F3495" s="72">
        <v>5.9</v>
      </c>
      <c r="G3495" s="73" t="s">
        <v>64</v>
      </c>
      <c r="H3495" s="73">
        <v>9971</v>
      </c>
      <c r="I3495" s="72">
        <v>0.45</v>
      </c>
      <c r="J3495" s="72">
        <v>0.45</v>
      </c>
      <c r="K3495" s="72">
        <v>0</v>
      </c>
      <c r="L3495" s="97">
        <v>0</v>
      </c>
      <c r="M3495" s="73" t="s">
        <v>3925</v>
      </c>
      <c r="N3495" s="99">
        <f t="shared" si="84"/>
        <v>0.9</v>
      </c>
    </row>
    <row r="3496" spans="1:14">
      <c r="A3496" s="12">
        <v>3495</v>
      </c>
      <c r="B3496" s="71" t="s">
        <v>3936</v>
      </c>
      <c r="C3496" s="42" t="s">
        <v>3937</v>
      </c>
      <c r="D3496" s="71" t="s">
        <v>5119</v>
      </c>
      <c r="E3496" s="98" t="s">
        <v>3729</v>
      </c>
      <c r="F3496" s="72">
        <v>1475</v>
      </c>
      <c r="G3496" s="73" t="s">
        <v>64</v>
      </c>
      <c r="H3496" s="73">
        <v>9971</v>
      </c>
      <c r="I3496" s="72">
        <v>112.5</v>
      </c>
      <c r="J3496" s="72">
        <v>112.5</v>
      </c>
      <c r="K3496" s="72">
        <v>0</v>
      </c>
      <c r="L3496" s="97">
        <v>0</v>
      </c>
      <c r="M3496" s="73" t="s">
        <v>3925</v>
      </c>
      <c r="N3496" s="99">
        <f t="shared" si="84"/>
        <v>225</v>
      </c>
    </row>
    <row r="3497" spans="1:14">
      <c r="A3497" s="12">
        <v>3496</v>
      </c>
      <c r="B3497" s="71" t="s">
        <v>3936</v>
      </c>
      <c r="C3497" s="42" t="s">
        <v>3937</v>
      </c>
      <c r="D3497" s="71" t="s">
        <v>5120</v>
      </c>
      <c r="E3497" s="98" t="s">
        <v>3715</v>
      </c>
      <c r="F3497" s="72">
        <v>295</v>
      </c>
      <c r="G3497" s="73" t="s">
        <v>64</v>
      </c>
      <c r="H3497" s="73">
        <v>9971</v>
      </c>
      <c r="I3497" s="72">
        <v>22.5</v>
      </c>
      <c r="J3497" s="72">
        <v>22.5</v>
      </c>
      <c r="K3497" s="72">
        <v>0</v>
      </c>
      <c r="L3497" s="97">
        <v>0</v>
      </c>
      <c r="M3497" s="73" t="s">
        <v>3925</v>
      </c>
      <c r="N3497" s="99">
        <f t="shared" si="84"/>
        <v>45</v>
      </c>
    </row>
    <row r="3498" spans="1:14">
      <c r="A3498" s="12">
        <v>3497</v>
      </c>
      <c r="B3498" s="71" t="s">
        <v>3936</v>
      </c>
      <c r="C3498" s="42" t="s">
        <v>3937</v>
      </c>
      <c r="D3498" s="71" t="s">
        <v>5121</v>
      </c>
      <c r="E3498" s="98" t="s">
        <v>3734</v>
      </c>
      <c r="F3498" s="72">
        <v>5.9</v>
      </c>
      <c r="G3498" s="73" t="s">
        <v>64</v>
      </c>
      <c r="H3498" s="73">
        <v>9971</v>
      </c>
      <c r="I3498" s="72">
        <v>0.45</v>
      </c>
      <c r="J3498" s="72">
        <v>0.45</v>
      </c>
      <c r="K3498" s="72">
        <v>0</v>
      </c>
      <c r="L3498" s="97">
        <v>0</v>
      </c>
      <c r="M3498" s="73" t="s">
        <v>3925</v>
      </c>
      <c r="N3498" s="99">
        <f t="shared" si="84"/>
        <v>0.9</v>
      </c>
    </row>
    <row r="3499" spans="1:14">
      <c r="A3499" s="12">
        <v>3498</v>
      </c>
      <c r="B3499" s="71" t="s">
        <v>3936</v>
      </c>
      <c r="C3499" s="42" t="s">
        <v>3937</v>
      </c>
      <c r="D3499" s="71" t="s">
        <v>5122</v>
      </c>
      <c r="E3499" s="98" t="s">
        <v>3739</v>
      </c>
      <c r="F3499" s="72">
        <v>5.9</v>
      </c>
      <c r="G3499" s="73" t="s">
        <v>64</v>
      </c>
      <c r="H3499" s="73">
        <v>9971</v>
      </c>
      <c r="I3499" s="72">
        <v>0.45</v>
      </c>
      <c r="J3499" s="72">
        <v>0.45</v>
      </c>
      <c r="K3499" s="72">
        <v>0</v>
      </c>
      <c r="L3499" s="97">
        <v>0</v>
      </c>
      <c r="M3499" s="73" t="s">
        <v>3925</v>
      </c>
      <c r="N3499" s="99">
        <f t="shared" si="84"/>
        <v>0.9</v>
      </c>
    </row>
    <row r="3500" spans="1:14">
      <c r="A3500" s="12">
        <v>3499</v>
      </c>
      <c r="B3500" s="71" t="s">
        <v>3936</v>
      </c>
      <c r="C3500" s="42" t="s">
        <v>3937</v>
      </c>
      <c r="D3500" s="71" t="s">
        <v>5123</v>
      </c>
      <c r="E3500" s="98" t="s">
        <v>3713</v>
      </c>
      <c r="F3500" s="72">
        <v>5.9</v>
      </c>
      <c r="G3500" s="73" t="s">
        <v>64</v>
      </c>
      <c r="H3500" s="73">
        <v>9971</v>
      </c>
      <c r="I3500" s="72">
        <v>0.45</v>
      </c>
      <c r="J3500" s="72">
        <v>0.45</v>
      </c>
      <c r="K3500" s="72">
        <v>0</v>
      </c>
      <c r="L3500" s="97">
        <v>0</v>
      </c>
      <c r="M3500" s="73" t="s">
        <v>3925</v>
      </c>
      <c r="N3500" s="99">
        <f t="shared" si="84"/>
        <v>0.9</v>
      </c>
    </row>
    <row r="3501" spans="1:14">
      <c r="A3501" s="12">
        <v>3500</v>
      </c>
      <c r="B3501" s="71" t="s">
        <v>3936</v>
      </c>
      <c r="C3501" s="42" t="s">
        <v>3937</v>
      </c>
      <c r="D3501" s="71" t="s">
        <v>5124</v>
      </c>
      <c r="E3501" s="98" t="s">
        <v>3799</v>
      </c>
      <c r="F3501" s="72">
        <v>5.9</v>
      </c>
      <c r="G3501" s="73" t="s">
        <v>64</v>
      </c>
      <c r="H3501" s="73">
        <v>9971</v>
      </c>
      <c r="I3501" s="72">
        <v>0.45</v>
      </c>
      <c r="J3501" s="72">
        <v>0.45</v>
      </c>
      <c r="K3501" s="72">
        <v>0</v>
      </c>
      <c r="L3501" s="97">
        <v>0</v>
      </c>
      <c r="M3501" s="73" t="s">
        <v>3925</v>
      </c>
      <c r="N3501" s="99">
        <f t="shared" si="84"/>
        <v>0.9</v>
      </c>
    </row>
    <row r="3502" spans="1:14">
      <c r="A3502" s="12">
        <v>3501</v>
      </c>
      <c r="B3502" s="71" t="s">
        <v>3936</v>
      </c>
      <c r="C3502" s="42" t="s">
        <v>3937</v>
      </c>
      <c r="D3502" s="71" t="s">
        <v>5125</v>
      </c>
      <c r="E3502" s="98" t="s">
        <v>3698</v>
      </c>
      <c r="F3502" s="72">
        <v>5.9</v>
      </c>
      <c r="G3502" s="73" t="s">
        <v>64</v>
      </c>
      <c r="H3502" s="73">
        <v>9971</v>
      </c>
      <c r="I3502" s="72">
        <v>0.45</v>
      </c>
      <c r="J3502" s="72">
        <v>0.45</v>
      </c>
      <c r="K3502" s="72">
        <v>0</v>
      </c>
      <c r="L3502" s="97">
        <v>0</v>
      </c>
      <c r="M3502" s="73" t="s">
        <v>3925</v>
      </c>
      <c r="N3502" s="99">
        <f t="shared" si="84"/>
        <v>0.9</v>
      </c>
    </row>
    <row r="3503" spans="1:14">
      <c r="A3503" s="12">
        <v>3502</v>
      </c>
      <c r="B3503" s="71" t="s">
        <v>3936</v>
      </c>
      <c r="C3503" s="42" t="s">
        <v>3937</v>
      </c>
      <c r="D3503" s="71" t="s">
        <v>5126</v>
      </c>
      <c r="E3503" s="98" t="s">
        <v>3688</v>
      </c>
      <c r="F3503" s="72">
        <v>165.2</v>
      </c>
      <c r="G3503" s="73" t="s">
        <v>64</v>
      </c>
      <c r="H3503" s="73">
        <v>9971</v>
      </c>
      <c r="I3503" s="72">
        <v>12.6</v>
      </c>
      <c r="J3503" s="72">
        <v>12.6</v>
      </c>
      <c r="K3503" s="72">
        <v>0</v>
      </c>
      <c r="L3503" s="97">
        <v>0</v>
      </c>
      <c r="M3503" s="73" t="s">
        <v>3925</v>
      </c>
      <c r="N3503" s="99">
        <f t="shared" si="84"/>
        <v>25.2</v>
      </c>
    </row>
    <row r="3504" spans="1:14">
      <c r="A3504" s="12">
        <v>3503</v>
      </c>
      <c r="B3504" s="71" t="s">
        <v>3936</v>
      </c>
      <c r="C3504" s="42" t="s">
        <v>3937</v>
      </c>
      <c r="D3504" s="71" t="s">
        <v>5127</v>
      </c>
      <c r="E3504" s="98" t="s">
        <v>221</v>
      </c>
      <c r="F3504" s="72">
        <v>5.9</v>
      </c>
      <c r="G3504" s="73" t="s">
        <v>64</v>
      </c>
      <c r="H3504" s="73">
        <v>9971</v>
      </c>
      <c r="I3504" s="72">
        <v>0.45</v>
      </c>
      <c r="J3504" s="72">
        <v>0.45</v>
      </c>
      <c r="K3504" s="72">
        <v>0</v>
      </c>
      <c r="L3504" s="97">
        <v>0</v>
      </c>
      <c r="M3504" s="73" t="s">
        <v>3925</v>
      </c>
      <c r="N3504" s="99">
        <f t="shared" si="84"/>
        <v>0.9</v>
      </c>
    </row>
    <row r="3505" spans="1:14">
      <c r="A3505" s="12">
        <v>3504</v>
      </c>
      <c r="B3505" s="71" t="s">
        <v>3936</v>
      </c>
      <c r="C3505" s="42" t="s">
        <v>3937</v>
      </c>
      <c r="D3505" s="71" t="s">
        <v>5128</v>
      </c>
      <c r="E3505" s="98" t="s">
        <v>527</v>
      </c>
      <c r="F3505" s="72">
        <v>5.9</v>
      </c>
      <c r="G3505" s="73" t="s">
        <v>64</v>
      </c>
      <c r="H3505" s="73">
        <v>9971</v>
      </c>
      <c r="I3505" s="72">
        <v>0.45</v>
      </c>
      <c r="J3505" s="72">
        <v>0.45</v>
      </c>
      <c r="K3505" s="72">
        <v>0</v>
      </c>
      <c r="L3505" s="97">
        <v>0</v>
      </c>
      <c r="M3505" s="73" t="s">
        <v>3925</v>
      </c>
      <c r="N3505" s="99">
        <f t="shared" si="84"/>
        <v>0.9</v>
      </c>
    </row>
    <row r="3506" spans="1:14">
      <c r="A3506" s="12">
        <v>3505</v>
      </c>
      <c r="B3506" s="71" t="s">
        <v>3936</v>
      </c>
      <c r="C3506" s="42" t="s">
        <v>3937</v>
      </c>
      <c r="D3506" s="71" t="s">
        <v>5129</v>
      </c>
      <c r="E3506" s="98" t="s">
        <v>3690</v>
      </c>
      <c r="F3506" s="72">
        <v>4130</v>
      </c>
      <c r="G3506" s="73" t="s">
        <v>64</v>
      </c>
      <c r="H3506" s="73">
        <v>9971</v>
      </c>
      <c r="I3506" s="72">
        <v>315</v>
      </c>
      <c r="J3506" s="72">
        <v>315</v>
      </c>
      <c r="K3506" s="72">
        <v>0</v>
      </c>
      <c r="L3506" s="97">
        <v>0</v>
      </c>
      <c r="M3506" s="73" t="s">
        <v>3925</v>
      </c>
      <c r="N3506" s="99">
        <f t="shared" si="84"/>
        <v>630</v>
      </c>
    </row>
    <row r="3507" spans="1:14">
      <c r="A3507" s="12">
        <v>3506</v>
      </c>
      <c r="B3507" s="71" t="s">
        <v>3391</v>
      </c>
      <c r="C3507" s="42" t="s">
        <v>3392</v>
      </c>
      <c r="D3507" s="71" t="s">
        <v>5130</v>
      </c>
      <c r="E3507" s="98" t="s">
        <v>3734</v>
      </c>
      <c r="F3507" s="72">
        <v>61553.16</v>
      </c>
      <c r="G3507" s="73" t="s">
        <v>64</v>
      </c>
      <c r="H3507" s="89" t="s">
        <v>5131</v>
      </c>
      <c r="I3507" s="72">
        <v>4694.7299999999996</v>
      </c>
      <c r="J3507" s="72">
        <v>4694.7299999999996</v>
      </c>
      <c r="K3507" s="72">
        <v>0</v>
      </c>
      <c r="L3507" s="97">
        <v>0</v>
      </c>
      <c r="M3507" s="73" t="s">
        <v>3925</v>
      </c>
      <c r="N3507" s="99">
        <f t="shared" si="84"/>
        <v>9389.4599999999991</v>
      </c>
    </row>
    <row r="3508" spans="1:14">
      <c r="A3508" s="12">
        <v>3507</v>
      </c>
      <c r="B3508" s="71" t="s">
        <v>3391</v>
      </c>
      <c r="C3508" s="42" t="s">
        <v>3392</v>
      </c>
      <c r="D3508" s="71" t="s">
        <v>5132</v>
      </c>
      <c r="E3508" s="98" t="s">
        <v>3799</v>
      </c>
      <c r="F3508" s="72">
        <v>56412.62</v>
      </c>
      <c r="G3508" s="73" t="s">
        <v>64</v>
      </c>
      <c r="H3508" s="89" t="s">
        <v>5131</v>
      </c>
      <c r="I3508" s="72">
        <v>4302.66</v>
      </c>
      <c r="J3508" s="72">
        <v>4302.66</v>
      </c>
      <c r="K3508" s="72">
        <v>0</v>
      </c>
      <c r="L3508" s="97">
        <v>0</v>
      </c>
      <c r="M3508" s="73" t="s">
        <v>3925</v>
      </c>
      <c r="N3508" s="99">
        <f t="shared" si="84"/>
        <v>8605.32</v>
      </c>
    </row>
    <row r="3509" spans="1:14">
      <c r="A3509" s="12">
        <v>3508</v>
      </c>
      <c r="B3509" s="71" t="s">
        <v>3391</v>
      </c>
      <c r="C3509" s="42" t="s">
        <v>3392</v>
      </c>
      <c r="D3509" s="71" t="s">
        <v>5133</v>
      </c>
      <c r="E3509" s="98" t="s">
        <v>3814</v>
      </c>
      <c r="F3509" s="72">
        <v>3198.28</v>
      </c>
      <c r="G3509" s="73" t="s">
        <v>64</v>
      </c>
      <c r="H3509" s="89" t="s">
        <v>5131</v>
      </c>
      <c r="I3509" s="72">
        <v>243.94</v>
      </c>
      <c r="J3509" s="72">
        <v>243.94</v>
      </c>
      <c r="K3509" s="72">
        <v>0</v>
      </c>
      <c r="L3509" s="97">
        <v>0</v>
      </c>
      <c r="M3509" s="73" t="s">
        <v>3925</v>
      </c>
      <c r="N3509" s="99">
        <f t="shared" si="84"/>
        <v>487.88</v>
      </c>
    </row>
    <row r="3510" spans="1:14">
      <c r="A3510" s="12">
        <v>3509</v>
      </c>
      <c r="B3510" s="71" t="s">
        <v>3391</v>
      </c>
      <c r="C3510" s="42" t="s">
        <v>3392</v>
      </c>
      <c r="D3510" s="71" t="s">
        <v>5134</v>
      </c>
      <c r="E3510" s="98" t="s">
        <v>3833</v>
      </c>
      <c r="F3510" s="72">
        <v>97871.8</v>
      </c>
      <c r="G3510" s="73" t="s">
        <v>64</v>
      </c>
      <c r="H3510" s="89" t="s">
        <v>5131</v>
      </c>
      <c r="I3510" s="72">
        <v>7464.8</v>
      </c>
      <c r="J3510" s="72">
        <v>7464.8</v>
      </c>
      <c r="K3510" s="72">
        <v>0</v>
      </c>
      <c r="L3510" s="97">
        <v>0</v>
      </c>
      <c r="M3510" s="73" t="s">
        <v>3925</v>
      </c>
      <c r="N3510" s="99">
        <f t="shared" si="84"/>
        <v>14929.6</v>
      </c>
    </row>
    <row r="3511" spans="1:14">
      <c r="A3511" s="12">
        <v>3510</v>
      </c>
      <c r="B3511" s="71" t="s">
        <v>5091</v>
      </c>
      <c r="C3511" s="42" t="s">
        <v>1794</v>
      </c>
      <c r="D3511" s="71" t="s">
        <v>5135</v>
      </c>
      <c r="E3511" s="98" t="s">
        <v>3469</v>
      </c>
      <c r="F3511" s="72">
        <v>769.99</v>
      </c>
      <c r="G3511" s="73" t="s">
        <v>64</v>
      </c>
      <c r="H3511" s="89" t="s">
        <v>5093</v>
      </c>
      <c r="I3511" s="72">
        <v>0</v>
      </c>
      <c r="J3511" s="72">
        <v>0</v>
      </c>
      <c r="K3511" s="72">
        <v>117.46</v>
      </c>
      <c r="L3511" s="97">
        <v>0</v>
      </c>
      <c r="M3511" s="73" t="s">
        <v>3925</v>
      </c>
      <c r="N3511" s="99">
        <f>IF(M3511="YES", I3511+J3511+K3511, 0)</f>
        <v>117.46</v>
      </c>
    </row>
    <row r="3512" spans="1:14">
      <c r="A3512" s="12">
        <v>3511</v>
      </c>
      <c r="B3512" s="71" t="s">
        <v>1793</v>
      </c>
      <c r="C3512" s="42" t="s">
        <v>1794</v>
      </c>
      <c r="D3512" s="71" t="s">
        <v>5136</v>
      </c>
      <c r="E3512" s="98" t="s">
        <v>3469</v>
      </c>
      <c r="F3512" s="72">
        <v>8113.51</v>
      </c>
      <c r="G3512" s="73" t="s">
        <v>64</v>
      </c>
      <c r="H3512" s="89" t="s">
        <v>5093</v>
      </c>
      <c r="I3512" s="72">
        <v>618.83000000000004</v>
      </c>
      <c r="J3512" s="72">
        <v>618.83000000000004</v>
      </c>
      <c r="K3512" s="72">
        <v>0</v>
      </c>
      <c r="L3512" s="97">
        <v>0</v>
      </c>
      <c r="M3512" s="73" t="s">
        <v>3925</v>
      </c>
      <c r="N3512" s="99">
        <f t="shared" ref="N3512:N3562" si="85">IF(M3512="YES", I3512+J3512+K3512, 0)</f>
        <v>1237.6600000000001</v>
      </c>
    </row>
    <row r="3513" spans="1:14">
      <c r="A3513" s="12">
        <v>3512</v>
      </c>
      <c r="B3513" s="71" t="s">
        <v>805</v>
      </c>
      <c r="C3513" s="42" t="s">
        <v>806</v>
      </c>
      <c r="D3513" s="71" t="s">
        <v>5137</v>
      </c>
      <c r="E3513" s="98" t="s">
        <v>3469</v>
      </c>
      <c r="F3513" s="72">
        <v>20279.09</v>
      </c>
      <c r="G3513" s="73" t="s">
        <v>64</v>
      </c>
      <c r="H3513" s="89" t="s">
        <v>847</v>
      </c>
      <c r="I3513" s="72">
        <v>0</v>
      </c>
      <c r="J3513" s="72">
        <v>0</v>
      </c>
      <c r="K3513" s="72">
        <v>3093.43</v>
      </c>
      <c r="L3513" s="97">
        <v>0</v>
      </c>
      <c r="M3513" s="73" t="s">
        <v>3925</v>
      </c>
      <c r="N3513" s="99">
        <f t="shared" si="85"/>
        <v>3093.43</v>
      </c>
    </row>
    <row r="3514" spans="1:14">
      <c r="A3514" s="12">
        <v>3513</v>
      </c>
      <c r="B3514" s="71" t="s">
        <v>1759</v>
      </c>
      <c r="C3514" s="42" t="s">
        <v>1760</v>
      </c>
      <c r="D3514" s="71" t="s">
        <v>5138</v>
      </c>
      <c r="E3514" s="98" t="s">
        <v>3469</v>
      </c>
      <c r="F3514" s="72">
        <v>3590.76</v>
      </c>
      <c r="G3514" s="73" t="s">
        <v>64</v>
      </c>
      <c r="H3514" s="89" t="s">
        <v>561</v>
      </c>
      <c r="I3514" s="72">
        <v>0</v>
      </c>
      <c r="J3514" s="72">
        <v>0</v>
      </c>
      <c r="K3514" s="72">
        <v>547.74</v>
      </c>
      <c r="L3514" s="97">
        <v>0</v>
      </c>
      <c r="M3514" s="73" t="s">
        <v>3925</v>
      </c>
      <c r="N3514" s="99">
        <f t="shared" si="85"/>
        <v>547.74</v>
      </c>
    </row>
    <row r="3515" spans="1:14">
      <c r="A3515" s="12">
        <v>3514</v>
      </c>
      <c r="B3515" s="71" t="s">
        <v>3936</v>
      </c>
      <c r="C3515" s="42" t="s">
        <v>3937</v>
      </c>
      <c r="D3515" s="71" t="s">
        <v>5139</v>
      </c>
      <c r="E3515" s="98" t="s">
        <v>3625</v>
      </c>
      <c r="F3515" s="72">
        <v>3304</v>
      </c>
      <c r="G3515" s="73" t="s">
        <v>64</v>
      </c>
      <c r="H3515" s="73">
        <v>9971</v>
      </c>
      <c r="I3515" s="72">
        <v>252</v>
      </c>
      <c r="J3515" s="72">
        <v>252</v>
      </c>
      <c r="K3515" s="72">
        <v>0</v>
      </c>
      <c r="L3515" s="97">
        <v>0</v>
      </c>
      <c r="M3515" s="73" t="s">
        <v>3925</v>
      </c>
      <c r="N3515" s="99">
        <f t="shared" si="85"/>
        <v>504</v>
      </c>
    </row>
    <row r="3516" spans="1:14">
      <c r="A3516" s="12">
        <v>3515</v>
      </c>
      <c r="B3516" s="71" t="s">
        <v>3936</v>
      </c>
      <c r="C3516" s="42" t="s">
        <v>3937</v>
      </c>
      <c r="D3516" s="71" t="s">
        <v>5140</v>
      </c>
      <c r="E3516" s="98" t="s">
        <v>3509</v>
      </c>
      <c r="F3516" s="72">
        <v>5.9</v>
      </c>
      <c r="G3516" s="73" t="s">
        <v>64</v>
      </c>
      <c r="H3516" s="73">
        <v>9971</v>
      </c>
      <c r="I3516" s="72">
        <v>0.45</v>
      </c>
      <c r="J3516" s="72">
        <v>0.45</v>
      </c>
      <c r="K3516" s="72">
        <v>0</v>
      </c>
      <c r="L3516" s="97">
        <v>0</v>
      </c>
      <c r="M3516" s="73" t="s">
        <v>3925</v>
      </c>
      <c r="N3516" s="99">
        <f t="shared" si="85"/>
        <v>0.9</v>
      </c>
    </row>
    <row r="3517" spans="1:14">
      <c r="A3517" s="12">
        <v>3516</v>
      </c>
      <c r="B3517" s="71" t="s">
        <v>3936</v>
      </c>
      <c r="C3517" s="42" t="s">
        <v>3937</v>
      </c>
      <c r="D3517" s="71" t="s">
        <v>5141</v>
      </c>
      <c r="E3517" s="98" t="s">
        <v>3507</v>
      </c>
      <c r="F3517" s="72">
        <v>165.2</v>
      </c>
      <c r="G3517" s="73" t="s">
        <v>64</v>
      </c>
      <c r="H3517" s="73">
        <v>9971</v>
      </c>
      <c r="I3517" s="72">
        <v>12.6</v>
      </c>
      <c r="J3517" s="72">
        <v>12.6</v>
      </c>
      <c r="K3517" s="72">
        <v>0</v>
      </c>
      <c r="L3517" s="97">
        <v>0</v>
      </c>
      <c r="M3517" s="73" t="s">
        <v>3925</v>
      </c>
      <c r="N3517" s="99">
        <f t="shared" si="85"/>
        <v>25.2</v>
      </c>
    </row>
    <row r="3518" spans="1:14">
      <c r="A3518" s="12">
        <v>3517</v>
      </c>
      <c r="B3518" s="71" t="s">
        <v>5088</v>
      </c>
      <c r="C3518" s="42" t="s">
        <v>5089</v>
      </c>
      <c r="D3518" s="71" t="s">
        <v>5142</v>
      </c>
      <c r="E3518" s="98" t="s">
        <v>3469</v>
      </c>
      <c r="F3518" s="72">
        <v>2256.63</v>
      </c>
      <c r="G3518" s="73" t="s">
        <v>64</v>
      </c>
      <c r="H3518" s="73">
        <v>997119</v>
      </c>
      <c r="I3518" s="72">
        <v>0</v>
      </c>
      <c r="J3518" s="72">
        <v>0</v>
      </c>
      <c r="K3518" s="72">
        <v>344.23</v>
      </c>
      <c r="L3518" s="97">
        <v>0</v>
      </c>
      <c r="M3518" s="73" t="s">
        <v>3925</v>
      </c>
      <c r="N3518" s="99">
        <f t="shared" si="85"/>
        <v>344.23</v>
      </c>
    </row>
    <row r="3519" spans="1:14">
      <c r="A3519" s="12">
        <v>3518</v>
      </c>
      <c r="B3519" s="71" t="s">
        <v>5143</v>
      </c>
      <c r="C3519" s="42" t="s">
        <v>5144</v>
      </c>
      <c r="D3519" s="71" t="s">
        <v>5145</v>
      </c>
      <c r="E3519" s="98" t="s">
        <v>3469</v>
      </c>
      <c r="F3519" s="72">
        <v>112</v>
      </c>
      <c r="G3519" s="73" t="s">
        <v>64</v>
      </c>
      <c r="H3519" s="77">
        <v>996812</v>
      </c>
      <c r="I3519" s="72">
        <v>0</v>
      </c>
      <c r="J3519" s="72">
        <v>0</v>
      </c>
      <c r="K3519" s="72">
        <v>17.079999999999998</v>
      </c>
      <c r="L3519" s="97">
        <v>0</v>
      </c>
      <c r="M3519" s="73" t="s">
        <v>3925</v>
      </c>
      <c r="N3519" s="99">
        <f t="shared" si="85"/>
        <v>17.079999999999998</v>
      </c>
    </row>
    <row r="3520" spans="1:14">
      <c r="A3520" s="12">
        <v>3519</v>
      </c>
      <c r="B3520" s="71" t="s">
        <v>3391</v>
      </c>
      <c r="C3520" s="42" t="s">
        <v>3392</v>
      </c>
      <c r="D3520" s="71" t="s">
        <v>5146</v>
      </c>
      <c r="E3520" s="98" t="s">
        <v>3469</v>
      </c>
      <c r="F3520" s="72">
        <v>24911.1</v>
      </c>
      <c r="G3520" s="73" t="s">
        <v>64</v>
      </c>
      <c r="H3520" s="89" t="s">
        <v>5131</v>
      </c>
      <c r="I3520" s="72">
        <v>1900</v>
      </c>
      <c r="J3520" s="72">
        <v>1900</v>
      </c>
      <c r="K3520" s="72">
        <v>0</v>
      </c>
      <c r="L3520" s="97">
        <v>0</v>
      </c>
      <c r="M3520" s="73" t="s">
        <v>3925</v>
      </c>
      <c r="N3520" s="99">
        <f t="shared" si="85"/>
        <v>3800</v>
      </c>
    </row>
    <row r="3521" spans="1:14">
      <c r="A3521" s="12">
        <v>3520</v>
      </c>
      <c r="B3521" s="71" t="s">
        <v>5083</v>
      </c>
      <c r="C3521" s="42" t="s">
        <v>5084</v>
      </c>
      <c r="D3521" s="71" t="s">
        <v>5085</v>
      </c>
      <c r="E3521" s="98" t="s">
        <v>3727</v>
      </c>
      <c r="F3521" s="72">
        <v>728.7</v>
      </c>
      <c r="G3521" s="73" t="s">
        <v>64</v>
      </c>
      <c r="H3521" s="89" t="s">
        <v>5086</v>
      </c>
      <c r="I3521" s="72">
        <v>0</v>
      </c>
      <c r="J3521" s="72">
        <v>0</v>
      </c>
      <c r="K3521" s="72">
        <v>34.700000000000003</v>
      </c>
      <c r="L3521" s="97">
        <v>0</v>
      </c>
      <c r="M3521" s="73" t="s">
        <v>3925</v>
      </c>
      <c r="N3521" s="99">
        <f t="shared" si="85"/>
        <v>34.700000000000003</v>
      </c>
    </row>
    <row r="3522" spans="1:14">
      <c r="A3522" s="12">
        <v>3521</v>
      </c>
      <c r="B3522" s="71" t="s">
        <v>5083</v>
      </c>
      <c r="C3522" s="42" t="s">
        <v>5084</v>
      </c>
      <c r="D3522" s="71" t="s">
        <v>5087</v>
      </c>
      <c r="E3522" s="98" t="s">
        <v>3702</v>
      </c>
      <c r="F3522" s="72">
        <v>169.05</v>
      </c>
      <c r="G3522" s="73" t="s">
        <v>64</v>
      </c>
      <c r="H3522" s="89" t="s">
        <v>5086</v>
      </c>
      <c r="I3522" s="72">
        <v>0</v>
      </c>
      <c r="J3522" s="72">
        <v>0</v>
      </c>
      <c r="K3522" s="72">
        <v>8.0500000000000007</v>
      </c>
      <c r="L3522" s="97">
        <v>0</v>
      </c>
      <c r="M3522" s="73" t="s">
        <v>3925</v>
      </c>
      <c r="N3522" s="99">
        <f t="shared" si="85"/>
        <v>8.0500000000000007</v>
      </c>
    </row>
    <row r="3523" spans="1:14">
      <c r="A3523" s="12">
        <v>3522</v>
      </c>
      <c r="B3523" s="71" t="s">
        <v>5088</v>
      </c>
      <c r="C3523" s="42" t="s">
        <v>5089</v>
      </c>
      <c r="D3523" s="71" t="s">
        <v>5090</v>
      </c>
      <c r="E3523" s="98" t="s">
        <v>492</v>
      </c>
      <c r="F3523" s="72">
        <v>828.4</v>
      </c>
      <c r="G3523" s="73" t="s">
        <v>64</v>
      </c>
      <c r="H3523" s="73">
        <v>997119</v>
      </c>
      <c r="I3523" s="72">
        <v>0</v>
      </c>
      <c r="J3523" s="72">
        <v>0</v>
      </c>
      <c r="K3523" s="72">
        <v>126.37</v>
      </c>
      <c r="L3523" s="97">
        <v>0</v>
      </c>
      <c r="M3523" s="73" t="s">
        <v>3925</v>
      </c>
      <c r="N3523" s="99">
        <f t="shared" si="85"/>
        <v>126.37</v>
      </c>
    </row>
    <row r="3524" spans="1:14">
      <c r="A3524" s="12">
        <v>3523</v>
      </c>
      <c r="B3524" s="71" t="s">
        <v>5094</v>
      </c>
      <c r="C3524" s="42" t="s">
        <v>5095</v>
      </c>
      <c r="D3524" s="71" t="s">
        <v>5147</v>
      </c>
      <c r="E3524" s="98" t="s">
        <v>3455</v>
      </c>
      <c r="F3524" s="72">
        <v>41300</v>
      </c>
      <c r="G3524" s="73" t="s">
        <v>182</v>
      </c>
      <c r="H3524" s="73">
        <v>9403</v>
      </c>
      <c r="I3524" s="72">
        <v>0</v>
      </c>
      <c r="J3524" s="72">
        <v>0</v>
      </c>
      <c r="K3524" s="72">
        <v>6300</v>
      </c>
      <c r="L3524" s="97">
        <v>0</v>
      </c>
      <c r="M3524" s="73" t="s">
        <v>3925</v>
      </c>
      <c r="N3524" s="99">
        <f t="shared" si="85"/>
        <v>6300</v>
      </c>
    </row>
    <row r="3525" spans="1:14">
      <c r="A3525" s="12">
        <v>3524</v>
      </c>
      <c r="B3525" s="71" t="s">
        <v>5094</v>
      </c>
      <c r="C3525" s="42" t="s">
        <v>5095</v>
      </c>
      <c r="D3525" s="71" t="s">
        <v>5148</v>
      </c>
      <c r="E3525" s="98" t="s">
        <v>3455</v>
      </c>
      <c r="F3525" s="72">
        <v>7840</v>
      </c>
      <c r="G3525" s="73" t="s">
        <v>182</v>
      </c>
      <c r="H3525" s="73">
        <v>9403</v>
      </c>
      <c r="I3525" s="72">
        <v>0</v>
      </c>
      <c r="J3525" s="72">
        <v>0</v>
      </c>
      <c r="K3525" s="72">
        <v>840</v>
      </c>
      <c r="L3525" s="97">
        <v>0</v>
      </c>
      <c r="M3525" s="73" t="s">
        <v>3925</v>
      </c>
      <c r="N3525" s="99">
        <f t="shared" si="85"/>
        <v>840</v>
      </c>
    </row>
    <row r="3526" spans="1:14">
      <c r="A3526" s="12">
        <v>3525</v>
      </c>
      <c r="B3526" s="71" t="s">
        <v>5094</v>
      </c>
      <c r="C3526" s="42" t="s">
        <v>5095</v>
      </c>
      <c r="D3526" s="71" t="s">
        <v>5149</v>
      </c>
      <c r="E3526" s="98" t="s">
        <v>3511</v>
      </c>
      <c r="F3526" s="72">
        <v>44240</v>
      </c>
      <c r="G3526" s="73" t="s">
        <v>182</v>
      </c>
      <c r="H3526" s="73">
        <v>9403</v>
      </c>
      <c r="I3526" s="72">
        <v>0</v>
      </c>
      <c r="J3526" s="72">
        <v>0</v>
      </c>
      <c r="K3526" s="72">
        <v>4740</v>
      </c>
      <c r="L3526" s="97">
        <v>0</v>
      </c>
      <c r="M3526" s="73" t="s">
        <v>3925</v>
      </c>
      <c r="N3526" s="99">
        <f t="shared" si="85"/>
        <v>4740</v>
      </c>
    </row>
    <row r="3527" spans="1:14">
      <c r="A3527" s="12">
        <v>3526</v>
      </c>
      <c r="B3527" s="71" t="s">
        <v>5094</v>
      </c>
      <c r="C3527" s="42" t="s">
        <v>5095</v>
      </c>
      <c r="D3527" s="71" t="s">
        <v>5150</v>
      </c>
      <c r="E3527" s="98" t="s">
        <v>3469</v>
      </c>
      <c r="F3527" s="72">
        <v>11760</v>
      </c>
      <c r="G3527" s="73" t="s">
        <v>182</v>
      </c>
      <c r="H3527" s="73">
        <v>9403</v>
      </c>
      <c r="I3527" s="72">
        <v>0</v>
      </c>
      <c r="J3527" s="72">
        <v>0</v>
      </c>
      <c r="K3527" s="72">
        <v>1260</v>
      </c>
      <c r="L3527" s="97">
        <v>0</v>
      </c>
      <c r="M3527" s="73" t="s">
        <v>3925</v>
      </c>
      <c r="N3527" s="99">
        <f t="shared" si="85"/>
        <v>1260</v>
      </c>
    </row>
    <row r="3528" spans="1:14">
      <c r="A3528" s="12">
        <v>3527</v>
      </c>
      <c r="B3528" s="71" t="s">
        <v>5091</v>
      </c>
      <c r="C3528" s="42" t="s">
        <v>1794</v>
      </c>
      <c r="D3528" s="71" t="s">
        <v>5092</v>
      </c>
      <c r="E3528" s="98" t="s">
        <v>492</v>
      </c>
      <c r="F3528" s="72">
        <v>688.79</v>
      </c>
      <c r="G3528" s="73" t="s">
        <v>64</v>
      </c>
      <c r="H3528" s="89" t="s">
        <v>5093</v>
      </c>
      <c r="I3528" s="72">
        <v>0</v>
      </c>
      <c r="J3528" s="72">
        <v>0</v>
      </c>
      <c r="K3528" s="72">
        <v>105.07</v>
      </c>
      <c r="L3528" s="97">
        <v>0</v>
      </c>
      <c r="M3528" s="73" t="s">
        <v>3925</v>
      </c>
      <c r="N3528" s="99">
        <f t="shared" si="85"/>
        <v>105.07</v>
      </c>
    </row>
    <row r="3529" spans="1:14">
      <c r="A3529" s="12">
        <v>3528</v>
      </c>
      <c r="B3529" s="71" t="s">
        <v>5094</v>
      </c>
      <c r="C3529" s="42" t="s">
        <v>5095</v>
      </c>
      <c r="D3529" s="71" t="s">
        <v>5096</v>
      </c>
      <c r="E3529" s="98" t="s">
        <v>3684</v>
      </c>
      <c r="F3529" s="72">
        <v>49280</v>
      </c>
      <c r="G3529" s="73" t="s">
        <v>182</v>
      </c>
      <c r="H3529" s="73">
        <v>9403</v>
      </c>
      <c r="I3529" s="72">
        <v>0</v>
      </c>
      <c r="J3529" s="72">
        <v>0</v>
      </c>
      <c r="K3529" s="72">
        <v>5280</v>
      </c>
      <c r="L3529" s="97">
        <v>0</v>
      </c>
      <c r="M3529" s="73" t="s">
        <v>3925</v>
      </c>
      <c r="N3529" s="99">
        <f t="shared" si="85"/>
        <v>5280</v>
      </c>
    </row>
    <row r="3530" spans="1:14">
      <c r="A3530" s="12">
        <v>3529</v>
      </c>
      <c r="B3530" s="71" t="s">
        <v>5094</v>
      </c>
      <c r="C3530" s="42" t="s">
        <v>5095</v>
      </c>
      <c r="D3530" s="71" t="s">
        <v>5097</v>
      </c>
      <c r="E3530" s="98" t="s">
        <v>3727</v>
      </c>
      <c r="F3530" s="72">
        <v>45430</v>
      </c>
      <c r="G3530" s="73" t="s">
        <v>182</v>
      </c>
      <c r="H3530" s="73">
        <v>9403</v>
      </c>
      <c r="I3530" s="72">
        <v>0</v>
      </c>
      <c r="J3530" s="72">
        <v>0</v>
      </c>
      <c r="K3530" s="72">
        <v>6930</v>
      </c>
      <c r="L3530" s="97">
        <v>0</v>
      </c>
      <c r="M3530" s="73" t="s">
        <v>3925</v>
      </c>
      <c r="N3530" s="99">
        <f t="shared" si="85"/>
        <v>6930</v>
      </c>
    </row>
    <row r="3531" spans="1:14">
      <c r="A3531" s="12">
        <v>3530</v>
      </c>
      <c r="B3531" s="71" t="s">
        <v>5094</v>
      </c>
      <c r="C3531" s="42" t="s">
        <v>5095</v>
      </c>
      <c r="D3531" s="71" t="s">
        <v>5098</v>
      </c>
      <c r="E3531" s="98" t="s">
        <v>3729</v>
      </c>
      <c r="F3531" s="72">
        <v>33630</v>
      </c>
      <c r="G3531" s="73" t="s">
        <v>182</v>
      </c>
      <c r="H3531" s="73">
        <v>9403</v>
      </c>
      <c r="I3531" s="72">
        <v>0</v>
      </c>
      <c r="J3531" s="72">
        <v>0</v>
      </c>
      <c r="K3531" s="72">
        <v>5130</v>
      </c>
      <c r="L3531" s="97">
        <v>0</v>
      </c>
      <c r="M3531" s="73" t="s">
        <v>3925</v>
      </c>
      <c r="N3531" s="99">
        <f t="shared" si="85"/>
        <v>5130</v>
      </c>
    </row>
    <row r="3532" spans="1:14">
      <c r="A3532" s="12">
        <v>3531</v>
      </c>
      <c r="B3532" s="71" t="s">
        <v>5094</v>
      </c>
      <c r="C3532" s="42" t="s">
        <v>5095</v>
      </c>
      <c r="D3532" s="71" t="s">
        <v>5099</v>
      </c>
      <c r="E3532" s="98" t="s">
        <v>3715</v>
      </c>
      <c r="F3532" s="72">
        <v>43680</v>
      </c>
      <c r="G3532" s="73" t="s">
        <v>182</v>
      </c>
      <c r="H3532" s="73">
        <v>9403</v>
      </c>
      <c r="I3532" s="72">
        <v>0</v>
      </c>
      <c r="J3532" s="72">
        <v>0</v>
      </c>
      <c r="K3532" s="72">
        <v>4680</v>
      </c>
      <c r="L3532" s="97">
        <v>0</v>
      </c>
      <c r="M3532" s="73" t="s">
        <v>3925</v>
      </c>
      <c r="N3532" s="99">
        <f t="shared" si="85"/>
        <v>4680</v>
      </c>
    </row>
    <row r="3533" spans="1:14">
      <c r="A3533" s="12">
        <v>3532</v>
      </c>
      <c r="B3533" s="71" t="s">
        <v>5094</v>
      </c>
      <c r="C3533" s="42" t="s">
        <v>5095</v>
      </c>
      <c r="D3533" s="71" t="s">
        <v>5100</v>
      </c>
      <c r="E3533" s="98" t="s">
        <v>3741</v>
      </c>
      <c r="F3533" s="72">
        <v>41440</v>
      </c>
      <c r="G3533" s="73" t="s">
        <v>182</v>
      </c>
      <c r="H3533" s="73">
        <v>9403</v>
      </c>
      <c r="I3533" s="72">
        <v>0</v>
      </c>
      <c r="J3533" s="72">
        <v>0</v>
      </c>
      <c r="K3533" s="72">
        <v>4440</v>
      </c>
      <c r="L3533" s="97">
        <v>0</v>
      </c>
      <c r="M3533" s="73" t="s">
        <v>3925</v>
      </c>
      <c r="N3533" s="99">
        <f t="shared" si="85"/>
        <v>4440</v>
      </c>
    </row>
    <row r="3534" spans="1:14">
      <c r="A3534" s="12">
        <v>3533</v>
      </c>
      <c r="B3534" s="71" t="s">
        <v>5094</v>
      </c>
      <c r="C3534" s="42" t="s">
        <v>5095</v>
      </c>
      <c r="D3534" s="71" t="s">
        <v>5101</v>
      </c>
      <c r="E3534" s="98" t="s">
        <v>3793</v>
      </c>
      <c r="F3534" s="72">
        <v>40880</v>
      </c>
      <c r="G3534" s="73" t="s">
        <v>182</v>
      </c>
      <c r="H3534" s="73">
        <v>9403</v>
      </c>
      <c r="I3534" s="72">
        <v>0</v>
      </c>
      <c r="J3534" s="72">
        <v>0</v>
      </c>
      <c r="K3534" s="72">
        <v>4380</v>
      </c>
      <c r="L3534" s="97">
        <v>0</v>
      </c>
      <c r="M3534" s="73" t="s">
        <v>3925</v>
      </c>
      <c r="N3534" s="99">
        <f t="shared" si="85"/>
        <v>4380</v>
      </c>
    </row>
    <row r="3535" spans="1:14">
      <c r="A3535" s="12">
        <v>3534</v>
      </c>
      <c r="B3535" s="71" t="s">
        <v>5094</v>
      </c>
      <c r="C3535" s="42" t="s">
        <v>5095</v>
      </c>
      <c r="D3535" s="71" t="s">
        <v>5102</v>
      </c>
      <c r="E3535" s="98" t="s">
        <v>3698</v>
      </c>
      <c r="F3535" s="72">
        <v>29120</v>
      </c>
      <c r="G3535" s="73" t="s">
        <v>182</v>
      </c>
      <c r="H3535" s="73">
        <v>9403</v>
      </c>
      <c r="I3535" s="72">
        <v>0</v>
      </c>
      <c r="J3535" s="72">
        <v>0</v>
      </c>
      <c r="K3535" s="72">
        <v>3120</v>
      </c>
      <c r="L3535" s="97">
        <v>0</v>
      </c>
      <c r="M3535" s="73" t="s">
        <v>3925</v>
      </c>
      <c r="N3535" s="99">
        <f t="shared" si="85"/>
        <v>3120</v>
      </c>
    </row>
    <row r="3536" spans="1:14">
      <c r="A3536" s="12">
        <v>3535</v>
      </c>
      <c r="B3536" s="71" t="s">
        <v>5094</v>
      </c>
      <c r="C3536" s="42" t="s">
        <v>5095</v>
      </c>
      <c r="D3536" s="71" t="s">
        <v>5103</v>
      </c>
      <c r="E3536" s="98" t="s">
        <v>3702</v>
      </c>
      <c r="F3536" s="72">
        <v>12320</v>
      </c>
      <c r="G3536" s="73" t="s">
        <v>182</v>
      </c>
      <c r="H3536" s="73">
        <v>9403</v>
      </c>
      <c r="I3536" s="72">
        <v>0</v>
      </c>
      <c r="J3536" s="72">
        <v>0</v>
      </c>
      <c r="K3536" s="72">
        <v>1320</v>
      </c>
      <c r="L3536" s="97">
        <v>0</v>
      </c>
      <c r="M3536" s="73" t="s">
        <v>3925</v>
      </c>
      <c r="N3536" s="99">
        <f t="shared" si="85"/>
        <v>1320</v>
      </c>
    </row>
    <row r="3537" spans="1:14">
      <c r="A3537" s="12">
        <v>3536</v>
      </c>
      <c r="B3537" s="71" t="s">
        <v>5094</v>
      </c>
      <c r="C3537" s="42" t="s">
        <v>5095</v>
      </c>
      <c r="D3537" s="71" t="s">
        <v>5104</v>
      </c>
      <c r="E3537" s="98" t="s">
        <v>527</v>
      </c>
      <c r="F3537" s="72">
        <v>43070</v>
      </c>
      <c r="G3537" s="73" t="s">
        <v>182</v>
      </c>
      <c r="H3537" s="73">
        <v>9403</v>
      </c>
      <c r="I3537" s="72">
        <v>0</v>
      </c>
      <c r="J3537" s="72">
        <v>0</v>
      </c>
      <c r="K3537" s="72">
        <v>6570</v>
      </c>
      <c r="L3537" s="97">
        <v>0</v>
      </c>
      <c r="M3537" s="73" t="s">
        <v>3925</v>
      </c>
      <c r="N3537" s="99">
        <f t="shared" si="85"/>
        <v>6570</v>
      </c>
    </row>
    <row r="3538" spans="1:14">
      <c r="A3538" s="12">
        <v>3537</v>
      </c>
      <c r="B3538" s="71" t="s">
        <v>5094</v>
      </c>
      <c r="C3538" s="42" t="s">
        <v>5095</v>
      </c>
      <c r="D3538" s="71" t="s">
        <v>5105</v>
      </c>
      <c r="E3538" s="98" t="s">
        <v>3814</v>
      </c>
      <c r="F3538" s="72">
        <v>19040</v>
      </c>
      <c r="G3538" s="73" t="s">
        <v>182</v>
      </c>
      <c r="H3538" s="73">
        <v>9403</v>
      </c>
      <c r="I3538" s="72">
        <v>0</v>
      </c>
      <c r="J3538" s="72">
        <v>0</v>
      </c>
      <c r="K3538" s="72">
        <v>2040</v>
      </c>
      <c r="L3538" s="97">
        <v>0</v>
      </c>
      <c r="M3538" s="73" t="s">
        <v>3925</v>
      </c>
      <c r="N3538" s="99">
        <f t="shared" si="85"/>
        <v>2040</v>
      </c>
    </row>
    <row r="3539" spans="1:14">
      <c r="A3539" s="12">
        <v>3538</v>
      </c>
      <c r="B3539" s="71" t="s">
        <v>5094</v>
      </c>
      <c r="C3539" s="42" t="s">
        <v>5095</v>
      </c>
      <c r="D3539" s="71" t="s">
        <v>5106</v>
      </c>
      <c r="E3539" s="98" t="s">
        <v>3688</v>
      </c>
      <c r="F3539" s="72">
        <v>9296</v>
      </c>
      <c r="G3539" s="73" t="s">
        <v>182</v>
      </c>
      <c r="H3539" s="73">
        <v>9403</v>
      </c>
      <c r="I3539" s="72">
        <v>0</v>
      </c>
      <c r="J3539" s="72">
        <v>0</v>
      </c>
      <c r="K3539" s="72">
        <v>996</v>
      </c>
      <c r="L3539" s="97">
        <v>0</v>
      </c>
      <c r="M3539" s="73" t="s">
        <v>3925</v>
      </c>
      <c r="N3539" s="99">
        <f t="shared" si="85"/>
        <v>996</v>
      </c>
    </row>
    <row r="3540" spans="1:14">
      <c r="A3540" s="12">
        <v>3539</v>
      </c>
      <c r="B3540" s="71" t="s">
        <v>1793</v>
      </c>
      <c r="C3540" s="42" t="s">
        <v>1794</v>
      </c>
      <c r="D3540" s="71" t="s">
        <v>5107</v>
      </c>
      <c r="E3540" s="98" t="s">
        <v>492</v>
      </c>
      <c r="F3540" s="72">
        <v>3736.1</v>
      </c>
      <c r="G3540" s="73" t="s">
        <v>64</v>
      </c>
      <c r="H3540" s="89" t="s">
        <v>5093</v>
      </c>
      <c r="I3540" s="72">
        <v>284.95999999999998</v>
      </c>
      <c r="J3540" s="72">
        <v>284.95999999999998</v>
      </c>
      <c r="K3540" s="72">
        <v>0</v>
      </c>
      <c r="L3540" s="97">
        <v>0</v>
      </c>
      <c r="M3540" s="73" t="s">
        <v>3925</v>
      </c>
      <c r="N3540" s="99">
        <f t="shared" si="85"/>
        <v>569.91999999999996</v>
      </c>
    </row>
    <row r="3541" spans="1:14">
      <c r="A3541" s="12">
        <v>3540</v>
      </c>
      <c r="B3541" s="71" t="s">
        <v>5108</v>
      </c>
      <c r="C3541" s="42" t="s">
        <v>5109</v>
      </c>
      <c r="D3541" s="71" t="s">
        <v>5110</v>
      </c>
      <c r="E3541" s="98" t="s">
        <v>3802</v>
      </c>
      <c r="F3541" s="72">
        <v>12390</v>
      </c>
      <c r="G3541" s="73" t="s">
        <v>64</v>
      </c>
      <c r="H3541" s="73">
        <v>998312</v>
      </c>
      <c r="I3541" s="72">
        <v>0</v>
      </c>
      <c r="J3541" s="72">
        <v>0</v>
      </c>
      <c r="K3541" s="72">
        <v>1890</v>
      </c>
      <c r="L3541" s="97">
        <v>0</v>
      </c>
      <c r="M3541" s="73" t="s">
        <v>4847</v>
      </c>
      <c r="N3541" s="99">
        <f t="shared" si="85"/>
        <v>0</v>
      </c>
    </row>
    <row r="3542" spans="1:14">
      <c r="A3542" s="12">
        <v>3541</v>
      </c>
      <c r="B3542" s="71" t="s">
        <v>5111</v>
      </c>
      <c r="C3542" s="42" t="s">
        <v>5112</v>
      </c>
      <c r="D3542" s="71" t="s">
        <v>5113</v>
      </c>
      <c r="E3542" s="98" t="s">
        <v>3698</v>
      </c>
      <c r="F3542" s="72">
        <v>11200</v>
      </c>
      <c r="G3542" s="73" t="s">
        <v>24</v>
      </c>
      <c r="H3542" s="73">
        <v>4421</v>
      </c>
      <c r="I3542" s="72">
        <v>0</v>
      </c>
      <c r="J3542" s="72">
        <v>0</v>
      </c>
      <c r="K3542" s="72">
        <v>1200</v>
      </c>
      <c r="L3542" s="97">
        <v>0</v>
      </c>
      <c r="M3542" s="73" t="s">
        <v>3925</v>
      </c>
      <c r="N3542" s="99">
        <f t="shared" si="85"/>
        <v>1200</v>
      </c>
    </row>
    <row r="3543" spans="1:14">
      <c r="A3543" s="12">
        <v>3542</v>
      </c>
      <c r="B3543" s="71" t="s">
        <v>805</v>
      </c>
      <c r="C3543" s="42" t="s">
        <v>806</v>
      </c>
      <c r="D3543" s="71" t="s">
        <v>5114</v>
      </c>
      <c r="E3543" s="98" t="s">
        <v>492</v>
      </c>
      <c r="F3543" s="72">
        <v>28387.26</v>
      </c>
      <c r="G3543" s="73" t="s">
        <v>64</v>
      </c>
      <c r="H3543" s="89" t="s">
        <v>847</v>
      </c>
      <c r="I3543" s="72">
        <v>0</v>
      </c>
      <c r="J3543" s="72">
        <v>0</v>
      </c>
      <c r="K3543" s="72">
        <v>4330.26</v>
      </c>
      <c r="L3543" s="97">
        <v>0</v>
      </c>
      <c r="M3543" s="73" t="s">
        <v>3925</v>
      </c>
      <c r="N3543" s="99">
        <f t="shared" si="85"/>
        <v>4330.26</v>
      </c>
    </row>
    <row r="3544" spans="1:14">
      <c r="A3544" s="12">
        <v>3543</v>
      </c>
      <c r="B3544" s="71" t="s">
        <v>3936</v>
      </c>
      <c r="C3544" s="42" t="s">
        <v>3937</v>
      </c>
      <c r="D3544" s="71" t="s">
        <v>5115</v>
      </c>
      <c r="E3544" s="98" t="s">
        <v>3833</v>
      </c>
      <c r="F3544" s="72">
        <v>5.9</v>
      </c>
      <c r="G3544" s="73" t="s">
        <v>64</v>
      </c>
      <c r="H3544" s="73">
        <v>9971</v>
      </c>
      <c r="I3544" s="72">
        <v>0.45</v>
      </c>
      <c r="J3544" s="72">
        <v>0.45</v>
      </c>
      <c r="K3544" s="72">
        <v>0</v>
      </c>
      <c r="L3544" s="97">
        <v>0</v>
      </c>
      <c r="M3544" s="73" t="s">
        <v>3925</v>
      </c>
      <c r="N3544" s="99">
        <f t="shared" si="85"/>
        <v>0.9</v>
      </c>
    </row>
    <row r="3545" spans="1:14">
      <c r="A3545" s="12">
        <v>3544</v>
      </c>
      <c r="B3545" s="71" t="s">
        <v>3936</v>
      </c>
      <c r="C3545" s="42" t="s">
        <v>3937</v>
      </c>
      <c r="D3545" s="71" t="s">
        <v>5116</v>
      </c>
      <c r="E3545" s="98" t="s">
        <v>3729</v>
      </c>
      <c r="F3545" s="72">
        <v>5.9</v>
      </c>
      <c r="G3545" s="73" t="s">
        <v>64</v>
      </c>
      <c r="H3545" s="73">
        <v>9971</v>
      </c>
      <c r="I3545" s="72">
        <v>0.45</v>
      </c>
      <c r="J3545" s="72">
        <v>0.45</v>
      </c>
      <c r="K3545" s="72">
        <v>0</v>
      </c>
      <c r="L3545" s="97">
        <v>0</v>
      </c>
      <c r="M3545" s="73" t="s">
        <v>3925</v>
      </c>
      <c r="N3545" s="99">
        <f t="shared" si="85"/>
        <v>0.9</v>
      </c>
    </row>
    <row r="3546" spans="1:14">
      <c r="A3546" s="12">
        <v>3545</v>
      </c>
      <c r="B3546" s="71" t="s">
        <v>3936</v>
      </c>
      <c r="C3546" s="42" t="s">
        <v>3937</v>
      </c>
      <c r="D3546" s="71" t="s">
        <v>5117</v>
      </c>
      <c r="E3546" s="98" t="s">
        <v>3729</v>
      </c>
      <c r="F3546" s="72">
        <v>387.86</v>
      </c>
      <c r="G3546" s="73" t="s">
        <v>64</v>
      </c>
      <c r="H3546" s="73">
        <v>9971</v>
      </c>
      <c r="I3546" s="72">
        <v>29.58</v>
      </c>
      <c r="J3546" s="72">
        <v>29.58</v>
      </c>
      <c r="K3546" s="72">
        <v>0</v>
      </c>
      <c r="L3546" s="97">
        <v>0</v>
      </c>
      <c r="M3546" s="73" t="s">
        <v>3925</v>
      </c>
      <c r="N3546" s="99">
        <f t="shared" si="85"/>
        <v>59.16</v>
      </c>
    </row>
    <row r="3547" spans="1:14">
      <c r="A3547" s="12">
        <v>3546</v>
      </c>
      <c r="B3547" s="71" t="s">
        <v>3936</v>
      </c>
      <c r="C3547" s="42" t="s">
        <v>3937</v>
      </c>
      <c r="D3547" s="71" t="s">
        <v>5118</v>
      </c>
      <c r="E3547" s="98" t="s">
        <v>3729</v>
      </c>
      <c r="F3547" s="72">
        <v>5.9</v>
      </c>
      <c r="G3547" s="73" t="s">
        <v>64</v>
      </c>
      <c r="H3547" s="73">
        <v>9971</v>
      </c>
      <c r="I3547" s="72">
        <v>0.45</v>
      </c>
      <c r="J3547" s="72">
        <v>0.45</v>
      </c>
      <c r="K3547" s="72">
        <v>0</v>
      </c>
      <c r="L3547" s="97">
        <v>0</v>
      </c>
      <c r="M3547" s="73" t="s">
        <v>3925</v>
      </c>
      <c r="N3547" s="99">
        <f t="shared" si="85"/>
        <v>0.9</v>
      </c>
    </row>
    <row r="3548" spans="1:14">
      <c r="A3548" s="12">
        <v>3547</v>
      </c>
      <c r="B3548" s="71" t="s">
        <v>3936</v>
      </c>
      <c r="C3548" s="42" t="s">
        <v>3937</v>
      </c>
      <c r="D3548" s="71" t="s">
        <v>5119</v>
      </c>
      <c r="E3548" s="98" t="s">
        <v>3729</v>
      </c>
      <c r="F3548" s="72">
        <v>1475</v>
      </c>
      <c r="G3548" s="73" t="s">
        <v>64</v>
      </c>
      <c r="H3548" s="73">
        <v>9971</v>
      </c>
      <c r="I3548" s="72">
        <v>112.5</v>
      </c>
      <c r="J3548" s="72">
        <v>112.5</v>
      </c>
      <c r="K3548" s="72">
        <v>0</v>
      </c>
      <c r="L3548" s="97">
        <v>0</v>
      </c>
      <c r="M3548" s="73" t="s">
        <v>3925</v>
      </c>
      <c r="N3548" s="99">
        <f t="shared" si="85"/>
        <v>225</v>
      </c>
    </row>
    <row r="3549" spans="1:14">
      <c r="A3549" s="12">
        <v>3548</v>
      </c>
      <c r="B3549" s="71" t="s">
        <v>3936</v>
      </c>
      <c r="C3549" s="42" t="s">
        <v>3937</v>
      </c>
      <c r="D3549" s="71" t="s">
        <v>5120</v>
      </c>
      <c r="E3549" s="98" t="s">
        <v>3715</v>
      </c>
      <c r="F3549" s="72">
        <v>295</v>
      </c>
      <c r="G3549" s="73" t="s">
        <v>64</v>
      </c>
      <c r="H3549" s="73">
        <v>9971</v>
      </c>
      <c r="I3549" s="72">
        <v>22.5</v>
      </c>
      <c r="J3549" s="72">
        <v>22.5</v>
      </c>
      <c r="K3549" s="72">
        <v>0</v>
      </c>
      <c r="L3549" s="97">
        <v>0</v>
      </c>
      <c r="M3549" s="73" t="s">
        <v>3925</v>
      </c>
      <c r="N3549" s="99">
        <f t="shared" si="85"/>
        <v>45</v>
      </c>
    </row>
    <row r="3550" spans="1:14">
      <c r="A3550" s="12">
        <v>3549</v>
      </c>
      <c r="B3550" s="71" t="s">
        <v>3936</v>
      </c>
      <c r="C3550" s="42" t="s">
        <v>3937</v>
      </c>
      <c r="D3550" s="71" t="s">
        <v>5121</v>
      </c>
      <c r="E3550" s="98" t="s">
        <v>3734</v>
      </c>
      <c r="F3550" s="72">
        <v>5.9</v>
      </c>
      <c r="G3550" s="73" t="s">
        <v>64</v>
      </c>
      <c r="H3550" s="73">
        <v>9971</v>
      </c>
      <c r="I3550" s="72">
        <v>0.45</v>
      </c>
      <c r="J3550" s="72">
        <v>0.45</v>
      </c>
      <c r="K3550" s="72">
        <v>0</v>
      </c>
      <c r="L3550" s="97">
        <v>0</v>
      </c>
      <c r="M3550" s="73" t="s">
        <v>3925</v>
      </c>
      <c r="N3550" s="99">
        <f t="shared" si="85"/>
        <v>0.9</v>
      </c>
    </row>
    <row r="3551" spans="1:14">
      <c r="A3551" s="12">
        <v>3550</v>
      </c>
      <c r="B3551" s="71" t="s">
        <v>3936</v>
      </c>
      <c r="C3551" s="42" t="s">
        <v>3937</v>
      </c>
      <c r="D3551" s="71" t="s">
        <v>5122</v>
      </c>
      <c r="E3551" s="98" t="s">
        <v>3739</v>
      </c>
      <c r="F3551" s="72">
        <v>5.9</v>
      </c>
      <c r="G3551" s="73" t="s">
        <v>64</v>
      </c>
      <c r="H3551" s="73">
        <v>9971</v>
      </c>
      <c r="I3551" s="72">
        <v>0.45</v>
      </c>
      <c r="J3551" s="72">
        <v>0.45</v>
      </c>
      <c r="K3551" s="72">
        <v>0</v>
      </c>
      <c r="L3551" s="97">
        <v>0</v>
      </c>
      <c r="M3551" s="73" t="s">
        <v>3925</v>
      </c>
      <c r="N3551" s="99">
        <f t="shared" si="85"/>
        <v>0.9</v>
      </c>
    </row>
    <row r="3552" spans="1:14">
      <c r="A3552" s="12">
        <v>3551</v>
      </c>
      <c r="B3552" s="71" t="s">
        <v>3936</v>
      </c>
      <c r="C3552" s="42" t="s">
        <v>3937</v>
      </c>
      <c r="D3552" s="71" t="s">
        <v>5123</v>
      </c>
      <c r="E3552" s="98" t="s">
        <v>3713</v>
      </c>
      <c r="F3552" s="72">
        <v>5.9</v>
      </c>
      <c r="G3552" s="73" t="s">
        <v>64</v>
      </c>
      <c r="H3552" s="73">
        <v>9971</v>
      </c>
      <c r="I3552" s="72">
        <v>0.45</v>
      </c>
      <c r="J3552" s="72">
        <v>0.45</v>
      </c>
      <c r="K3552" s="72">
        <v>0</v>
      </c>
      <c r="L3552" s="97">
        <v>0</v>
      </c>
      <c r="M3552" s="73" t="s">
        <v>3925</v>
      </c>
      <c r="N3552" s="99">
        <f t="shared" si="85"/>
        <v>0.9</v>
      </c>
    </row>
    <row r="3553" spans="1:14">
      <c r="A3553" s="12">
        <v>3552</v>
      </c>
      <c r="B3553" s="71" t="s">
        <v>3936</v>
      </c>
      <c r="C3553" s="42" t="s">
        <v>3937</v>
      </c>
      <c r="D3553" s="71" t="s">
        <v>5124</v>
      </c>
      <c r="E3553" s="98" t="s">
        <v>3799</v>
      </c>
      <c r="F3553" s="72">
        <v>5.9</v>
      </c>
      <c r="G3553" s="73" t="s">
        <v>64</v>
      </c>
      <c r="H3553" s="73">
        <v>9971</v>
      </c>
      <c r="I3553" s="72">
        <v>0.45</v>
      </c>
      <c r="J3553" s="72">
        <v>0.45</v>
      </c>
      <c r="K3553" s="72">
        <v>0</v>
      </c>
      <c r="L3553" s="97">
        <v>0</v>
      </c>
      <c r="M3553" s="73" t="s">
        <v>3925</v>
      </c>
      <c r="N3553" s="99">
        <f t="shared" si="85"/>
        <v>0.9</v>
      </c>
    </row>
    <row r="3554" spans="1:14">
      <c r="A3554" s="12">
        <v>3553</v>
      </c>
      <c r="B3554" s="71" t="s">
        <v>3936</v>
      </c>
      <c r="C3554" s="42" t="s">
        <v>3937</v>
      </c>
      <c r="D3554" s="71" t="s">
        <v>5125</v>
      </c>
      <c r="E3554" s="98" t="s">
        <v>3698</v>
      </c>
      <c r="F3554" s="72">
        <v>5.9</v>
      </c>
      <c r="G3554" s="73" t="s">
        <v>64</v>
      </c>
      <c r="H3554" s="73">
        <v>9971</v>
      </c>
      <c r="I3554" s="72">
        <v>0.45</v>
      </c>
      <c r="J3554" s="72">
        <v>0.45</v>
      </c>
      <c r="K3554" s="72">
        <v>0</v>
      </c>
      <c r="L3554" s="97">
        <v>0</v>
      </c>
      <c r="M3554" s="73" t="s">
        <v>3925</v>
      </c>
      <c r="N3554" s="99">
        <f t="shared" si="85"/>
        <v>0.9</v>
      </c>
    </row>
    <row r="3555" spans="1:14">
      <c r="A3555" s="12">
        <v>3554</v>
      </c>
      <c r="B3555" s="71" t="s">
        <v>3936</v>
      </c>
      <c r="C3555" s="42" t="s">
        <v>3937</v>
      </c>
      <c r="D3555" s="71" t="s">
        <v>5126</v>
      </c>
      <c r="E3555" s="98" t="s">
        <v>3688</v>
      </c>
      <c r="F3555" s="72">
        <v>165.2</v>
      </c>
      <c r="G3555" s="73" t="s">
        <v>64</v>
      </c>
      <c r="H3555" s="73">
        <v>9971</v>
      </c>
      <c r="I3555" s="72">
        <v>12.6</v>
      </c>
      <c r="J3555" s="72">
        <v>12.6</v>
      </c>
      <c r="K3555" s="72">
        <v>0</v>
      </c>
      <c r="L3555" s="97">
        <v>0</v>
      </c>
      <c r="M3555" s="73" t="s">
        <v>3925</v>
      </c>
      <c r="N3555" s="99">
        <f t="shared" si="85"/>
        <v>25.2</v>
      </c>
    </row>
    <row r="3556" spans="1:14">
      <c r="A3556" s="12">
        <v>3555</v>
      </c>
      <c r="B3556" s="71" t="s">
        <v>3936</v>
      </c>
      <c r="C3556" s="42" t="s">
        <v>3937</v>
      </c>
      <c r="D3556" s="71" t="s">
        <v>5127</v>
      </c>
      <c r="E3556" s="98" t="s">
        <v>221</v>
      </c>
      <c r="F3556" s="72">
        <v>5.9</v>
      </c>
      <c r="G3556" s="73" t="s">
        <v>64</v>
      </c>
      <c r="H3556" s="73">
        <v>9971</v>
      </c>
      <c r="I3556" s="72">
        <v>0.45</v>
      </c>
      <c r="J3556" s="72">
        <v>0.45</v>
      </c>
      <c r="K3556" s="72">
        <v>0</v>
      </c>
      <c r="L3556" s="97">
        <v>0</v>
      </c>
      <c r="M3556" s="73" t="s">
        <v>3925</v>
      </c>
      <c r="N3556" s="99">
        <f t="shared" si="85"/>
        <v>0.9</v>
      </c>
    </row>
    <row r="3557" spans="1:14">
      <c r="A3557" s="12">
        <v>3556</v>
      </c>
      <c r="B3557" s="71" t="s">
        <v>3936</v>
      </c>
      <c r="C3557" s="42" t="s">
        <v>3937</v>
      </c>
      <c r="D3557" s="71" t="s">
        <v>5128</v>
      </c>
      <c r="E3557" s="98" t="s">
        <v>527</v>
      </c>
      <c r="F3557" s="72">
        <v>5.9</v>
      </c>
      <c r="G3557" s="73" t="s">
        <v>64</v>
      </c>
      <c r="H3557" s="73">
        <v>9971</v>
      </c>
      <c r="I3557" s="72">
        <v>0.45</v>
      </c>
      <c r="J3557" s="72">
        <v>0.45</v>
      </c>
      <c r="K3557" s="72">
        <v>0</v>
      </c>
      <c r="L3557" s="97">
        <v>0</v>
      </c>
      <c r="M3557" s="73" t="s">
        <v>3925</v>
      </c>
      <c r="N3557" s="99">
        <f t="shared" si="85"/>
        <v>0.9</v>
      </c>
    </row>
    <row r="3558" spans="1:14">
      <c r="A3558" s="12">
        <v>3557</v>
      </c>
      <c r="B3558" s="71" t="s">
        <v>3936</v>
      </c>
      <c r="C3558" s="42" t="s">
        <v>3937</v>
      </c>
      <c r="D3558" s="71" t="s">
        <v>5129</v>
      </c>
      <c r="E3558" s="98" t="s">
        <v>3690</v>
      </c>
      <c r="F3558" s="72">
        <v>4130</v>
      </c>
      <c r="G3558" s="73" t="s">
        <v>64</v>
      </c>
      <c r="H3558" s="73">
        <v>9971</v>
      </c>
      <c r="I3558" s="72">
        <v>315</v>
      </c>
      <c r="J3558" s="72">
        <v>315</v>
      </c>
      <c r="K3558" s="72">
        <v>0</v>
      </c>
      <c r="L3558" s="97">
        <v>0</v>
      </c>
      <c r="M3558" s="73" t="s">
        <v>3925</v>
      </c>
      <c r="N3558" s="99">
        <f t="shared" si="85"/>
        <v>630</v>
      </c>
    </row>
    <row r="3559" spans="1:14">
      <c r="A3559" s="12">
        <v>3558</v>
      </c>
      <c r="B3559" s="71" t="s">
        <v>3391</v>
      </c>
      <c r="C3559" s="42" t="s">
        <v>3392</v>
      </c>
      <c r="D3559" s="71" t="s">
        <v>5130</v>
      </c>
      <c r="E3559" s="98" t="s">
        <v>3734</v>
      </c>
      <c r="F3559" s="72">
        <v>61553.16</v>
      </c>
      <c r="G3559" s="73" t="s">
        <v>64</v>
      </c>
      <c r="H3559" s="89" t="s">
        <v>5131</v>
      </c>
      <c r="I3559" s="72">
        <v>4694.7299999999996</v>
      </c>
      <c r="J3559" s="72">
        <v>4694.7299999999996</v>
      </c>
      <c r="K3559" s="72">
        <v>0</v>
      </c>
      <c r="L3559" s="97">
        <v>0</v>
      </c>
      <c r="M3559" s="73" t="s">
        <v>3925</v>
      </c>
      <c r="N3559" s="99">
        <f t="shared" si="85"/>
        <v>9389.4599999999991</v>
      </c>
    </row>
    <row r="3560" spans="1:14">
      <c r="A3560" s="12">
        <v>3559</v>
      </c>
      <c r="B3560" s="71" t="s">
        <v>3391</v>
      </c>
      <c r="C3560" s="42" t="s">
        <v>3392</v>
      </c>
      <c r="D3560" s="71" t="s">
        <v>5132</v>
      </c>
      <c r="E3560" s="98" t="s">
        <v>3799</v>
      </c>
      <c r="F3560" s="72">
        <v>56412.62</v>
      </c>
      <c r="G3560" s="73" t="s">
        <v>64</v>
      </c>
      <c r="H3560" s="89" t="s">
        <v>5131</v>
      </c>
      <c r="I3560" s="72">
        <v>4302.66</v>
      </c>
      <c r="J3560" s="72">
        <v>4302.66</v>
      </c>
      <c r="K3560" s="72">
        <v>0</v>
      </c>
      <c r="L3560" s="97">
        <v>0</v>
      </c>
      <c r="M3560" s="73" t="s">
        <v>3925</v>
      </c>
      <c r="N3560" s="99">
        <f t="shared" si="85"/>
        <v>8605.32</v>
      </c>
    </row>
    <row r="3561" spans="1:14">
      <c r="A3561" s="12">
        <v>3560</v>
      </c>
      <c r="B3561" s="71" t="s">
        <v>3391</v>
      </c>
      <c r="C3561" s="42" t="s">
        <v>3392</v>
      </c>
      <c r="D3561" s="71" t="s">
        <v>5133</v>
      </c>
      <c r="E3561" s="98" t="s">
        <v>3814</v>
      </c>
      <c r="F3561" s="72">
        <v>3198.28</v>
      </c>
      <c r="G3561" s="73" t="s">
        <v>64</v>
      </c>
      <c r="H3561" s="89" t="s">
        <v>5131</v>
      </c>
      <c r="I3561" s="72">
        <v>243.94</v>
      </c>
      <c r="J3561" s="72">
        <v>243.94</v>
      </c>
      <c r="K3561" s="72">
        <v>0</v>
      </c>
      <c r="L3561" s="97">
        <v>0</v>
      </c>
      <c r="M3561" s="73" t="s">
        <v>3925</v>
      </c>
      <c r="N3561" s="99">
        <f t="shared" si="85"/>
        <v>487.88</v>
      </c>
    </row>
    <row r="3562" spans="1:14">
      <c r="A3562" s="12">
        <v>3561</v>
      </c>
      <c r="B3562" s="71" t="s">
        <v>3391</v>
      </c>
      <c r="C3562" s="42" t="s">
        <v>3392</v>
      </c>
      <c r="D3562" s="71" t="s">
        <v>5134</v>
      </c>
      <c r="E3562" s="98" t="s">
        <v>3833</v>
      </c>
      <c r="F3562" s="72">
        <v>97871.8</v>
      </c>
      <c r="G3562" s="73" t="s">
        <v>64</v>
      </c>
      <c r="H3562" s="89" t="s">
        <v>5131</v>
      </c>
      <c r="I3562" s="72">
        <v>7464.8</v>
      </c>
      <c r="J3562" s="72">
        <v>7464.8</v>
      </c>
      <c r="K3562" s="72">
        <v>0</v>
      </c>
      <c r="L3562" s="97">
        <v>0</v>
      </c>
      <c r="M3562" s="73" t="s">
        <v>3925</v>
      </c>
      <c r="N3562" s="99">
        <f t="shared" si="85"/>
        <v>14929.6</v>
      </c>
    </row>
    <row r="3563" spans="1:14">
      <c r="A3563" s="12">
        <v>3562</v>
      </c>
      <c r="B3563" s="71" t="s">
        <v>5094</v>
      </c>
      <c r="C3563" s="42" t="s">
        <v>5095</v>
      </c>
      <c r="D3563" s="71" t="s">
        <v>5151</v>
      </c>
      <c r="E3563" s="72" t="s">
        <v>523</v>
      </c>
      <c r="F3563" s="72">
        <v>22400</v>
      </c>
      <c r="G3563" s="73" t="s">
        <v>182</v>
      </c>
      <c r="H3563" s="73">
        <v>9403</v>
      </c>
      <c r="I3563" s="72">
        <v>0</v>
      </c>
      <c r="J3563" s="72">
        <v>0</v>
      </c>
      <c r="K3563" s="72">
        <v>2400</v>
      </c>
      <c r="L3563" s="97">
        <v>0</v>
      </c>
      <c r="M3563" s="73" t="s">
        <v>3925</v>
      </c>
      <c r="N3563" s="99">
        <f>IF(M3563="YES", I3563+J3563+K3563, 0)</f>
        <v>2400</v>
      </c>
    </row>
    <row r="3564" spans="1:14">
      <c r="A3564" s="12">
        <v>3563</v>
      </c>
      <c r="B3564" s="71" t="s">
        <v>5094</v>
      </c>
      <c r="C3564" s="42" t="s">
        <v>5095</v>
      </c>
      <c r="D3564" s="71" t="s">
        <v>5152</v>
      </c>
      <c r="E3564" s="72" t="s">
        <v>5153</v>
      </c>
      <c r="F3564" s="72">
        <v>19600</v>
      </c>
      <c r="G3564" s="73" t="s">
        <v>182</v>
      </c>
      <c r="H3564" s="73">
        <v>9403</v>
      </c>
      <c r="I3564" s="72">
        <v>0</v>
      </c>
      <c r="J3564" s="72">
        <v>0</v>
      </c>
      <c r="K3564" s="72">
        <v>2100</v>
      </c>
      <c r="L3564" s="97">
        <v>0</v>
      </c>
      <c r="M3564" s="73" t="s">
        <v>3925</v>
      </c>
      <c r="N3564" s="99">
        <f t="shared" ref="N3564:N3627" si="86">IF(M3564="YES", I3564+J3564+K3564, 0)</f>
        <v>2100</v>
      </c>
    </row>
    <row r="3565" spans="1:14">
      <c r="A3565" s="12">
        <v>3564</v>
      </c>
      <c r="B3565" s="71" t="s">
        <v>5094</v>
      </c>
      <c r="C3565" s="42" t="s">
        <v>5095</v>
      </c>
      <c r="D3565" s="71" t="s">
        <v>5154</v>
      </c>
      <c r="E3565" s="72" t="s">
        <v>4656</v>
      </c>
      <c r="F3565" s="72">
        <v>10640</v>
      </c>
      <c r="G3565" s="73" t="s">
        <v>182</v>
      </c>
      <c r="H3565" s="73">
        <v>9403</v>
      </c>
      <c r="I3565" s="72">
        <v>0</v>
      </c>
      <c r="J3565" s="72">
        <v>0</v>
      </c>
      <c r="K3565" s="72">
        <v>1140</v>
      </c>
      <c r="L3565" s="97">
        <v>0</v>
      </c>
      <c r="M3565" s="73" t="s">
        <v>3925</v>
      </c>
      <c r="N3565" s="99">
        <f t="shared" si="86"/>
        <v>1140</v>
      </c>
    </row>
    <row r="3566" spans="1:14">
      <c r="A3566" s="12">
        <v>3565</v>
      </c>
      <c r="B3566" s="71" t="s">
        <v>5094</v>
      </c>
      <c r="C3566" s="42" t="s">
        <v>5095</v>
      </c>
      <c r="D3566" s="71" t="s">
        <v>5155</v>
      </c>
      <c r="E3566" s="72" t="s">
        <v>4616</v>
      </c>
      <c r="F3566" s="72">
        <v>31270</v>
      </c>
      <c r="G3566" s="73" t="s">
        <v>182</v>
      </c>
      <c r="H3566" s="73">
        <v>9403</v>
      </c>
      <c r="I3566" s="72">
        <v>0</v>
      </c>
      <c r="J3566" s="72">
        <v>0</v>
      </c>
      <c r="K3566" s="72">
        <v>4770</v>
      </c>
      <c r="L3566" s="97">
        <v>0</v>
      </c>
      <c r="M3566" s="73" t="s">
        <v>3925</v>
      </c>
      <c r="N3566" s="99">
        <f t="shared" si="86"/>
        <v>4770</v>
      </c>
    </row>
    <row r="3567" spans="1:14">
      <c r="A3567" s="12">
        <v>3566</v>
      </c>
      <c r="B3567" s="71" t="s">
        <v>5083</v>
      </c>
      <c r="C3567" s="42" t="s">
        <v>5084</v>
      </c>
      <c r="D3567" s="71" t="s">
        <v>5156</v>
      </c>
      <c r="E3567" s="72" t="s">
        <v>4622</v>
      </c>
      <c r="F3567" s="72">
        <v>493.5</v>
      </c>
      <c r="G3567" s="73" t="s">
        <v>64</v>
      </c>
      <c r="H3567" s="89" t="s">
        <v>5086</v>
      </c>
      <c r="I3567" s="72">
        <v>0</v>
      </c>
      <c r="J3567" s="72">
        <v>0</v>
      </c>
      <c r="K3567" s="72">
        <v>23.5</v>
      </c>
      <c r="L3567" s="97">
        <v>0</v>
      </c>
      <c r="M3567" s="73" t="s">
        <v>3925</v>
      </c>
      <c r="N3567" s="99">
        <f t="shared" si="86"/>
        <v>23.5</v>
      </c>
    </row>
    <row r="3568" spans="1:14">
      <c r="A3568" s="12">
        <v>3567</v>
      </c>
      <c r="B3568" s="71" t="s">
        <v>5083</v>
      </c>
      <c r="C3568" s="42" t="s">
        <v>5084</v>
      </c>
      <c r="D3568" s="71" t="s">
        <v>5157</v>
      </c>
      <c r="E3568" s="72" t="s">
        <v>5158</v>
      </c>
      <c r="F3568" s="72">
        <v>590.1</v>
      </c>
      <c r="G3568" s="73" t="s">
        <v>64</v>
      </c>
      <c r="H3568" s="89" t="s">
        <v>5086</v>
      </c>
      <c r="I3568" s="72">
        <v>0</v>
      </c>
      <c r="J3568" s="72">
        <v>0</v>
      </c>
      <c r="K3568" s="72">
        <v>28.1</v>
      </c>
      <c r="L3568" s="97">
        <v>0</v>
      </c>
      <c r="M3568" s="73" t="s">
        <v>3925</v>
      </c>
      <c r="N3568" s="99">
        <f t="shared" si="86"/>
        <v>28.1</v>
      </c>
    </row>
    <row r="3569" spans="1:14">
      <c r="A3569" s="12">
        <v>3568</v>
      </c>
      <c r="B3569" s="71" t="s">
        <v>1793</v>
      </c>
      <c r="C3569" s="42" t="s">
        <v>1794</v>
      </c>
      <c r="D3569" s="71" t="s">
        <v>5159</v>
      </c>
      <c r="E3569" s="72" t="s">
        <v>210</v>
      </c>
      <c r="F3569" s="72">
        <v>748.48</v>
      </c>
      <c r="G3569" s="73" t="s">
        <v>64</v>
      </c>
      <c r="H3569" s="89" t="s">
        <v>5093</v>
      </c>
      <c r="I3569" s="72">
        <v>57.09</v>
      </c>
      <c r="J3569" s="72">
        <v>57.09</v>
      </c>
      <c r="K3569" s="72">
        <v>0</v>
      </c>
      <c r="L3569" s="97">
        <v>0</v>
      </c>
      <c r="M3569" s="73" t="s">
        <v>3925</v>
      </c>
      <c r="N3569" s="99">
        <f t="shared" si="86"/>
        <v>114.18</v>
      </c>
    </row>
    <row r="3570" spans="1:14">
      <c r="A3570" s="12">
        <v>3569</v>
      </c>
      <c r="B3570" s="71" t="s">
        <v>557</v>
      </c>
      <c r="C3570" s="42" t="s">
        <v>558</v>
      </c>
      <c r="D3570" s="71" t="s">
        <v>5160</v>
      </c>
      <c r="E3570" s="72" t="s">
        <v>4687</v>
      </c>
      <c r="F3570" s="72">
        <v>44.38</v>
      </c>
      <c r="G3570" s="73" t="s">
        <v>64</v>
      </c>
      <c r="H3570" s="89" t="s">
        <v>847</v>
      </c>
      <c r="I3570" s="72">
        <v>0</v>
      </c>
      <c r="J3570" s="72">
        <v>0</v>
      </c>
      <c r="K3570" s="72">
        <v>6.77</v>
      </c>
      <c r="L3570" s="97">
        <v>0</v>
      </c>
      <c r="M3570" s="73" t="s">
        <v>3925</v>
      </c>
      <c r="N3570" s="99">
        <f t="shared" si="86"/>
        <v>6.77</v>
      </c>
    </row>
    <row r="3571" spans="1:14">
      <c r="A3571" s="12">
        <v>3570</v>
      </c>
      <c r="B3571" s="71" t="s">
        <v>557</v>
      </c>
      <c r="C3571" s="42" t="s">
        <v>558</v>
      </c>
      <c r="D3571" s="71" t="s">
        <v>5161</v>
      </c>
      <c r="E3571" s="72" t="s">
        <v>4622</v>
      </c>
      <c r="F3571" s="72">
        <v>132.25</v>
      </c>
      <c r="G3571" s="73" t="s">
        <v>64</v>
      </c>
      <c r="H3571" s="89" t="s">
        <v>847</v>
      </c>
      <c r="I3571" s="72">
        <v>0</v>
      </c>
      <c r="J3571" s="72">
        <v>0</v>
      </c>
      <c r="K3571" s="72">
        <v>20.170000000000002</v>
      </c>
      <c r="L3571" s="97">
        <v>0</v>
      </c>
      <c r="M3571" s="73" t="s">
        <v>3925</v>
      </c>
      <c r="N3571" s="99">
        <f t="shared" si="86"/>
        <v>20.170000000000002</v>
      </c>
    </row>
    <row r="3572" spans="1:14">
      <c r="A3572" s="12">
        <v>3571</v>
      </c>
      <c r="B3572" s="71" t="s">
        <v>557</v>
      </c>
      <c r="C3572" s="42" t="s">
        <v>558</v>
      </c>
      <c r="D3572" s="71" t="s">
        <v>5162</v>
      </c>
      <c r="E3572" s="72" t="s">
        <v>5153</v>
      </c>
      <c r="F3572" s="72">
        <v>111.23</v>
      </c>
      <c r="G3572" s="73" t="s">
        <v>64</v>
      </c>
      <c r="H3572" s="89" t="s">
        <v>847</v>
      </c>
      <c r="I3572" s="72">
        <v>0</v>
      </c>
      <c r="J3572" s="72">
        <v>0</v>
      </c>
      <c r="K3572" s="72">
        <v>16.97</v>
      </c>
      <c r="L3572" s="97">
        <v>0</v>
      </c>
      <c r="M3572" s="73" t="s">
        <v>3925</v>
      </c>
      <c r="N3572" s="99">
        <f t="shared" si="86"/>
        <v>16.97</v>
      </c>
    </row>
    <row r="3573" spans="1:14">
      <c r="A3573" s="12">
        <v>3572</v>
      </c>
      <c r="B3573" s="71" t="s">
        <v>557</v>
      </c>
      <c r="C3573" s="42" t="s">
        <v>558</v>
      </c>
      <c r="D3573" s="71" t="s">
        <v>5163</v>
      </c>
      <c r="E3573" s="72" t="s">
        <v>5164</v>
      </c>
      <c r="F3573" s="72">
        <v>77.86</v>
      </c>
      <c r="G3573" s="73" t="s">
        <v>64</v>
      </c>
      <c r="H3573" s="89" t="s">
        <v>847</v>
      </c>
      <c r="I3573" s="72">
        <v>0</v>
      </c>
      <c r="J3573" s="72">
        <v>0</v>
      </c>
      <c r="K3573" s="72">
        <v>11.88</v>
      </c>
      <c r="L3573" s="97">
        <v>0</v>
      </c>
      <c r="M3573" s="73" t="s">
        <v>3925</v>
      </c>
      <c r="N3573" s="99">
        <f t="shared" si="86"/>
        <v>11.88</v>
      </c>
    </row>
    <row r="3574" spans="1:14">
      <c r="A3574" s="12">
        <v>3573</v>
      </c>
      <c r="B3574" s="71" t="s">
        <v>557</v>
      </c>
      <c r="C3574" s="42" t="s">
        <v>558</v>
      </c>
      <c r="D3574" s="71" t="s">
        <v>5165</v>
      </c>
      <c r="E3574" s="72" t="s">
        <v>506</v>
      </c>
      <c r="F3574" s="72">
        <v>30.76</v>
      </c>
      <c r="G3574" s="73" t="s">
        <v>64</v>
      </c>
      <c r="H3574" s="89" t="s">
        <v>847</v>
      </c>
      <c r="I3574" s="72">
        <v>0</v>
      </c>
      <c r="J3574" s="72">
        <v>0</v>
      </c>
      <c r="K3574" s="72">
        <v>4.6900000000000004</v>
      </c>
      <c r="L3574" s="97">
        <v>0</v>
      </c>
      <c r="M3574" s="73" t="s">
        <v>3925</v>
      </c>
      <c r="N3574" s="99">
        <f t="shared" si="86"/>
        <v>4.6900000000000004</v>
      </c>
    </row>
    <row r="3575" spans="1:14">
      <c r="A3575" s="12">
        <v>3574</v>
      </c>
      <c r="B3575" s="71" t="s">
        <v>3936</v>
      </c>
      <c r="C3575" s="42" t="s">
        <v>3937</v>
      </c>
      <c r="D3575" s="71" t="s">
        <v>5166</v>
      </c>
      <c r="E3575" s="72" t="s">
        <v>201</v>
      </c>
      <c r="F3575" s="72">
        <v>5.9</v>
      </c>
      <c r="G3575" s="73" t="s">
        <v>64</v>
      </c>
      <c r="H3575" s="73">
        <v>9971</v>
      </c>
      <c r="I3575" s="72">
        <v>0.45</v>
      </c>
      <c r="J3575" s="72">
        <v>0.45</v>
      </c>
      <c r="K3575" s="72">
        <v>0</v>
      </c>
      <c r="L3575" s="97">
        <v>0</v>
      </c>
      <c r="M3575" s="73" t="s">
        <v>3925</v>
      </c>
      <c r="N3575" s="99">
        <f t="shared" si="86"/>
        <v>0.9</v>
      </c>
    </row>
    <row r="3576" spans="1:14">
      <c r="A3576" s="12">
        <v>3575</v>
      </c>
      <c r="B3576" s="71" t="s">
        <v>3936</v>
      </c>
      <c r="C3576" s="42" t="s">
        <v>3937</v>
      </c>
      <c r="D3576" s="71" t="s">
        <v>5167</v>
      </c>
      <c r="E3576" s="72" t="s">
        <v>503</v>
      </c>
      <c r="F3576" s="72">
        <v>5.9</v>
      </c>
      <c r="G3576" s="73" t="s">
        <v>64</v>
      </c>
      <c r="H3576" s="73">
        <v>9971</v>
      </c>
      <c r="I3576" s="72">
        <v>0.45</v>
      </c>
      <c r="J3576" s="72">
        <v>0.45</v>
      </c>
      <c r="K3576" s="72">
        <v>0</v>
      </c>
      <c r="L3576" s="97">
        <v>0</v>
      </c>
      <c r="M3576" s="73" t="s">
        <v>3925</v>
      </c>
      <c r="N3576" s="99">
        <f t="shared" si="86"/>
        <v>0.9</v>
      </c>
    </row>
    <row r="3577" spans="1:14">
      <c r="A3577" s="12">
        <v>3576</v>
      </c>
      <c r="B3577" s="71" t="s">
        <v>3936</v>
      </c>
      <c r="C3577" s="42" t="s">
        <v>3937</v>
      </c>
      <c r="D3577" s="71" t="s">
        <v>5168</v>
      </c>
      <c r="E3577" s="72" t="s">
        <v>4634</v>
      </c>
      <c r="F3577" s="72">
        <v>5.9</v>
      </c>
      <c r="G3577" s="73" t="s">
        <v>64</v>
      </c>
      <c r="H3577" s="73">
        <v>9971</v>
      </c>
      <c r="I3577" s="72">
        <v>0.45</v>
      </c>
      <c r="J3577" s="72">
        <v>0.45</v>
      </c>
      <c r="K3577" s="72">
        <v>0</v>
      </c>
      <c r="L3577" s="97">
        <v>0</v>
      </c>
      <c r="M3577" s="73" t="s">
        <v>3925</v>
      </c>
      <c r="N3577" s="99">
        <f t="shared" si="86"/>
        <v>0.9</v>
      </c>
    </row>
    <row r="3578" spans="1:14">
      <c r="A3578" s="12">
        <v>3577</v>
      </c>
      <c r="B3578" s="71" t="s">
        <v>3936</v>
      </c>
      <c r="C3578" s="42" t="s">
        <v>3937</v>
      </c>
      <c r="D3578" s="71" t="s">
        <v>5169</v>
      </c>
      <c r="E3578" s="72" t="s">
        <v>218</v>
      </c>
      <c r="F3578" s="72">
        <v>5.9</v>
      </c>
      <c r="G3578" s="73" t="s">
        <v>64</v>
      </c>
      <c r="H3578" s="73">
        <v>9971</v>
      </c>
      <c r="I3578" s="72">
        <v>0.45</v>
      </c>
      <c r="J3578" s="72">
        <v>0.45</v>
      </c>
      <c r="K3578" s="72">
        <v>0</v>
      </c>
      <c r="L3578" s="97">
        <v>0</v>
      </c>
      <c r="M3578" s="73" t="s">
        <v>3925</v>
      </c>
      <c r="N3578" s="99">
        <f t="shared" si="86"/>
        <v>0.9</v>
      </c>
    </row>
    <row r="3579" spans="1:14">
      <c r="A3579" s="12">
        <v>3578</v>
      </c>
      <c r="B3579" s="71" t="s">
        <v>3936</v>
      </c>
      <c r="C3579" s="42" t="s">
        <v>3937</v>
      </c>
      <c r="D3579" s="71" t="s">
        <v>5170</v>
      </c>
      <c r="E3579" s="72" t="s">
        <v>5153</v>
      </c>
      <c r="F3579" s="72">
        <v>5.9</v>
      </c>
      <c r="G3579" s="73" t="s">
        <v>64</v>
      </c>
      <c r="H3579" s="73">
        <v>9971</v>
      </c>
      <c r="I3579" s="72">
        <v>0.45</v>
      </c>
      <c r="J3579" s="72">
        <v>0.45</v>
      </c>
      <c r="K3579" s="72">
        <v>0</v>
      </c>
      <c r="L3579" s="97">
        <v>0</v>
      </c>
      <c r="M3579" s="73" t="s">
        <v>3925</v>
      </c>
      <c r="N3579" s="99">
        <f t="shared" si="86"/>
        <v>0.9</v>
      </c>
    </row>
    <row r="3580" spans="1:14">
      <c r="A3580" s="12">
        <v>3579</v>
      </c>
      <c r="B3580" s="71" t="s">
        <v>3936</v>
      </c>
      <c r="C3580" s="42" t="s">
        <v>3937</v>
      </c>
      <c r="D3580" s="71" t="s">
        <v>5171</v>
      </c>
      <c r="E3580" s="72" t="s">
        <v>229</v>
      </c>
      <c r="F3580" s="72">
        <v>5.9</v>
      </c>
      <c r="G3580" s="73" t="s">
        <v>64</v>
      </c>
      <c r="H3580" s="73">
        <v>9971</v>
      </c>
      <c r="I3580" s="72">
        <v>0.45</v>
      </c>
      <c r="J3580" s="72">
        <v>0.45</v>
      </c>
      <c r="K3580" s="72">
        <v>0</v>
      </c>
      <c r="L3580" s="97">
        <v>0</v>
      </c>
      <c r="M3580" s="73" t="s">
        <v>3925</v>
      </c>
      <c r="N3580" s="99">
        <f t="shared" si="86"/>
        <v>0.9</v>
      </c>
    </row>
    <row r="3581" spans="1:14">
      <c r="A3581" s="12">
        <v>3580</v>
      </c>
      <c r="B3581" s="71" t="s">
        <v>3936</v>
      </c>
      <c r="C3581" s="42" t="s">
        <v>3937</v>
      </c>
      <c r="D3581" s="71" t="s">
        <v>5172</v>
      </c>
      <c r="E3581" s="72" t="s">
        <v>506</v>
      </c>
      <c r="F3581" s="72">
        <v>5.9</v>
      </c>
      <c r="G3581" s="73" t="s">
        <v>64</v>
      </c>
      <c r="H3581" s="73">
        <v>9971</v>
      </c>
      <c r="I3581" s="72">
        <v>0.45</v>
      </c>
      <c r="J3581" s="72">
        <v>0.45</v>
      </c>
      <c r="K3581" s="72">
        <v>0</v>
      </c>
      <c r="L3581" s="97">
        <v>0</v>
      </c>
      <c r="M3581" s="73" t="s">
        <v>3925</v>
      </c>
      <c r="N3581" s="99">
        <f t="shared" si="86"/>
        <v>0.9</v>
      </c>
    </row>
    <row r="3582" spans="1:14">
      <c r="A3582" s="12">
        <v>3581</v>
      </c>
      <c r="B3582" s="71" t="s">
        <v>3936</v>
      </c>
      <c r="C3582" s="42" t="s">
        <v>3937</v>
      </c>
      <c r="D3582" s="71" t="s">
        <v>5173</v>
      </c>
      <c r="E3582" s="72" t="s">
        <v>4616</v>
      </c>
      <c r="F3582" s="72">
        <v>5.9</v>
      </c>
      <c r="G3582" s="73" t="s">
        <v>64</v>
      </c>
      <c r="H3582" s="73">
        <v>9971</v>
      </c>
      <c r="I3582" s="72">
        <v>0.45</v>
      </c>
      <c r="J3582" s="72">
        <v>0.45</v>
      </c>
      <c r="K3582" s="72">
        <v>0</v>
      </c>
      <c r="L3582" s="97">
        <v>0</v>
      </c>
      <c r="M3582" s="73" t="s">
        <v>3925</v>
      </c>
      <c r="N3582" s="99">
        <f t="shared" si="86"/>
        <v>0.9</v>
      </c>
    </row>
    <row r="3583" spans="1:14">
      <c r="A3583" s="12">
        <v>3582</v>
      </c>
      <c r="B3583" s="71" t="s">
        <v>3936</v>
      </c>
      <c r="C3583" s="42" t="s">
        <v>3937</v>
      </c>
      <c r="D3583" s="71" t="s">
        <v>5174</v>
      </c>
      <c r="E3583" s="72" t="s">
        <v>508</v>
      </c>
      <c r="F3583" s="72">
        <v>2.95</v>
      </c>
      <c r="G3583" s="73" t="s">
        <v>64</v>
      </c>
      <c r="H3583" s="73">
        <v>9971</v>
      </c>
      <c r="I3583" s="72">
        <v>0.23</v>
      </c>
      <c r="J3583" s="72">
        <v>0.23</v>
      </c>
      <c r="K3583" s="72">
        <v>0</v>
      </c>
      <c r="L3583" s="97">
        <v>0</v>
      </c>
      <c r="M3583" s="73" t="s">
        <v>3925</v>
      </c>
      <c r="N3583" s="99">
        <f t="shared" si="86"/>
        <v>0.46</v>
      </c>
    </row>
    <row r="3584" spans="1:14">
      <c r="A3584" s="12">
        <v>3583</v>
      </c>
      <c r="B3584" s="71" t="s">
        <v>3936</v>
      </c>
      <c r="C3584" s="42" t="s">
        <v>3937</v>
      </c>
      <c r="D3584" s="71" t="s">
        <v>5175</v>
      </c>
      <c r="E3584" s="72" t="s">
        <v>4656</v>
      </c>
      <c r="F3584" s="72">
        <v>118</v>
      </c>
      <c r="G3584" s="73" t="s">
        <v>64</v>
      </c>
      <c r="H3584" s="73">
        <v>9971</v>
      </c>
      <c r="I3584" s="72">
        <v>9</v>
      </c>
      <c r="J3584" s="72">
        <v>9</v>
      </c>
      <c r="K3584" s="72">
        <v>0</v>
      </c>
      <c r="L3584" s="97">
        <v>0</v>
      </c>
      <c r="M3584" s="73" t="s">
        <v>3925</v>
      </c>
      <c r="N3584" s="99">
        <f t="shared" si="86"/>
        <v>18</v>
      </c>
    </row>
    <row r="3585" spans="1:14">
      <c r="A3585" s="12">
        <v>3584</v>
      </c>
      <c r="B3585" s="71" t="s">
        <v>3936</v>
      </c>
      <c r="C3585" s="42" t="s">
        <v>3937</v>
      </c>
      <c r="D3585" s="71" t="s">
        <v>5176</v>
      </c>
      <c r="E3585" s="72" t="s">
        <v>4609</v>
      </c>
      <c r="F3585" s="72">
        <v>5074</v>
      </c>
      <c r="G3585" s="73" t="s">
        <v>64</v>
      </c>
      <c r="H3585" s="73">
        <v>9971</v>
      </c>
      <c r="I3585" s="72">
        <v>387</v>
      </c>
      <c r="J3585" s="72">
        <v>387</v>
      </c>
      <c r="K3585" s="72">
        <v>0</v>
      </c>
      <c r="L3585" s="97">
        <v>0</v>
      </c>
      <c r="M3585" s="73" t="s">
        <v>3925</v>
      </c>
      <c r="N3585" s="99">
        <f t="shared" si="86"/>
        <v>774</v>
      </c>
    </row>
    <row r="3586" spans="1:14">
      <c r="A3586" s="12">
        <v>3585</v>
      </c>
      <c r="B3586" s="71" t="s">
        <v>3936</v>
      </c>
      <c r="C3586" s="42" t="s">
        <v>3937</v>
      </c>
      <c r="D3586" s="71" t="s">
        <v>5177</v>
      </c>
      <c r="E3586" s="72" t="s">
        <v>497</v>
      </c>
      <c r="F3586" s="72">
        <v>5.9</v>
      </c>
      <c r="G3586" s="73" t="s">
        <v>64</v>
      </c>
      <c r="H3586" s="73">
        <v>9971</v>
      </c>
      <c r="I3586" s="72">
        <v>0.45</v>
      </c>
      <c r="J3586" s="72">
        <v>0.45</v>
      </c>
      <c r="K3586" s="72">
        <v>0</v>
      </c>
      <c r="L3586" s="97">
        <v>0</v>
      </c>
      <c r="M3586" s="73" t="s">
        <v>3925</v>
      </c>
      <c r="N3586" s="99">
        <f t="shared" si="86"/>
        <v>0.9</v>
      </c>
    </row>
    <row r="3587" spans="1:14">
      <c r="A3587" s="12">
        <v>3586</v>
      </c>
      <c r="B3587" s="71" t="s">
        <v>5088</v>
      </c>
      <c r="C3587" s="42" t="s">
        <v>5089</v>
      </c>
      <c r="D3587" s="71" t="s">
        <v>5178</v>
      </c>
      <c r="E3587" s="72" t="s">
        <v>210</v>
      </c>
      <c r="F3587" s="72">
        <v>4083.04</v>
      </c>
      <c r="G3587" s="73" t="s">
        <v>64</v>
      </c>
      <c r="H3587" s="73">
        <v>997119</v>
      </c>
      <c r="I3587" s="72">
        <v>0</v>
      </c>
      <c r="J3587" s="72">
        <v>0</v>
      </c>
      <c r="K3587" s="72">
        <v>622.84</v>
      </c>
      <c r="L3587" s="97">
        <v>0</v>
      </c>
      <c r="M3587" s="73" t="s">
        <v>3925</v>
      </c>
      <c r="N3587" s="99">
        <f t="shared" si="86"/>
        <v>622.84</v>
      </c>
    </row>
    <row r="3588" spans="1:14">
      <c r="A3588" s="12">
        <v>3587</v>
      </c>
      <c r="B3588" s="71" t="s">
        <v>805</v>
      </c>
      <c r="C3588" s="42" t="s">
        <v>806</v>
      </c>
      <c r="D3588" s="71" t="s">
        <v>5179</v>
      </c>
      <c r="E3588" s="72" t="s">
        <v>210</v>
      </c>
      <c r="F3588" s="72">
        <v>34723.78</v>
      </c>
      <c r="G3588" s="73" t="s">
        <v>64</v>
      </c>
      <c r="H3588" s="89" t="s">
        <v>847</v>
      </c>
      <c r="I3588" s="72">
        <v>0</v>
      </c>
      <c r="J3588" s="72">
        <v>0</v>
      </c>
      <c r="K3588" s="72">
        <v>5296.85</v>
      </c>
      <c r="L3588" s="97">
        <v>0</v>
      </c>
      <c r="M3588" s="73" t="s">
        <v>3925</v>
      </c>
      <c r="N3588" s="99">
        <f t="shared" si="86"/>
        <v>5296.85</v>
      </c>
    </row>
    <row r="3589" spans="1:14">
      <c r="A3589" s="12">
        <v>3588</v>
      </c>
      <c r="B3589" s="71" t="s">
        <v>1759</v>
      </c>
      <c r="C3589" s="42" t="s">
        <v>1760</v>
      </c>
      <c r="D3589" s="71" t="s">
        <v>5180</v>
      </c>
      <c r="E3589" s="72" t="s">
        <v>210</v>
      </c>
      <c r="F3589" s="72">
        <v>4000.09</v>
      </c>
      <c r="G3589" s="73" t="s">
        <v>64</v>
      </c>
      <c r="H3589" s="89" t="s">
        <v>561</v>
      </c>
      <c r="I3589" s="72">
        <v>0</v>
      </c>
      <c r="J3589" s="72">
        <v>0</v>
      </c>
      <c r="K3589" s="72">
        <v>610.17999999999995</v>
      </c>
      <c r="L3589" s="97">
        <v>0</v>
      </c>
      <c r="M3589" s="73" t="s">
        <v>3925</v>
      </c>
      <c r="N3589" s="99">
        <f t="shared" si="86"/>
        <v>610.17999999999995</v>
      </c>
    </row>
    <row r="3590" spans="1:14">
      <c r="A3590" s="12">
        <v>3589</v>
      </c>
      <c r="B3590" s="71" t="s">
        <v>3936</v>
      </c>
      <c r="C3590" s="42" t="s">
        <v>3937</v>
      </c>
      <c r="D3590" s="71" t="s">
        <v>5181</v>
      </c>
      <c r="E3590" s="72" t="s">
        <v>289</v>
      </c>
      <c r="F3590" s="72">
        <v>188.8</v>
      </c>
      <c r="G3590" s="73" t="s">
        <v>64</v>
      </c>
      <c r="H3590" s="73">
        <v>9971</v>
      </c>
      <c r="I3590" s="72">
        <v>14.4</v>
      </c>
      <c r="J3590" s="72">
        <v>14.4</v>
      </c>
      <c r="K3590" s="72">
        <v>0</v>
      </c>
      <c r="L3590" s="97">
        <v>0</v>
      </c>
      <c r="M3590" s="73" t="s">
        <v>3925</v>
      </c>
      <c r="N3590" s="99">
        <f t="shared" si="86"/>
        <v>28.8</v>
      </c>
    </row>
    <row r="3591" spans="1:14">
      <c r="A3591" s="12">
        <v>3590</v>
      </c>
      <c r="B3591" s="71" t="s">
        <v>3936</v>
      </c>
      <c r="C3591" s="42" t="s">
        <v>3937</v>
      </c>
      <c r="D3591" s="71" t="s">
        <v>5182</v>
      </c>
      <c r="E3591" s="72" t="s">
        <v>4761</v>
      </c>
      <c r="F3591" s="72">
        <v>5.9</v>
      </c>
      <c r="G3591" s="73" t="s">
        <v>64</v>
      </c>
      <c r="H3591" s="73">
        <v>9971</v>
      </c>
      <c r="I3591" s="72">
        <v>0.45</v>
      </c>
      <c r="J3591" s="72">
        <v>0.45</v>
      </c>
      <c r="K3591" s="72">
        <v>0</v>
      </c>
      <c r="L3591" s="97">
        <v>0</v>
      </c>
      <c r="M3591" s="73" t="s">
        <v>3925</v>
      </c>
      <c r="N3591" s="99">
        <f t="shared" si="86"/>
        <v>0.9</v>
      </c>
    </row>
    <row r="3592" spans="1:14">
      <c r="A3592" s="12">
        <v>3591</v>
      </c>
      <c r="B3592" s="71" t="s">
        <v>3936</v>
      </c>
      <c r="C3592" s="42" t="s">
        <v>3937</v>
      </c>
      <c r="D3592" s="71" t="s">
        <v>5183</v>
      </c>
      <c r="E3592" s="72" t="s">
        <v>272</v>
      </c>
      <c r="F3592" s="72">
        <v>5.9</v>
      </c>
      <c r="G3592" s="73" t="s">
        <v>64</v>
      </c>
      <c r="H3592" s="73">
        <v>9971</v>
      </c>
      <c r="I3592" s="72">
        <v>0.45</v>
      </c>
      <c r="J3592" s="72">
        <v>0.45</v>
      </c>
      <c r="K3592" s="72">
        <v>0</v>
      </c>
      <c r="L3592" s="97">
        <v>0</v>
      </c>
      <c r="M3592" s="73" t="s">
        <v>3925</v>
      </c>
      <c r="N3592" s="99">
        <f t="shared" si="86"/>
        <v>0.9</v>
      </c>
    </row>
    <row r="3593" spans="1:14">
      <c r="A3593" s="12">
        <v>3592</v>
      </c>
      <c r="B3593" s="71" t="s">
        <v>3936</v>
      </c>
      <c r="C3593" s="42" t="s">
        <v>3937</v>
      </c>
      <c r="D3593" s="71" t="s">
        <v>5184</v>
      </c>
      <c r="E3593" s="72" t="s">
        <v>268</v>
      </c>
      <c r="F3593" s="72">
        <v>5.9</v>
      </c>
      <c r="G3593" s="73" t="s">
        <v>64</v>
      </c>
      <c r="H3593" s="73">
        <v>9971</v>
      </c>
      <c r="I3593" s="72">
        <v>0.45</v>
      </c>
      <c r="J3593" s="72">
        <v>0.45</v>
      </c>
      <c r="K3593" s="72">
        <v>0</v>
      </c>
      <c r="L3593" s="97">
        <v>0</v>
      </c>
      <c r="M3593" s="73" t="s">
        <v>3925</v>
      </c>
      <c r="N3593" s="99">
        <f t="shared" si="86"/>
        <v>0.9</v>
      </c>
    </row>
    <row r="3594" spans="1:14">
      <c r="A3594" s="12">
        <v>3593</v>
      </c>
      <c r="B3594" s="71" t="s">
        <v>3936</v>
      </c>
      <c r="C3594" s="42" t="s">
        <v>3937</v>
      </c>
      <c r="D3594" s="71" t="s">
        <v>5185</v>
      </c>
      <c r="E3594" s="72" t="s">
        <v>263</v>
      </c>
      <c r="F3594" s="72">
        <v>5.9</v>
      </c>
      <c r="G3594" s="73" t="s">
        <v>64</v>
      </c>
      <c r="H3594" s="73">
        <v>9971</v>
      </c>
      <c r="I3594" s="72">
        <v>0.45</v>
      </c>
      <c r="J3594" s="72">
        <v>0.45</v>
      </c>
      <c r="K3594" s="72">
        <v>0</v>
      </c>
      <c r="L3594" s="97">
        <v>0</v>
      </c>
      <c r="M3594" s="73" t="s">
        <v>3925</v>
      </c>
      <c r="N3594" s="99">
        <f t="shared" si="86"/>
        <v>0.9</v>
      </c>
    </row>
    <row r="3595" spans="1:14">
      <c r="A3595" s="12">
        <v>3594</v>
      </c>
      <c r="B3595" s="71" t="s">
        <v>3936</v>
      </c>
      <c r="C3595" s="42" t="s">
        <v>3937</v>
      </c>
      <c r="D3595" s="71" t="s">
        <v>5186</v>
      </c>
      <c r="E3595" s="72" t="s">
        <v>263</v>
      </c>
      <c r="F3595" s="72">
        <v>5.9</v>
      </c>
      <c r="G3595" s="73" t="s">
        <v>64</v>
      </c>
      <c r="H3595" s="73">
        <v>9971</v>
      </c>
      <c r="I3595" s="72">
        <v>0.45</v>
      </c>
      <c r="J3595" s="72">
        <v>0.45</v>
      </c>
      <c r="K3595" s="72">
        <v>0</v>
      </c>
      <c r="L3595" s="97">
        <v>0</v>
      </c>
      <c r="M3595" s="73" t="s">
        <v>3925</v>
      </c>
      <c r="N3595" s="99">
        <f t="shared" si="86"/>
        <v>0.9</v>
      </c>
    </row>
    <row r="3596" spans="1:14">
      <c r="A3596" s="12">
        <v>3595</v>
      </c>
      <c r="B3596" s="71" t="s">
        <v>3936</v>
      </c>
      <c r="C3596" s="42" t="s">
        <v>3937</v>
      </c>
      <c r="D3596" s="71" t="s">
        <v>5187</v>
      </c>
      <c r="E3596" s="72" t="s">
        <v>581</v>
      </c>
      <c r="F3596" s="72">
        <v>5.9</v>
      </c>
      <c r="G3596" s="73" t="s">
        <v>64</v>
      </c>
      <c r="H3596" s="73">
        <v>9971</v>
      </c>
      <c r="I3596" s="72">
        <v>0.45</v>
      </c>
      <c r="J3596" s="72">
        <v>0.45</v>
      </c>
      <c r="K3596" s="72">
        <v>0</v>
      </c>
      <c r="L3596" s="97">
        <v>0</v>
      </c>
      <c r="M3596" s="73" t="s">
        <v>3925</v>
      </c>
      <c r="N3596" s="99">
        <f t="shared" si="86"/>
        <v>0.9</v>
      </c>
    </row>
    <row r="3597" spans="1:14">
      <c r="A3597" s="12">
        <v>3596</v>
      </c>
      <c r="B3597" s="71" t="s">
        <v>3936</v>
      </c>
      <c r="C3597" s="42" t="s">
        <v>3937</v>
      </c>
      <c r="D3597" s="71" t="s">
        <v>5188</v>
      </c>
      <c r="E3597" s="72" t="s">
        <v>285</v>
      </c>
      <c r="F3597" s="72">
        <v>29.5</v>
      </c>
      <c r="G3597" s="73" t="s">
        <v>64</v>
      </c>
      <c r="H3597" s="73">
        <v>9971</v>
      </c>
      <c r="I3597" s="72">
        <v>2.25</v>
      </c>
      <c r="J3597" s="72">
        <v>2.25</v>
      </c>
      <c r="K3597" s="72">
        <v>0</v>
      </c>
      <c r="L3597" s="97">
        <v>0</v>
      </c>
      <c r="M3597" s="73" t="s">
        <v>3925</v>
      </c>
      <c r="N3597" s="99">
        <f t="shared" si="86"/>
        <v>4.5</v>
      </c>
    </row>
    <row r="3598" spans="1:14">
      <c r="A3598" s="12">
        <v>3597</v>
      </c>
      <c r="B3598" s="71" t="s">
        <v>3936</v>
      </c>
      <c r="C3598" s="42" t="s">
        <v>3937</v>
      </c>
      <c r="D3598" s="71" t="s">
        <v>5189</v>
      </c>
      <c r="E3598" s="72" t="s">
        <v>5190</v>
      </c>
      <c r="F3598" s="72">
        <v>5.9</v>
      </c>
      <c r="G3598" s="73" t="s">
        <v>64</v>
      </c>
      <c r="H3598" s="73">
        <v>9971</v>
      </c>
      <c r="I3598" s="72">
        <v>0.45</v>
      </c>
      <c r="J3598" s="72">
        <v>0.45</v>
      </c>
      <c r="K3598" s="72">
        <v>0</v>
      </c>
      <c r="L3598" s="97">
        <v>0</v>
      </c>
      <c r="M3598" s="73" t="s">
        <v>3925</v>
      </c>
      <c r="N3598" s="99">
        <f t="shared" si="86"/>
        <v>0.9</v>
      </c>
    </row>
    <row r="3599" spans="1:14">
      <c r="A3599" s="12">
        <v>3598</v>
      </c>
      <c r="B3599" s="71" t="s">
        <v>3936</v>
      </c>
      <c r="C3599" s="42" t="s">
        <v>3937</v>
      </c>
      <c r="D3599" s="71" t="s">
        <v>5191</v>
      </c>
      <c r="E3599" s="72" t="s">
        <v>574</v>
      </c>
      <c r="F3599" s="72">
        <v>5.9</v>
      </c>
      <c r="G3599" s="73" t="s">
        <v>64</v>
      </c>
      <c r="H3599" s="73">
        <v>9971</v>
      </c>
      <c r="I3599" s="72">
        <v>0.45</v>
      </c>
      <c r="J3599" s="72">
        <v>0.45</v>
      </c>
      <c r="K3599" s="72">
        <v>0</v>
      </c>
      <c r="L3599" s="97">
        <v>0</v>
      </c>
      <c r="M3599" s="73" t="s">
        <v>3925</v>
      </c>
      <c r="N3599" s="99">
        <f t="shared" si="86"/>
        <v>0.9</v>
      </c>
    </row>
    <row r="3600" spans="1:14">
      <c r="A3600" s="12">
        <v>3599</v>
      </c>
      <c r="B3600" s="71" t="s">
        <v>3936</v>
      </c>
      <c r="C3600" s="42" t="s">
        <v>3937</v>
      </c>
      <c r="D3600" s="71" t="s">
        <v>5192</v>
      </c>
      <c r="E3600" s="72" t="s">
        <v>574</v>
      </c>
      <c r="F3600" s="72">
        <v>5.9</v>
      </c>
      <c r="G3600" s="73" t="s">
        <v>64</v>
      </c>
      <c r="H3600" s="73">
        <v>9971</v>
      </c>
      <c r="I3600" s="72">
        <v>0.45</v>
      </c>
      <c r="J3600" s="72">
        <v>0.45</v>
      </c>
      <c r="K3600" s="72">
        <v>0</v>
      </c>
      <c r="L3600" s="97">
        <v>0</v>
      </c>
      <c r="M3600" s="73" t="s">
        <v>3925</v>
      </c>
      <c r="N3600" s="99">
        <f t="shared" si="86"/>
        <v>0.9</v>
      </c>
    </row>
    <row r="3601" spans="1:14">
      <c r="A3601" s="12">
        <v>3600</v>
      </c>
      <c r="B3601" s="71" t="s">
        <v>3936</v>
      </c>
      <c r="C3601" s="42" t="s">
        <v>3937</v>
      </c>
      <c r="D3601" s="71" t="s">
        <v>5193</v>
      </c>
      <c r="E3601" s="72" t="s">
        <v>303</v>
      </c>
      <c r="F3601" s="72">
        <v>5.9</v>
      </c>
      <c r="G3601" s="73" t="s">
        <v>64</v>
      </c>
      <c r="H3601" s="73">
        <v>9971</v>
      </c>
      <c r="I3601" s="72">
        <v>0.45</v>
      </c>
      <c r="J3601" s="72">
        <v>0.45</v>
      </c>
      <c r="K3601" s="72">
        <v>0</v>
      </c>
      <c r="L3601" s="97">
        <v>0</v>
      </c>
      <c r="M3601" s="73" t="s">
        <v>3925</v>
      </c>
      <c r="N3601" s="99">
        <f t="shared" si="86"/>
        <v>0.9</v>
      </c>
    </row>
    <row r="3602" spans="1:14">
      <c r="A3602" s="12">
        <v>3601</v>
      </c>
      <c r="B3602" s="71" t="s">
        <v>3936</v>
      </c>
      <c r="C3602" s="42" t="s">
        <v>3937</v>
      </c>
      <c r="D3602" s="71" t="s">
        <v>5194</v>
      </c>
      <c r="E3602" s="72" t="s">
        <v>303</v>
      </c>
      <c r="F3602" s="72">
        <v>5.9</v>
      </c>
      <c r="G3602" s="73" t="s">
        <v>64</v>
      </c>
      <c r="H3602" s="73">
        <v>9971</v>
      </c>
      <c r="I3602" s="72">
        <v>0.45</v>
      </c>
      <c r="J3602" s="72">
        <v>0.45</v>
      </c>
      <c r="K3602" s="72">
        <v>0</v>
      </c>
      <c r="L3602" s="97">
        <v>0</v>
      </c>
      <c r="M3602" s="73" t="s">
        <v>3925</v>
      </c>
      <c r="N3602" s="99">
        <f t="shared" si="86"/>
        <v>0.9</v>
      </c>
    </row>
    <row r="3603" spans="1:14">
      <c r="A3603" s="12">
        <v>3602</v>
      </c>
      <c r="B3603" s="71" t="s">
        <v>3936</v>
      </c>
      <c r="C3603" s="42" t="s">
        <v>3937</v>
      </c>
      <c r="D3603" s="71" t="s">
        <v>5195</v>
      </c>
      <c r="E3603" s="72" t="s">
        <v>303</v>
      </c>
      <c r="F3603" s="72">
        <v>6018</v>
      </c>
      <c r="G3603" s="73" t="s">
        <v>64</v>
      </c>
      <c r="H3603" s="73">
        <v>9971</v>
      </c>
      <c r="I3603" s="72">
        <v>459</v>
      </c>
      <c r="J3603" s="72">
        <v>459</v>
      </c>
      <c r="K3603" s="72">
        <v>0</v>
      </c>
      <c r="L3603" s="97">
        <v>0</v>
      </c>
      <c r="M3603" s="73" t="s">
        <v>3925</v>
      </c>
      <c r="N3603" s="99">
        <f t="shared" si="86"/>
        <v>918</v>
      </c>
    </row>
    <row r="3604" spans="1:14">
      <c r="A3604" s="12">
        <v>3603</v>
      </c>
      <c r="B3604" s="71" t="s">
        <v>5094</v>
      </c>
      <c r="C3604" s="42" t="s">
        <v>5095</v>
      </c>
      <c r="D3604" s="71" t="s">
        <v>5196</v>
      </c>
      <c r="E3604" s="72" t="s">
        <v>276</v>
      </c>
      <c r="F3604" s="72">
        <v>23296</v>
      </c>
      <c r="G3604" s="73" t="s">
        <v>182</v>
      </c>
      <c r="H3604" s="73">
        <v>9403</v>
      </c>
      <c r="I3604" s="72">
        <v>0</v>
      </c>
      <c r="J3604" s="72">
        <v>0</v>
      </c>
      <c r="K3604" s="72">
        <v>2496</v>
      </c>
      <c r="L3604" s="97">
        <v>0</v>
      </c>
      <c r="M3604" s="73" t="s">
        <v>3925</v>
      </c>
      <c r="N3604" s="99">
        <f t="shared" si="86"/>
        <v>2496</v>
      </c>
    </row>
    <row r="3605" spans="1:14">
      <c r="A3605" s="12">
        <v>3604</v>
      </c>
      <c r="B3605" s="71" t="s">
        <v>5094</v>
      </c>
      <c r="C3605" s="42" t="s">
        <v>5095</v>
      </c>
      <c r="D3605" s="71" t="s">
        <v>5197</v>
      </c>
      <c r="E3605" s="72" t="s">
        <v>272</v>
      </c>
      <c r="F3605" s="72">
        <v>17360</v>
      </c>
      <c r="G3605" s="73" t="s">
        <v>182</v>
      </c>
      <c r="H3605" s="73">
        <v>9403</v>
      </c>
      <c r="I3605" s="72">
        <v>0</v>
      </c>
      <c r="J3605" s="72">
        <v>0</v>
      </c>
      <c r="K3605" s="72">
        <v>1860</v>
      </c>
      <c r="L3605" s="97">
        <v>0</v>
      </c>
      <c r="M3605" s="73" t="s">
        <v>3925</v>
      </c>
      <c r="N3605" s="99">
        <f t="shared" si="86"/>
        <v>1860</v>
      </c>
    </row>
    <row r="3606" spans="1:14">
      <c r="A3606" s="12">
        <v>3605</v>
      </c>
      <c r="B3606" s="71" t="s">
        <v>5094</v>
      </c>
      <c r="C3606" s="42" t="s">
        <v>5095</v>
      </c>
      <c r="D3606" s="71" t="s">
        <v>5198</v>
      </c>
      <c r="E3606" s="72" t="s">
        <v>4749</v>
      </c>
      <c r="F3606" s="72">
        <v>30680</v>
      </c>
      <c r="G3606" s="73" t="s">
        <v>182</v>
      </c>
      <c r="H3606" s="73">
        <v>9403</v>
      </c>
      <c r="I3606" s="72">
        <v>0</v>
      </c>
      <c r="J3606" s="72">
        <v>0</v>
      </c>
      <c r="K3606" s="72">
        <v>4680</v>
      </c>
      <c r="L3606" s="97">
        <v>0</v>
      </c>
      <c r="M3606" s="73" t="s">
        <v>3925</v>
      </c>
      <c r="N3606" s="99">
        <f t="shared" si="86"/>
        <v>4680</v>
      </c>
    </row>
    <row r="3607" spans="1:14">
      <c r="A3607" s="12">
        <v>3606</v>
      </c>
      <c r="B3607" s="71" t="s">
        <v>5094</v>
      </c>
      <c r="C3607" s="42" t="s">
        <v>5095</v>
      </c>
      <c r="D3607" s="71" t="s">
        <v>5199</v>
      </c>
      <c r="E3607" s="72" t="s">
        <v>4754</v>
      </c>
      <c r="F3607" s="72">
        <v>8400</v>
      </c>
      <c r="G3607" s="73" t="s">
        <v>182</v>
      </c>
      <c r="H3607" s="73">
        <v>9403</v>
      </c>
      <c r="I3607" s="72">
        <v>0</v>
      </c>
      <c r="J3607" s="72">
        <v>0</v>
      </c>
      <c r="K3607" s="72">
        <v>900</v>
      </c>
      <c r="L3607" s="97">
        <v>0</v>
      </c>
      <c r="M3607" s="73" t="s">
        <v>3925</v>
      </c>
      <c r="N3607" s="99">
        <f t="shared" si="86"/>
        <v>900</v>
      </c>
    </row>
    <row r="3608" spans="1:14">
      <c r="A3608" s="12">
        <v>3607</v>
      </c>
      <c r="B3608" s="71" t="s">
        <v>5094</v>
      </c>
      <c r="C3608" s="42" t="s">
        <v>5095</v>
      </c>
      <c r="D3608" s="71" t="s">
        <v>5200</v>
      </c>
      <c r="E3608" s="72" t="s">
        <v>263</v>
      </c>
      <c r="F3608" s="72">
        <v>10080</v>
      </c>
      <c r="G3608" s="73" t="s">
        <v>182</v>
      </c>
      <c r="H3608" s="73">
        <v>9403</v>
      </c>
      <c r="I3608" s="72">
        <v>0</v>
      </c>
      <c r="J3608" s="72">
        <v>0</v>
      </c>
      <c r="K3608" s="72">
        <v>1080</v>
      </c>
      <c r="L3608" s="97">
        <v>0</v>
      </c>
      <c r="M3608" s="73" t="s">
        <v>3925</v>
      </c>
      <c r="N3608" s="99">
        <f t="shared" si="86"/>
        <v>1080</v>
      </c>
    </row>
    <row r="3609" spans="1:14">
      <c r="A3609" s="12">
        <v>3608</v>
      </c>
      <c r="B3609" s="71" t="s">
        <v>5094</v>
      </c>
      <c r="C3609" s="42" t="s">
        <v>5095</v>
      </c>
      <c r="D3609" s="71" t="s">
        <v>5201</v>
      </c>
      <c r="E3609" s="72" t="s">
        <v>581</v>
      </c>
      <c r="F3609" s="72">
        <v>48970</v>
      </c>
      <c r="G3609" s="73" t="s">
        <v>182</v>
      </c>
      <c r="H3609" s="73">
        <v>9403</v>
      </c>
      <c r="I3609" s="72">
        <v>0</v>
      </c>
      <c r="J3609" s="72">
        <v>0</v>
      </c>
      <c r="K3609" s="72">
        <v>7470</v>
      </c>
      <c r="L3609" s="97">
        <v>0</v>
      </c>
      <c r="M3609" s="73" t="s">
        <v>3925</v>
      </c>
      <c r="N3609" s="99">
        <f t="shared" si="86"/>
        <v>7470</v>
      </c>
    </row>
    <row r="3610" spans="1:14">
      <c r="A3610" s="12">
        <v>3609</v>
      </c>
      <c r="B3610" s="71" t="s">
        <v>5094</v>
      </c>
      <c r="C3610" s="42" t="s">
        <v>5095</v>
      </c>
      <c r="D3610" s="71" t="s">
        <v>5202</v>
      </c>
      <c r="E3610" s="72" t="s">
        <v>264</v>
      </c>
      <c r="F3610" s="72">
        <v>25370</v>
      </c>
      <c r="G3610" s="73" t="s">
        <v>182</v>
      </c>
      <c r="H3610" s="73">
        <v>9403</v>
      </c>
      <c r="I3610" s="72">
        <v>0</v>
      </c>
      <c r="J3610" s="72">
        <v>0</v>
      </c>
      <c r="K3610" s="72">
        <v>3870</v>
      </c>
      <c r="L3610" s="97">
        <v>0</v>
      </c>
      <c r="M3610" s="73" t="s">
        <v>3925</v>
      </c>
      <c r="N3610" s="99">
        <f t="shared" si="86"/>
        <v>3870</v>
      </c>
    </row>
    <row r="3611" spans="1:14">
      <c r="A3611" s="12">
        <v>3610</v>
      </c>
      <c r="B3611" s="71" t="s">
        <v>1759</v>
      </c>
      <c r="C3611" s="42" t="s">
        <v>1760</v>
      </c>
      <c r="D3611" s="71" t="s">
        <v>5203</v>
      </c>
      <c r="E3611" s="72" t="s">
        <v>270</v>
      </c>
      <c r="F3611" s="72">
        <v>4999.99</v>
      </c>
      <c r="G3611" s="73" t="s">
        <v>64</v>
      </c>
      <c r="H3611" s="89" t="s">
        <v>561</v>
      </c>
      <c r="I3611" s="72">
        <v>0</v>
      </c>
      <c r="J3611" s="72">
        <v>0</v>
      </c>
      <c r="K3611" s="72">
        <v>762.71</v>
      </c>
      <c r="L3611" s="97">
        <v>0</v>
      </c>
      <c r="M3611" s="73" t="s">
        <v>3925</v>
      </c>
      <c r="N3611" s="99">
        <f t="shared" si="86"/>
        <v>762.71</v>
      </c>
    </row>
    <row r="3612" spans="1:14">
      <c r="A3612" s="12">
        <v>3611</v>
      </c>
      <c r="B3612" s="71" t="s">
        <v>5088</v>
      </c>
      <c r="C3612" s="42" t="s">
        <v>5089</v>
      </c>
      <c r="D3612" s="71" t="s">
        <v>5204</v>
      </c>
      <c r="E3612" s="72" t="s">
        <v>270</v>
      </c>
      <c r="F3612" s="72">
        <v>3326.25</v>
      </c>
      <c r="G3612" s="73" t="s">
        <v>64</v>
      </c>
      <c r="H3612" s="73">
        <v>997119</v>
      </c>
      <c r="I3612" s="72">
        <v>0</v>
      </c>
      <c r="J3612" s="72">
        <v>0</v>
      </c>
      <c r="K3612" s="72">
        <v>507.39</v>
      </c>
      <c r="L3612" s="97">
        <v>0</v>
      </c>
      <c r="M3612" s="73" t="s">
        <v>3925</v>
      </c>
      <c r="N3612" s="99">
        <f t="shared" si="86"/>
        <v>507.39</v>
      </c>
    </row>
    <row r="3613" spans="1:14">
      <c r="A3613" s="12">
        <v>3612</v>
      </c>
      <c r="B3613" s="71" t="s">
        <v>805</v>
      </c>
      <c r="C3613" s="42" t="s">
        <v>806</v>
      </c>
      <c r="D3613" s="71" t="s">
        <v>5205</v>
      </c>
      <c r="E3613" s="72" t="s">
        <v>270</v>
      </c>
      <c r="F3613" s="72">
        <v>55191.99</v>
      </c>
      <c r="G3613" s="73" t="s">
        <v>64</v>
      </c>
      <c r="H3613" s="89" t="s">
        <v>847</v>
      </c>
      <c r="I3613" s="72">
        <v>0</v>
      </c>
      <c r="J3613" s="72">
        <v>0</v>
      </c>
      <c r="K3613" s="72">
        <v>8419.1200000000008</v>
      </c>
      <c r="L3613" s="97">
        <v>0</v>
      </c>
      <c r="M3613" s="73" t="s">
        <v>3925</v>
      </c>
      <c r="N3613" s="99">
        <f t="shared" si="86"/>
        <v>8419.1200000000008</v>
      </c>
    </row>
    <row r="3614" spans="1:14">
      <c r="A3614" s="12">
        <v>3613</v>
      </c>
      <c r="B3614" s="71" t="s">
        <v>805</v>
      </c>
      <c r="C3614" s="42" t="s">
        <v>806</v>
      </c>
      <c r="D3614" s="71" t="s">
        <v>5206</v>
      </c>
      <c r="E3614" s="72" t="s">
        <v>241</v>
      </c>
      <c r="F3614" s="72">
        <v>119252.66</v>
      </c>
      <c r="G3614" s="73" t="s">
        <v>64</v>
      </c>
      <c r="H3614" s="89" t="s">
        <v>847</v>
      </c>
      <c r="I3614" s="72">
        <v>0</v>
      </c>
      <c r="J3614" s="72">
        <v>0</v>
      </c>
      <c r="K3614" s="72">
        <v>18191.09</v>
      </c>
      <c r="L3614" s="97">
        <v>0</v>
      </c>
      <c r="M3614" s="73" t="s">
        <v>3925</v>
      </c>
      <c r="N3614" s="99">
        <f t="shared" si="86"/>
        <v>18191.09</v>
      </c>
    </row>
    <row r="3615" spans="1:14">
      <c r="A3615" s="12">
        <v>3614</v>
      </c>
      <c r="B3615" s="71" t="s">
        <v>5207</v>
      </c>
      <c r="C3615" s="42" t="s">
        <v>5208</v>
      </c>
      <c r="D3615" s="71" t="s">
        <v>5209</v>
      </c>
      <c r="E3615" s="72" t="s">
        <v>5210</v>
      </c>
      <c r="F3615" s="72">
        <v>10046</v>
      </c>
      <c r="G3615" s="73" t="s">
        <v>5211</v>
      </c>
      <c r="H3615" s="73">
        <v>998712</v>
      </c>
      <c r="I3615" s="72">
        <v>766.23</v>
      </c>
      <c r="J3615" s="72">
        <v>766.23</v>
      </c>
      <c r="K3615" s="72">
        <v>0</v>
      </c>
      <c r="L3615" s="97">
        <v>0</v>
      </c>
      <c r="M3615" s="73" t="s">
        <v>3925</v>
      </c>
      <c r="N3615" s="99">
        <f t="shared" si="86"/>
        <v>1532.46</v>
      </c>
    </row>
    <row r="3616" spans="1:14">
      <c r="A3616" s="12">
        <v>3615</v>
      </c>
      <c r="B3616" s="71" t="s">
        <v>3936</v>
      </c>
      <c r="C3616" s="42" t="s">
        <v>3937</v>
      </c>
      <c r="D3616" s="71" t="s">
        <v>5212</v>
      </c>
      <c r="E3616" s="72" t="s">
        <v>539</v>
      </c>
      <c r="F3616" s="72">
        <v>5.9</v>
      </c>
      <c r="G3616" s="73" t="s">
        <v>64</v>
      </c>
      <c r="H3616" s="73">
        <v>9971</v>
      </c>
      <c r="I3616" s="72">
        <v>0.45</v>
      </c>
      <c r="J3616" s="72">
        <v>0.45</v>
      </c>
      <c r="K3616" s="72">
        <v>0</v>
      </c>
      <c r="L3616" s="97">
        <v>0</v>
      </c>
      <c r="M3616" s="73" t="s">
        <v>3925</v>
      </c>
      <c r="N3616" s="99">
        <f t="shared" si="86"/>
        <v>0.9</v>
      </c>
    </row>
    <row r="3617" spans="1:14">
      <c r="A3617" s="12">
        <v>3616</v>
      </c>
      <c r="B3617" s="71" t="s">
        <v>3936</v>
      </c>
      <c r="C3617" s="42" t="s">
        <v>3937</v>
      </c>
      <c r="D3617" s="71" t="s">
        <v>5213</v>
      </c>
      <c r="E3617" s="72" t="s">
        <v>539</v>
      </c>
      <c r="F3617" s="72">
        <v>5.9</v>
      </c>
      <c r="G3617" s="73" t="s">
        <v>64</v>
      </c>
      <c r="H3617" s="73">
        <v>9971</v>
      </c>
      <c r="I3617" s="72">
        <v>0.45</v>
      </c>
      <c r="J3617" s="72">
        <v>0.45</v>
      </c>
      <c r="K3617" s="72">
        <v>0</v>
      </c>
      <c r="L3617" s="97">
        <v>0</v>
      </c>
      <c r="M3617" s="73" t="s">
        <v>3925</v>
      </c>
      <c r="N3617" s="99">
        <f t="shared" si="86"/>
        <v>0.9</v>
      </c>
    </row>
    <row r="3618" spans="1:14">
      <c r="A3618" s="12">
        <v>3617</v>
      </c>
      <c r="B3618" s="71" t="s">
        <v>3936</v>
      </c>
      <c r="C3618" s="42" t="s">
        <v>3937</v>
      </c>
      <c r="D3618" s="71" t="s">
        <v>5214</v>
      </c>
      <c r="E3618" s="72" t="s">
        <v>248</v>
      </c>
      <c r="F3618" s="72">
        <v>5.9</v>
      </c>
      <c r="G3618" s="73" t="s">
        <v>64</v>
      </c>
      <c r="H3618" s="73">
        <v>9971</v>
      </c>
      <c r="I3618" s="72">
        <v>0.45</v>
      </c>
      <c r="J3618" s="72">
        <v>0.45</v>
      </c>
      <c r="K3618" s="72">
        <v>0</v>
      </c>
      <c r="L3618" s="97">
        <v>0</v>
      </c>
      <c r="M3618" s="73" t="s">
        <v>3925</v>
      </c>
      <c r="N3618" s="99">
        <f t="shared" si="86"/>
        <v>0.9</v>
      </c>
    </row>
    <row r="3619" spans="1:14">
      <c r="A3619" s="12">
        <v>3618</v>
      </c>
      <c r="B3619" s="71" t="s">
        <v>3936</v>
      </c>
      <c r="C3619" s="42" t="s">
        <v>3937</v>
      </c>
      <c r="D3619" s="71" t="s">
        <v>5215</v>
      </c>
      <c r="E3619" s="72" t="s">
        <v>248</v>
      </c>
      <c r="F3619" s="72">
        <v>1475</v>
      </c>
      <c r="G3619" s="73" t="s">
        <v>64</v>
      </c>
      <c r="H3619" s="73">
        <v>9971</v>
      </c>
      <c r="I3619" s="72">
        <v>112.5</v>
      </c>
      <c r="J3619" s="72">
        <v>112.5</v>
      </c>
      <c r="K3619" s="72">
        <v>0</v>
      </c>
      <c r="L3619" s="97">
        <v>0</v>
      </c>
      <c r="M3619" s="73" t="s">
        <v>3925</v>
      </c>
      <c r="N3619" s="99">
        <f t="shared" si="86"/>
        <v>225</v>
      </c>
    </row>
    <row r="3620" spans="1:14">
      <c r="A3620" s="12">
        <v>3619</v>
      </c>
      <c r="B3620" s="71" t="s">
        <v>3936</v>
      </c>
      <c r="C3620" s="42" t="s">
        <v>3937</v>
      </c>
      <c r="D3620" s="71" t="s">
        <v>5216</v>
      </c>
      <c r="E3620" s="72" t="s">
        <v>248</v>
      </c>
      <c r="F3620" s="72">
        <v>133.04</v>
      </c>
      <c r="G3620" s="73" t="s">
        <v>64</v>
      </c>
      <c r="H3620" s="73">
        <v>9971</v>
      </c>
      <c r="I3620" s="72">
        <v>10.15</v>
      </c>
      <c r="J3620" s="72">
        <v>10.15</v>
      </c>
      <c r="K3620" s="72">
        <v>0</v>
      </c>
      <c r="L3620" s="97">
        <v>0</v>
      </c>
      <c r="M3620" s="73" t="s">
        <v>3925</v>
      </c>
      <c r="N3620" s="99">
        <f t="shared" si="86"/>
        <v>20.3</v>
      </c>
    </row>
    <row r="3621" spans="1:14">
      <c r="A3621" s="12">
        <v>3620</v>
      </c>
      <c r="B3621" s="71" t="s">
        <v>3936</v>
      </c>
      <c r="C3621" s="42" t="s">
        <v>3937</v>
      </c>
      <c r="D3621" s="71" t="s">
        <v>5217</v>
      </c>
      <c r="E3621" s="72" t="s">
        <v>549</v>
      </c>
      <c r="F3621" s="72">
        <v>5.9</v>
      </c>
      <c r="G3621" s="73" t="s">
        <v>64</v>
      </c>
      <c r="H3621" s="73">
        <v>9971</v>
      </c>
      <c r="I3621" s="72">
        <v>0.45</v>
      </c>
      <c r="J3621" s="72">
        <v>0.45</v>
      </c>
      <c r="K3621" s="72">
        <v>0</v>
      </c>
      <c r="L3621" s="97">
        <v>0</v>
      </c>
      <c r="M3621" s="73" t="s">
        <v>3925</v>
      </c>
      <c r="N3621" s="99">
        <f t="shared" si="86"/>
        <v>0.9</v>
      </c>
    </row>
    <row r="3622" spans="1:14">
      <c r="A3622" s="12">
        <v>3621</v>
      </c>
      <c r="B3622" s="71" t="s">
        <v>3936</v>
      </c>
      <c r="C3622" s="42" t="s">
        <v>3937</v>
      </c>
      <c r="D3622" s="71" t="s">
        <v>5218</v>
      </c>
      <c r="E3622" s="72" t="s">
        <v>4692</v>
      </c>
      <c r="F3622" s="72">
        <v>5.9</v>
      </c>
      <c r="G3622" s="73" t="s">
        <v>64</v>
      </c>
      <c r="H3622" s="73">
        <v>9971</v>
      </c>
      <c r="I3622" s="72">
        <v>0.45</v>
      </c>
      <c r="J3622" s="72">
        <v>0.45</v>
      </c>
      <c r="K3622" s="72">
        <v>0</v>
      </c>
      <c r="L3622" s="97">
        <v>0</v>
      </c>
      <c r="M3622" s="73" t="s">
        <v>3925</v>
      </c>
      <c r="N3622" s="99">
        <f t="shared" si="86"/>
        <v>0.9</v>
      </c>
    </row>
    <row r="3623" spans="1:14">
      <c r="A3623" s="12">
        <v>3622</v>
      </c>
      <c r="B3623" s="71" t="s">
        <v>3936</v>
      </c>
      <c r="C3623" s="42" t="s">
        <v>3937</v>
      </c>
      <c r="D3623" s="71" t="s">
        <v>5219</v>
      </c>
      <c r="E3623" s="72" t="s">
        <v>560</v>
      </c>
      <c r="F3623" s="72">
        <v>5.9</v>
      </c>
      <c r="G3623" s="73" t="s">
        <v>64</v>
      </c>
      <c r="H3623" s="73">
        <v>9971</v>
      </c>
      <c r="I3623" s="72">
        <v>0.45</v>
      </c>
      <c r="J3623" s="72">
        <v>0.45</v>
      </c>
      <c r="K3623" s="72">
        <v>0</v>
      </c>
      <c r="L3623" s="97">
        <v>0</v>
      </c>
      <c r="M3623" s="73" t="s">
        <v>3925</v>
      </c>
      <c r="N3623" s="99">
        <f t="shared" si="86"/>
        <v>0.9</v>
      </c>
    </row>
    <row r="3624" spans="1:14">
      <c r="A3624" s="12">
        <v>3623</v>
      </c>
      <c r="B3624" s="71" t="s">
        <v>3936</v>
      </c>
      <c r="C3624" s="42" t="s">
        <v>3937</v>
      </c>
      <c r="D3624" s="71" t="s">
        <v>5220</v>
      </c>
      <c r="E3624" s="72" t="s">
        <v>563</v>
      </c>
      <c r="F3624" s="72">
        <v>118</v>
      </c>
      <c r="G3624" s="73" t="s">
        <v>64</v>
      </c>
      <c r="H3624" s="73">
        <v>9971</v>
      </c>
      <c r="I3624" s="72">
        <v>9</v>
      </c>
      <c r="J3624" s="72">
        <v>9</v>
      </c>
      <c r="K3624" s="72">
        <v>0</v>
      </c>
      <c r="L3624" s="97">
        <v>0</v>
      </c>
      <c r="M3624" s="73" t="s">
        <v>3925</v>
      </c>
      <c r="N3624" s="99">
        <f t="shared" si="86"/>
        <v>18</v>
      </c>
    </row>
    <row r="3625" spans="1:14">
      <c r="A3625" s="12">
        <v>3624</v>
      </c>
      <c r="B3625" s="71" t="s">
        <v>3936</v>
      </c>
      <c r="C3625" s="42" t="s">
        <v>3937</v>
      </c>
      <c r="D3625" s="71" t="s">
        <v>5221</v>
      </c>
      <c r="E3625" s="72" t="s">
        <v>545</v>
      </c>
      <c r="F3625" s="72">
        <v>6018</v>
      </c>
      <c r="G3625" s="73" t="s">
        <v>64</v>
      </c>
      <c r="H3625" s="73">
        <v>9971</v>
      </c>
      <c r="I3625" s="72">
        <v>459</v>
      </c>
      <c r="J3625" s="72">
        <v>459</v>
      </c>
      <c r="K3625" s="72">
        <v>0</v>
      </c>
      <c r="L3625" s="97">
        <v>0</v>
      </c>
      <c r="M3625" s="73" t="s">
        <v>3925</v>
      </c>
      <c r="N3625" s="99">
        <f t="shared" si="86"/>
        <v>918</v>
      </c>
    </row>
    <row r="3626" spans="1:14">
      <c r="A3626" s="12">
        <v>3625</v>
      </c>
      <c r="B3626" s="71" t="s">
        <v>3936</v>
      </c>
      <c r="C3626" s="42" t="s">
        <v>3937</v>
      </c>
      <c r="D3626" s="71" t="s">
        <v>5222</v>
      </c>
      <c r="E3626" s="72" t="s">
        <v>545</v>
      </c>
      <c r="F3626" s="72">
        <v>5.9</v>
      </c>
      <c r="G3626" s="73" t="s">
        <v>64</v>
      </c>
      <c r="H3626" s="73">
        <v>9971</v>
      </c>
      <c r="I3626" s="72">
        <v>0.45</v>
      </c>
      <c r="J3626" s="72">
        <v>0.45</v>
      </c>
      <c r="K3626" s="72">
        <v>0</v>
      </c>
      <c r="L3626" s="97">
        <v>0</v>
      </c>
      <c r="M3626" s="73" t="s">
        <v>3925</v>
      </c>
      <c r="N3626" s="99">
        <f t="shared" si="86"/>
        <v>0.9</v>
      </c>
    </row>
    <row r="3627" spans="1:14">
      <c r="A3627" s="12">
        <v>3626</v>
      </c>
      <c r="B3627" s="71" t="s">
        <v>2573</v>
      </c>
      <c r="C3627" s="42" t="s">
        <v>2574</v>
      </c>
      <c r="D3627" s="71" t="s">
        <v>5223</v>
      </c>
      <c r="E3627" s="72" t="s">
        <v>5224</v>
      </c>
      <c r="F3627" s="72">
        <v>7078</v>
      </c>
      <c r="G3627" s="73" t="s">
        <v>632</v>
      </c>
      <c r="H3627" s="74">
        <v>85287217</v>
      </c>
      <c r="I3627" s="72">
        <v>539.85</v>
      </c>
      <c r="J3627" s="72">
        <v>539.85</v>
      </c>
      <c r="K3627" s="72">
        <v>0</v>
      </c>
      <c r="L3627" s="97">
        <v>0</v>
      </c>
      <c r="M3627" s="73" t="s">
        <v>4847</v>
      </c>
      <c r="N3627" s="99">
        <f t="shared" si="86"/>
        <v>0</v>
      </c>
    </row>
    <row r="3628" spans="1:14">
      <c r="A3628" s="12">
        <v>3627</v>
      </c>
      <c r="B3628" s="71" t="s">
        <v>2573</v>
      </c>
      <c r="C3628" s="42" t="s">
        <v>2574</v>
      </c>
      <c r="D3628" s="71" t="s">
        <v>5225</v>
      </c>
      <c r="E3628" s="72" t="s">
        <v>5224</v>
      </c>
      <c r="F3628" s="72">
        <v>7078</v>
      </c>
      <c r="G3628" s="73" t="s">
        <v>632</v>
      </c>
      <c r="H3628" s="74">
        <v>85287217</v>
      </c>
      <c r="I3628" s="72">
        <v>539.85</v>
      </c>
      <c r="J3628" s="72">
        <v>539.85</v>
      </c>
      <c r="K3628" s="72">
        <v>0</v>
      </c>
      <c r="L3628" s="97">
        <v>0</v>
      </c>
      <c r="M3628" s="73" t="s">
        <v>4847</v>
      </c>
      <c r="N3628" s="99">
        <f t="shared" ref="N3628:N3691" si="87">IF(M3628="YES", I3628+J3628+K3628, 0)</f>
        <v>0</v>
      </c>
    </row>
    <row r="3629" spans="1:14">
      <c r="A3629" s="12">
        <v>3628</v>
      </c>
      <c r="B3629" s="71" t="s">
        <v>1759</v>
      </c>
      <c r="C3629" s="42" t="s">
        <v>1760</v>
      </c>
      <c r="D3629" s="71" t="s">
        <v>5226</v>
      </c>
      <c r="E3629" s="72" t="s">
        <v>241</v>
      </c>
      <c r="F3629" s="72">
        <v>2000.01</v>
      </c>
      <c r="G3629" s="73" t="s">
        <v>64</v>
      </c>
      <c r="H3629" s="89" t="s">
        <v>561</v>
      </c>
      <c r="I3629" s="72">
        <v>0</v>
      </c>
      <c r="J3629" s="72">
        <v>0</v>
      </c>
      <c r="K3629" s="72">
        <v>305.08999999999997</v>
      </c>
      <c r="L3629" s="97">
        <v>0</v>
      </c>
      <c r="M3629" s="73" t="s">
        <v>3925</v>
      </c>
      <c r="N3629" s="99">
        <f t="shared" si="87"/>
        <v>305.08999999999997</v>
      </c>
    </row>
    <row r="3630" spans="1:14">
      <c r="A3630" s="12">
        <v>3629</v>
      </c>
      <c r="B3630" s="71" t="s">
        <v>5094</v>
      </c>
      <c r="C3630" s="42" t="s">
        <v>5095</v>
      </c>
      <c r="D3630" s="71" t="s">
        <v>5227</v>
      </c>
      <c r="E3630" s="72" t="s">
        <v>4747</v>
      </c>
      <c r="F3630" s="72">
        <v>41300</v>
      </c>
      <c r="G3630" s="73" t="s">
        <v>182</v>
      </c>
      <c r="H3630" s="73">
        <v>9403</v>
      </c>
      <c r="I3630" s="72">
        <v>0</v>
      </c>
      <c r="J3630" s="72">
        <v>0</v>
      </c>
      <c r="K3630" s="72">
        <v>6300</v>
      </c>
      <c r="L3630" s="97">
        <v>0</v>
      </c>
      <c r="M3630" s="73" t="s">
        <v>3925</v>
      </c>
      <c r="N3630" s="99">
        <f t="shared" si="87"/>
        <v>6300</v>
      </c>
    </row>
    <row r="3631" spans="1:14">
      <c r="A3631" s="12">
        <v>3630</v>
      </c>
      <c r="B3631" s="71" t="s">
        <v>5094</v>
      </c>
      <c r="C3631" s="42" t="s">
        <v>5095</v>
      </c>
      <c r="D3631" s="71" t="s">
        <v>5228</v>
      </c>
      <c r="E3631" s="72" t="s">
        <v>601</v>
      </c>
      <c r="F3631" s="72">
        <v>23600</v>
      </c>
      <c r="G3631" s="73" t="s">
        <v>182</v>
      </c>
      <c r="H3631" s="73">
        <v>9403</v>
      </c>
      <c r="I3631" s="72">
        <v>0</v>
      </c>
      <c r="J3631" s="72">
        <v>0</v>
      </c>
      <c r="K3631" s="72">
        <v>3600</v>
      </c>
      <c r="L3631" s="97">
        <v>0</v>
      </c>
      <c r="M3631" s="73" t="s">
        <v>3925</v>
      </c>
      <c r="N3631" s="99">
        <f t="shared" si="87"/>
        <v>3600</v>
      </c>
    </row>
    <row r="3632" spans="1:14">
      <c r="A3632" s="12">
        <v>3631</v>
      </c>
      <c r="B3632" s="71" t="s">
        <v>5094</v>
      </c>
      <c r="C3632" s="42" t="s">
        <v>5095</v>
      </c>
      <c r="D3632" s="71" t="s">
        <v>5229</v>
      </c>
      <c r="E3632" s="72" t="s">
        <v>545</v>
      </c>
      <c r="F3632" s="72">
        <v>15120</v>
      </c>
      <c r="G3632" s="73" t="s">
        <v>182</v>
      </c>
      <c r="H3632" s="73">
        <v>9403</v>
      </c>
      <c r="I3632" s="72">
        <v>0</v>
      </c>
      <c r="J3632" s="72">
        <v>0</v>
      </c>
      <c r="K3632" s="72">
        <v>1620</v>
      </c>
      <c r="L3632" s="97">
        <v>0</v>
      </c>
      <c r="M3632" s="73" t="s">
        <v>3925</v>
      </c>
      <c r="N3632" s="99">
        <f t="shared" si="87"/>
        <v>1620</v>
      </c>
    </row>
    <row r="3633" spans="1:14">
      <c r="A3633" s="12">
        <v>3632</v>
      </c>
      <c r="B3633" s="71" t="s">
        <v>5094</v>
      </c>
      <c r="C3633" s="42" t="s">
        <v>5095</v>
      </c>
      <c r="D3633" s="71" t="s">
        <v>5230</v>
      </c>
      <c r="E3633" s="72" t="s">
        <v>241</v>
      </c>
      <c r="F3633" s="72">
        <v>12880</v>
      </c>
      <c r="G3633" s="73" t="s">
        <v>182</v>
      </c>
      <c r="H3633" s="73">
        <v>9403</v>
      </c>
      <c r="I3633" s="72">
        <v>0</v>
      </c>
      <c r="J3633" s="72">
        <v>0</v>
      </c>
      <c r="K3633" s="72">
        <v>1380</v>
      </c>
      <c r="L3633" s="97">
        <v>0</v>
      </c>
      <c r="M3633" s="73" t="s">
        <v>3925</v>
      </c>
      <c r="N3633" s="99">
        <f t="shared" si="87"/>
        <v>1380</v>
      </c>
    </row>
    <row r="3634" spans="1:14">
      <c r="A3634" s="12">
        <v>3633</v>
      </c>
      <c r="B3634" s="71" t="s">
        <v>3391</v>
      </c>
      <c r="C3634" s="42" t="s">
        <v>3392</v>
      </c>
      <c r="D3634" s="71" t="s">
        <v>5231</v>
      </c>
      <c r="E3634" s="72" t="s">
        <v>4692</v>
      </c>
      <c r="F3634" s="72">
        <v>15550.34</v>
      </c>
      <c r="G3634" s="73" t="s">
        <v>64</v>
      </c>
      <c r="H3634" s="89" t="s">
        <v>5131</v>
      </c>
      <c r="I3634" s="72">
        <v>1186.04</v>
      </c>
      <c r="J3634" s="72">
        <v>1186.04</v>
      </c>
      <c r="K3634" s="72">
        <v>0</v>
      </c>
      <c r="L3634" s="97">
        <v>0</v>
      </c>
      <c r="M3634" s="73" t="s">
        <v>3925</v>
      </c>
      <c r="N3634" s="99">
        <f t="shared" si="87"/>
        <v>2372.08</v>
      </c>
    </row>
    <row r="3635" spans="1:14">
      <c r="A3635" s="12">
        <v>3634</v>
      </c>
      <c r="B3635" s="71" t="s">
        <v>5088</v>
      </c>
      <c r="C3635" s="42" t="s">
        <v>5089</v>
      </c>
      <c r="D3635" s="71" t="s">
        <v>5232</v>
      </c>
      <c r="E3635" s="72" t="s">
        <v>241</v>
      </c>
      <c r="F3635" s="72">
        <v>3629.27</v>
      </c>
      <c r="G3635" s="73" t="s">
        <v>64</v>
      </c>
      <c r="H3635" s="73">
        <v>997119</v>
      </c>
      <c r="I3635" s="72">
        <v>0</v>
      </c>
      <c r="J3635" s="72">
        <v>0</v>
      </c>
      <c r="K3635" s="72">
        <v>553.62</v>
      </c>
      <c r="L3635" s="97">
        <v>0</v>
      </c>
      <c r="M3635" s="73" t="s">
        <v>3925</v>
      </c>
      <c r="N3635" s="99">
        <f t="shared" si="87"/>
        <v>553.62</v>
      </c>
    </row>
    <row r="3636" spans="1:14">
      <c r="A3636" s="12">
        <v>3635</v>
      </c>
      <c r="B3636" s="71" t="s">
        <v>2573</v>
      </c>
      <c r="C3636" s="42" t="s">
        <v>2574</v>
      </c>
      <c r="D3636" s="71" t="s">
        <v>5233</v>
      </c>
      <c r="E3636" s="72" t="s">
        <v>5224</v>
      </c>
      <c r="F3636" s="100">
        <v>-7078</v>
      </c>
      <c r="G3636" s="73" t="s">
        <v>632</v>
      </c>
      <c r="H3636" s="74">
        <v>85287217</v>
      </c>
      <c r="I3636" s="100">
        <v>-539.85</v>
      </c>
      <c r="J3636" s="100">
        <v>-539.85</v>
      </c>
      <c r="K3636" s="100">
        <v>0</v>
      </c>
      <c r="L3636" s="97">
        <v>0</v>
      </c>
      <c r="M3636" s="73" t="s">
        <v>4847</v>
      </c>
      <c r="N3636" s="99">
        <f t="shared" si="87"/>
        <v>0</v>
      </c>
    </row>
    <row r="3637" spans="1:14">
      <c r="A3637" s="12">
        <v>3636</v>
      </c>
      <c r="B3637" s="71" t="s">
        <v>1759</v>
      </c>
      <c r="C3637" s="42" t="s">
        <v>1760</v>
      </c>
      <c r="D3637" s="71" t="s">
        <v>5234</v>
      </c>
      <c r="E3637" s="72" t="s">
        <v>291</v>
      </c>
      <c r="F3637" s="72">
        <v>3000</v>
      </c>
      <c r="G3637" s="73" t="s">
        <v>64</v>
      </c>
      <c r="H3637" s="89" t="s">
        <v>561</v>
      </c>
      <c r="I3637" s="72">
        <v>0</v>
      </c>
      <c r="J3637" s="72">
        <v>0</v>
      </c>
      <c r="K3637" s="72">
        <v>457.63</v>
      </c>
      <c r="L3637" s="97">
        <v>0</v>
      </c>
      <c r="M3637" s="73" t="s">
        <v>3925</v>
      </c>
      <c r="N3637" s="99">
        <f t="shared" si="87"/>
        <v>457.63</v>
      </c>
    </row>
    <row r="3638" spans="1:14">
      <c r="A3638" s="12">
        <v>3637</v>
      </c>
      <c r="B3638" s="71" t="s">
        <v>3936</v>
      </c>
      <c r="C3638" s="42" t="s">
        <v>3937</v>
      </c>
      <c r="D3638" s="71" t="s">
        <v>5235</v>
      </c>
      <c r="E3638" s="72" t="s">
        <v>5236</v>
      </c>
      <c r="F3638" s="72">
        <v>5.9</v>
      </c>
      <c r="G3638" s="73" t="s">
        <v>64</v>
      </c>
      <c r="H3638" s="73">
        <v>9971</v>
      </c>
      <c r="I3638" s="72">
        <v>0.45</v>
      </c>
      <c r="J3638" s="72">
        <v>0.45</v>
      </c>
      <c r="K3638" s="72">
        <v>0</v>
      </c>
      <c r="L3638" s="97">
        <v>0</v>
      </c>
      <c r="M3638" s="73" t="s">
        <v>3925</v>
      </c>
      <c r="N3638" s="99">
        <f t="shared" si="87"/>
        <v>0.9</v>
      </c>
    </row>
    <row r="3639" spans="1:14">
      <c r="A3639" s="12">
        <v>3638</v>
      </c>
      <c r="B3639" s="71" t="s">
        <v>3936</v>
      </c>
      <c r="C3639" s="42" t="s">
        <v>3937</v>
      </c>
      <c r="D3639" s="71" t="s">
        <v>5237</v>
      </c>
      <c r="E3639" s="72" t="s">
        <v>689</v>
      </c>
      <c r="F3639" s="72">
        <v>5.9</v>
      </c>
      <c r="G3639" s="73" t="s">
        <v>64</v>
      </c>
      <c r="H3639" s="73">
        <v>9971</v>
      </c>
      <c r="I3639" s="72">
        <v>0.45</v>
      </c>
      <c r="J3639" s="72">
        <v>0.45</v>
      </c>
      <c r="K3639" s="72">
        <v>0</v>
      </c>
      <c r="L3639" s="97">
        <v>0</v>
      </c>
      <c r="M3639" s="73" t="s">
        <v>3925</v>
      </c>
      <c r="N3639" s="99">
        <f t="shared" si="87"/>
        <v>0.9</v>
      </c>
    </row>
    <row r="3640" spans="1:14">
      <c r="A3640" s="12">
        <v>3639</v>
      </c>
      <c r="B3640" s="71" t="s">
        <v>3936</v>
      </c>
      <c r="C3640" s="42" t="s">
        <v>3937</v>
      </c>
      <c r="D3640" s="71" t="s">
        <v>5238</v>
      </c>
      <c r="E3640" s="72" t="s">
        <v>297</v>
      </c>
      <c r="F3640" s="72">
        <v>5.9</v>
      </c>
      <c r="G3640" s="73" t="s">
        <v>64</v>
      </c>
      <c r="H3640" s="73">
        <v>9971</v>
      </c>
      <c r="I3640" s="72">
        <v>0.45</v>
      </c>
      <c r="J3640" s="72">
        <v>0.45</v>
      </c>
      <c r="K3640" s="72">
        <v>0</v>
      </c>
      <c r="L3640" s="97">
        <v>0</v>
      </c>
      <c r="M3640" s="73" t="s">
        <v>3925</v>
      </c>
      <c r="N3640" s="99">
        <f t="shared" si="87"/>
        <v>0.9</v>
      </c>
    </row>
    <row r="3641" spans="1:14">
      <c r="A3641" s="12">
        <v>3640</v>
      </c>
      <c r="B3641" s="71" t="s">
        <v>3936</v>
      </c>
      <c r="C3641" s="42" t="s">
        <v>3937</v>
      </c>
      <c r="D3641" s="71" t="s">
        <v>5239</v>
      </c>
      <c r="E3641" s="72" t="s">
        <v>5240</v>
      </c>
      <c r="F3641" s="72">
        <v>5.9</v>
      </c>
      <c r="G3641" s="73" t="s">
        <v>64</v>
      </c>
      <c r="H3641" s="73">
        <v>9971</v>
      </c>
      <c r="I3641" s="72">
        <v>0.45</v>
      </c>
      <c r="J3641" s="72">
        <v>0.45</v>
      </c>
      <c r="K3641" s="72">
        <v>0</v>
      </c>
      <c r="L3641" s="97">
        <v>0</v>
      </c>
      <c r="M3641" s="73" t="s">
        <v>3925</v>
      </c>
      <c r="N3641" s="99">
        <f t="shared" si="87"/>
        <v>0.9</v>
      </c>
    </row>
    <row r="3642" spans="1:14">
      <c r="A3642" s="12">
        <v>3641</v>
      </c>
      <c r="B3642" s="71" t="s">
        <v>3936</v>
      </c>
      <c r="C3642" s="42" t="s">
        <v>3937</v>
      </c>
      <c r="D3642" s="71" t="s">
        <v>5241</v>
      </c>
      <c r="E3642" s="72" t="s">
        <v>5240</v>
      </c>
      <c r="F3642" s="72">
        <v>5.9</v>
      </c>
      <c r="G3642" s="73" t="s">
        <v>64</v>
      </c>
      <c r="H3642" s="73">
        <v>9971</v>
      </c>
      <c r="I3642" s="72">
        <v>0.45</v>
      </c>
      <c r="J3642" s="72">
        <v>0.45</v>
      </c>
      <c r="K3642" s="72">
        <v>0</v>
      </c>
      <c r="L3642" s="97">
        <v>0</v>
      </c>
      <c r="M3642" s="73" t="s">
        <v>3925</v>
      </c>
      <c r="N3642" s="99">
        <f t="shared" si="87"/>
        <v>0.9</v>
      </c>
    </row>
    <row r="3643" spans="1:14">
      <c r="A3643" s="12">
        <v>3642</v>
      </c>
      <c r="B3643" s="71" t="s">
        <v>3936</v>
      </c>
      <c r="C3643" s="42" t="s">
        <v>3937</v>
      </c>
      <c r="D3643" s="71" t="s">
        <v>5242</v>
      </c>
      <c r="E3643" s="72" t="s">
        <v>5243</v>
      </c>
      <c r="F3643" s="72">
        <v>5.9</v>
      </c>
      <c r="G3643" s="73" t="s">
        <v>64</v>
      </c>
      <c r="H3643" s="73">
        <v>9971</v>
      </c>
      <c r="I3643" s="72">
        <v>0.45</v>
      </c>
      <c r="J3643" s="72">
        <v>0.45</v>
      </c>
      <c r="K3643" s="72">
        <v>0</v>
      </c>
      <c r="L3643" s="97">
        <v>0</v>
      </c>
      <c r="M3643" s="73" t="s">
        <v>3925</v>
      </c>
      <c r="N3643" s="99">
        <f t="shared" si="87"/>
        <v>0.9</v>
      </c>
    </row>
    <row r="3644" spans="1:14">
      <c r="A3644" s="12">
        <v>3643</v>
      </c>
      <c r="B3644" s="71" t="s">
        <v>3936</v>
      </c>
      <c r="C3644" s="42" t="s">
        <v>3937</v>
      </c>
      <c r="D3644" s="71" t="s">
        <v>5244</v>
      </c>
      <c r="E3644" s="72" t="s">
        <v>624</v>
      </c>
      <c r="F3644" s="72">
        <v>6419.2</v>
      </c>
      <c r="G3644" s="73" t="s">
        <v>64</v>
      </c>
      <c r="H3644" s="73">
        <v>9971</v>
      </c>
      <c r="I3644" s="72">
        <v>489.6</v>
      </c>
      <c r="J3644" s="72">
        <v>489.6</v>
      </c>
      <c r="K3644" s="72">
        <v>0</v>
      </c>
      <c r="L3644" s="97">
        <v>0</v>
      </c>
      <c r="M3644" s="73" t="s">
        <v>3925</v>
      </c>
      <c r="N3644" s="99">
        <f t="shared" si="87"/>
        <v>979.2</v>
      </c>
    </row>
    <row r="3645" spans="1:14">
      <c r="A3645" s="12">
        <v>3644</v>
      </c>
      <c r="B3645" s="71" t="s">
        <v>3936</v>
      </c>
      <c r="C3645" s="42" t="s">
        <v>3937</v>
      </c>
      <c r="D3645" s="71" t="s">
        <v>5245</v>
      </c>
      <c r="E3645" s="72" t="s">
        <v>5246</v>
      </c>
      <c r="F3645" s="72">
        <v>5.9</v>
      </c>
      <c r="G3645" s="73" t="s">
        <v>64</v>
      </c>
      <c r="H3645" s="73">
        <v>9971</v>
      </c>
      <c r="I3645" s="72">
        <v>0.45</v>
      </c>
      <c r="J3645" s="72">
        <v>0.45</v>
      </c>
      <c r="K3645" s="72">
        <v>0</v>
      </c>
      <c r="L3645" s="97">
        <v>0</v>
      </c>
      <c r="M3645" s="73" t="s">
        <v>3925</v>
      </c>
      <c r="N3645" s="99">
        <f t="shared" si="87"/>
        <v>0.9</v>
      </c>
    </row>
    <row r="3646" spans="1:14">
      <c r="A3646" s="12">
        <v>3645</v>
      </c>
      <c r="B3646" s="71" t="s">
        <v>5088</v>
      </c>
      <c r="C3646" s="42" t="s">
        <v>5089</v>
      </c>
      <c r="D3646" s="71" t="s">
        <v>5247</v>
      </c>
      <c r="E3646" s="72" t="s">
        <v>291</v>
      </c>
      <c r="F3646" s="72">
        <v>564.04</v>
      </c>
      <c r="G3646" s="73" t="s">
        <v>64</v>
      </c>
      <c r="H3646" s="73">
        <v>997119</v>
      </c>
      <c r="I3646" s="72">
        <v>0</v>
      </c>
      <c r="J3646" s="72">
        <v>0</v>
      </c>
      <c r="K3646" s="72">
        <v>86.04</v>
      </c>
      <c r="L3646" s="97">
        <v>0</v>
      </c>
      <c r="M3646" s="73" t="s">
        <v>3925</v>
      </c>
      <c r="N3646" s="99">
        <f t="shared" si="87"/>
        <v>86.04</v>
      </c>
    </row>
    <row r="3647" spans="1:14">
      <c r="A3647" s="12">
        <v>3646</v>
      </c>
      <c r="B3647" s="71" t="s">
        <v>5248</v>
      </c>
      <c r="C3647" s="42" t="s">
        <v>5249</v>
      </c>
      <c r="D3647" s="71" t="s">
        <v>5250</v>
      </c>
      <c r="E3647" s="72" t="s">
        <v>4035</v>
      </c>
      <c r="F3647" s="72">
        <v>168374.21</v>
      </c>
      <c r="G3647" s="73" t="s">
        <v>64</v>
      </c>
      <c r="H3647" s="89" t="s">
        <v>5131</v>
      </c>
      <c r="I3647" s="72">
        <v>0</v>
      </c>
      <c r="J3647" s="72">
        <v>0</v>
      </c>
      <c r="K3647" s="72">
        <v>25684.2</v>
      </c>
      <c r="L3647" s="97">
        <v>0</v>
      </c>
      <c r="M3647" s="73" t="s">
        <v>3925</v>
      </c>
      <c r="N3647" s="99">
        <f t="shared" si="87"/>
        <v>25684.2</v>
      </c>
    </row>
    <row r="3648" spans="1:14">
      <c r="A3648" s="12">
        <v>3647</v>
      </c>
      <c r="B3648" s="71" t="s">
        <v>5248</v>
      </c>
      <c r="C3648" s="42" t="s">
        <v>5249</v>
      </c>
      <c r="D3648" s="71" t="s">
        <v>5251</v>
      </c>
      <c r="E3648" s="72" t="s">
        <v>4020</v>
      </c>
      <c r="F3648" s="72">
        <v>59290.32</v>
      </c>
      <c r="G3648" s="73" t="s">
        <v>64</v>
      </c>
      <c r="H3648" s="89" t="s">
        <v>5131</v>
      </c>
      <c r="I3648" s="72">
        <v>0</v>
      </c>
      <c r="J3648" s="72">
        <v>0</v>
      </c>
      <c r="K3648" s="72">
        <v>9044.2900000000009</v>
      </c>
      <c r="L3648" s="97">
        <v>0</v>
      </c>
      <c r="M3648" s="73" t="s">
        <v>3925</v>
      </c>
      <c r="N3648" s="99">
        <f t="shared" si="87"/>
        <v>9044.2900000000009</v>
      </c>
    </row>
    <row r="3649" spans="1:14">
      <c r="A3649" s="12">
        <v>3648</v>
      </c>
      <c r="B3649" s="71" t="s">
        <v>2573</v>
      </c>
      <c r="C3649" s="42" t="s">
        <v>2574</v>
      </c>
      <c r="D3649" s="71" t="s">
        <v>5252</v>
      </c>
      <c r="E3649" s="72" t="s">
        <v>4029</v>
      </c>
      <c r="F3649" s="72">
        <v>34846.6</v>
      </c>
      <c r="G3649" s="73" t="s">
        <v>632</v>
      </c>
      <c r="H3649" s="74">
        <v>85287217</v>
      </c>
      <c r="I3649" s="72">
        <v>2657.79</v>
      </c>
      <c r="J3649" s="72">
        <v>2657.79</v>
      </c>
      <c r="K3649" s="72">
        <v>0</v>
      </c>
      <c r="L3649" s="97">
        <v>0</v>
      </c>
      <c r="M3649" s="73" t="s">
        <v>4847</v>
      </c>
      <c r="N3649" s="99">
        <f t="shared" si="87"/>
        <v>0</v>
      </c>
    </row>
    <row r="3650" spans="1:14">
      <c r="A3650" s="12">
        <v>3649</v>
      </c>
      <c r="B3650" s="71" t="s">
        <v>5088</v>
      </c>
      <c r="C3650" s="42" t="s">
        <v>5089</v>
      </c>
      <c r="D3650" s="71" t="s">
        <v>5253</v>
      </c>
      <c r="E3650" s="72" t="s">
        <v>357</v>
      </c>
      <c r="F3650" s="72">
        <v>2886.71</v>
      </c>
      <c r="G3650" s="73" t="s">
        <v>64</v>
      </c>
      <c r="H3650" s="73">
        <v>997119</v>
      </c>
      <c r="I3650" s="72">
        <v>0</v>
      </c>
      <c r="J3650" s="72">
        <v>0</v>
      </c>
      <c r="K3650" s="72">
        <v>440.34</v>
      </c>
      <c r="L3650" s="97">
        <v>0</v>
      </c>
      <c r="M3650" s="73" t="s">
        <v>3925</v>
      </c>
      <c r="N3650" s="99">
        <f t="shared" si="87"/>
        <v>440.34</v>
      </c>
    </row>
    <row r="3651" spans="1:14">
      <c r="A3651" s="12">
        <v>3650</v>
      </c>
      <c r="B3651" s="71" t="s">
        <v>1759</v>
      </c>
      <c r="C3651" s="42" t="s">
        <v>1760</v>
      </c>
      <c r="D3651" s="71" t="s">
        <v>5254</v>
      </c>
      <c r="E3651" s="72" t="s">
        <v>357</v>
      </c>
      <c r="F3651" s="72">
        <v>8999.4</v>
      </c>
      <c r="G3651" s="73" t="s">
        <v>64</v>
      </c>
      <c r="H3651" s="89" t="s">
        <v>561</v>
      </c>
      <c r="I3651" s="72">
        <v>0</v>
      </c>
      <c r="J3651" s="72">
        <v>0</v>
      </c>
      <c r="K3651" s="72">
        <v>1372.79</v>
      </c>
      <c r="L3651" s="97">
        <v>0</v>
      </c>
      <c r="M3651" s="73" t="s">
        <v>3925</v>
      </c>
      <c r="N3651" s="99">
        <f t="shared" si="87"/>
        <v>1372.79</v>
      </c>
    </row>
    <row r="3652" spans="1:14">
      <c r="A3652" s="12">
        <v>3651</v>
      </c>
      <c r="B3652" s="71" t="s">
        <v>5094</v>
      </c>
      <c r="C3652" s="42" t="s">
        <v>5095</v>
      </c>
      <c r="D3652" s="71" t="s">
        <v>5255</v>
      </c>
      <c r="E3652" s="72" t="s">
        <v>665</v>
      </c>
      <c r="F3652" s="72">
        <v>36960</v>
      </c>
      <c r="G3652" s="73" t="s">
        <v>182</v>
      </c>
      <c r="H3652" s="73">
        <v>9403</v>
      </c>
      <c r="I3652" s="72">
        <v>0</v>
      </c>
      <c r="J3652" s="72">
        <v>0</v>
      </c>
      <c r="K3652" s="72">
        <v>3960</v>
      </c>
      <c r="L3652" s="97">
        <v>0</v>
      </c>
      <c r="M3652" s="73" t="s">
        <v>3925</v>
      </c>
      <c r="N3652" s="99">
        <f t="shared" si="87"/>
        <v>3960</v>
      </c>
    </row>
    <row r="3653" spans="1:14">
      <c r="A3653" s="12">
        <v>3652</v>
      </c>
      <c r="B3653" s="71" t="s">
        <v>5094</v>
      </c>
      <c r="C3653" s="42" t="s">
        <v>5095</v>
      </c>
      <c r="D3653" s="71" t="s">
        <v>5256</v>
      </c>
      <c r="E3653" s="72" t="s">
        <v>364</v>
      </c>
      <c r="F3653" s="72">
        <v>13720</v>
      </c>
      <c r="G3653" s="73" t="s">
        <v>182</v>
      </c>
      <c r="H3653" s="73">
        <v>9403</v>
      </c>
      <c r="I3653" s="72">
        <v>0</v>
      </c>
      <c r="J3653" s="72">
        <v>0</v>
      </c>
      <c r="K3653" s="72">
        <v>1470</v>
      </c>
      <c r="L3653" s="97">
        <v>0</v>
      </c>
      <c r="M3653" s="73" t="s">
        <v>3925</v>
      </c>
      <c r="N3653" s="99">
        <f t="shared" si="87"/>
        <v>1470</v>
      </c>
    </row>
    <row r="3654" spans="1:14">
      <c r="A3654" s="12">
        <v>3653</v>
      </c>
      <c r="B3654" s="71" t="s">
        <v>5094</v>
      </c>
      <c r="C3654" s="42" t="s">
        <v>5095</v>
      </c>
      <c r="D3654" s="71" t="s">
        <v>5257</v>
      </c>
      <c r="E3654" s="72" t="s">
        <v>369</v>
      </c>
      <c r="F3654" s="72">
        <v>15120</v>
      </c>
      <c r="G3654" s="73" t="s">
        <v>182</v>
      </c>
      <c r="H3654" s="73">
        <v>9403</v>
      </c>
      <c r="I3654" s="72">
        <v>0</v>
      </c>
      <c r="J3654" s="72">
        <v>0</v>
      </c>
      <c r="K3654" s="72">
        <v>1620</v>
      </c>
      <c r="L3654" s="97">
        <v>0</v>
      </c>
      <c r="M3654" s="73" t="s">
        <v>3925</v>
      </c>
      <c r="N3654" s="99">
        <f t="shared" si="87"/>
        <v>1620</v>
      </c>
    </row>
    <row r="3655" spans="1:14">
      <c r="A3655" s="12">
        <v>3654</v>
      </c>
      <c r="B3655" s="71" t="s">
        <v>5094</v>
      </c>
      <c r="C3655" s="42" t="s">
        <v>5095</v>
      </c>
      <c r="D3655" s="71" t="s">
        <v>5258</v>
      </c>
      <c r="E3655" s="72" t="s">
        <v>5259</v>
      </c>
      <c r="F3655" s="72">
        <v>36580</v>
      </c>
      <c r="G3655" s="73" t="s">
        <v>182</v>
      </c>
      <c r="H3655" s="73">
        <v>9403</v>
      </c>
      <c r="I3655" s="72">
        <v>0</v>
      </c>
      <c r="J3655" s="72">
        <v>0</v>
      </c>
      <c r="K3655" s="72">
        <v>5580</v>
      </c>
      <c r="L3655" s="97">
        <v>0</v>
      </c>
      <c r="M3655" s="73" t="s">
        <v>3925</v>
      </c>
      <c r="N3655" s="99">
        <f t="shared" si="87"/>
        <v>5580</v>
      </c>
    </row>
    <row r="3656" spans="1:14">
      <c r="A3656" s="12">
        <v>3655</v>
      </c>
      <c r="B3656" s="71" t="s">
        <v>5094</v>
      </c>
      <c r="C3656" s="42" t="s">
        <v>5095</v>
      </c>
      <c r="D3656" s="71" t="s">
        <v>5260</v>
      </c>
      <c r="E3656" s="72" t="s">
        <v>669</v>
      </c>
      <c r="F3656" s="72">
        <v>23600</v>
      </c>
      <c r="G3656" s="73" t="s">
        <v>182</v>
      </c>
      <c r="H3656" s="73">
        <v>9403</v>
      </c>
      <c r="I3656" s="72">
        <v>0</v>
      </c>
      <c r="J3656" s="72">
        <v>0</v>
      </c>
      <c r="K3656" s="72">
        <v>3600</v>
      </c>
      <c r="L3656" s="97">
        <v>0</v>
      </c>
      <c r="M3656" s="73" t="s">
        <v>3925</v>
      </c>
      <c r="N3656" s="99">
        <f t="shared" si="87"/>
        <v>3600</v>
      </c>
    </row>
    <row r="3657" spans="1:14">
      <c r="A3657" s="12">
        <v>3656</v>
      </c>
      <c r="B3657" s="71" t="s">
        <v>5094</v>
      </c>
      <c r="C3657" s="42" t="s">
        <v>5095</v>
      </c>
      <c r="D3657" s="71" t="s">
        <v>5261</v>
      </c>
      <c r="E3657" s="72" t="s">
        <v>343</v>
      </c>
      <c r="F3657" s="72">
        <v>41890</v>
      </c>
      <c r="G3657" s="73" t="s">
        <v>182</v>
      </c>
      <c r="H3657" s="73">
        <v>9403</v>
      </c>
      <c r="I3657" s="72">
        <v>0</v>
      </c>
      <c r="J3657" s="72">
        <v>0</v>
      </c>
      <c r="K3657" s="72">
        <v>6390</v>
      </c>
      <c r="L3657" s="97">
        <v>0</v>
      </c>
      <c r="M3657" s="73" t="s">
        <v>3925</v>
      </c>
      <c r="N3657" s="99">
        <f t="shared" si="87"/>
        <v>6390</v>
      </c>
    </row>
    <row r="3658" spans="1:14">
      <c r="A3658" s="12">
        <v>3657</v>
      </c>
      <c r="B3658" s="71" t="s">
        <v>5094</v>
      </c>
      <c r="C3658" s="42" t="s">
        <v>5095</v>
      </c>
      <c r="D3658" s="71" t="s">
        <v>5262</v>
      </c>
      <c r="E3658" s="72" t="s">
        <v>357</v>
      </c>
      <c r="F3658" s="72">
        <v>18290</v>
      </c>
      <c r="G3658" s="73" t="s">
        <v>182</v>
      </c>
      <c r="H3658" s="73">
        <v>9403</v>
      </c>
      <c r="I3658" s="72">
        <v>0</v>
      </c>
      <c r="J3658" s="72">
        <v>0</v>
      </c>
      <c r="K3658" s="72">
        <v>2790</v>
      </c>
      <c r="L3658" s="97">
        <v>0</v>
      </c>
      <c r="M3658" s="73" t="s">
        <v>3925</v>
      </c>
      <c r="N3658" s="99">
        <f t="shared" si="87"/>
        <v>2790</v>
      </c>
    </row>
    <row r="3659" spans="1:14">
      <c r="A3659" s="12">
        <v>3658</v>
      </c>
      <c r="B3659" s="71" t="s">
        <v>5263</v>
      </c>
      <c r="C3659" s="42" t="s">
        <v>5264</v>
      </c>
      <c r="D3659" s="71" t="s">
        <v>5265</v>
      </c>
      <c r="E3659" s="72" t="s">
        <v>4035</v>
      </c>
      <c r="F3659" s="72">
        <v>493.82</v>
      </c>
      <c r="G3659" s="74" t="s">
        <v>5266</v>
      </c>
      <c r="H3659" s="74">
        <v>6103</v>
      </c>
      <c r="I3659" s="72">
        <v>0</v>
      </c>
      <c r="J3659" s="72">
        <v>0</v>
      </c>
      <c r="K3659" s="72">
        <v>35.99</v>
      </c>
      <c r="L3659" s="97">
        <v>0</v>
      </c>
      <c r="M3659" s="74" t="s">
        <v>4847</v>
      </c>
      <c r="N3659" s="99">
        <f t="shared" si="87"/>
        <v>0</v>
      </c>
    </row>
    <row r="3660" spans="1:14">
      <c r="A3660" s="12">
        <v>3659</v>
      </c>
      <c r="B3660" s="71" t="s">
        <v>5263</v>
      </c>
      <c r="C3660" s="42" t="s">
        <v>5264</v>
      </c>
      <c r="D3660" s="71" t="s">
        <v>5265</v>
      </c>
      <c r="E3660" s="72" t="s">
        <v>4035</v>
      </c>
      <c r="F3660" s="72">
        <v>493.82</v>
      </c>
      <c r="G3660" s="74" t="s">
        <v>5266</v>
      </c>
      <c r="H3660" s="74">
        <v>6103</v>
      </c>
      <c r="I3660" s="72">
        <v>0</v>
      </c>
      <c r="J3660" s="72">
        <v>0</v>
      </c>
      <c r="K3660" s="72">
        <v>24.08</v>
      </c>
      <c r="L3660" s="97">
        <v>0</v>
      </c>
      <c r="M3660" s="74" t="s">
        <v>4847</v>
      </c>
      <c r="N3660" s="99">
        <f t="shared" si="87"/>
        <v>0</v>
      </c>
    </row>
    <row r="3661" spans="1:14">
      <c r="A3661" s="12">
        <v>3660</v>
      </c>
      <c r="B3661" s="71" t="s">
        <v>5263</v>
      </c>
      <c r="C3661" s="42" t="s">
        <v>5264</v>
      </c>
      <c r="D3661" s="71" t="s">
        <v>5267</v>
      </c>
      <c r="E3661" s="72" t="s">
        <v>349</v>
      </c>
      <c r="F3661" s="72">
        <v>467.72</v>
      </c>
      <c r="G3661" s="74" t="s">
        <v>5266</v>
      </c>
      <c r="H3661" s="74">
        <v>6103</v>
      </c>
      <c r="I3661" s="72">
        <v>0</v>
      </c>
      <c r="J3661" s="72">
        <v>0</v>
      </c>
      <c r="K3661" s="72">
        <v>71.349999999999994</v>
      </c>
      <c r="L3661" s="97">
        <v>0</v>
      </c>
      <c r="M3661" s="74" t="s">
        <v>4847</v>
      </c>
      <c r="N3661" s="99">
        <f t="shared" si="87"/>
        <v>0</v>
      </c>
    </row>
    <row r="3662" spans="1:14">
      <c r="A3662" s="12">
        <v>3661</v>
      </c>
      <c r="B3662" s="71" t="s">
        <v>3936</v>
      </c>
      <c r="C3662" s="42" t="s">
        <v>3937</v>
      </c>
      <c r="D3662" s="71" t="s">
        <v>5268</v>
      </c>
      <c r="E3662" s="72" t="s">
        <v>341</v>
      </c>
      <c r="F3662" s="72">
        <v>5.9</v>
      </c>
      <c r="G3662" s="73" t="s">
        <v>64</v>
      </c>
      <c r="H3662" s="73">
        <v>9971</v>
      </c>
      <c r="I3662" s="72">
        <v>0.45</v>
      </c>
      <c r="J3662" s="72">
        <v>0.45</v>
      </c>
      <c r="K3662" s="72">
        <v>0</v>
      </c>
      <c r="L3662" s="97">
        <v>0</v>
      </c>
      <c r="M3662" s="73" t="s">
        <v>3925</v>
      </c>
      <c r="N3662" s="99">
        <f t="shared" si="87"/>
        <v>0.9</v>
      </c>
    </row>
    <row r="3663" spans="1:14">
      <c r="A3663" s="12">
        <v>3662</v>
      </c>
      <c r="B3663" s="71" t="s">
        <v>3936</v>
      </c>
      <c r="C3663" s="42" t="s">
        <v>3937</v>
      </c>
      <c r="D3663" s="71" t="s">
        <v>5269</v>
      </c>
      <c r="E3663" s="72" t="s">
        <v>4029</v>
      </c>
      <c r="F3663" s="72">
        <v>5.9</v>
      </c>
      <c r="G3663" s="73" t="s">
        <v>64</v>
      </c>
      <c r="H3663" s="73">
        <v>9971</v>
      </c>
      <c r="I3663" s="72">
        <v>0.45</v>
      </c>
      <c r="J3663" s="72">
        <v>0.45</v>
      </c>
      <c r="K3663" s="72">
        <v>0</v>
      </c>
      <c r="L3663" s="97">
        <v>0</v>
      </c>
      <c r="M3663" s="73" t="s">
        <v>3925</v>
      </c>
      <c r="N3663" s="99">
        <f t="shared" si="87"/>
        <v>0.9</v>
      </c>
    </row>
    <row r="3664" spans="1:14">
      <c r="A3664" s="12">
        <v>3663</v>
      </c>
      <c r="B3664" s="71" t="s">
        <v>3936</v>
      </c>
      <c r="C3664" s="42" t="s">
        <v>3937</v>
      </c>
      <c r="D3664" s="71" t="s">
        <v>5270</v>
      </c>
      <c r="E3664" s="72" t="s">
        <v>347</v>
      </c>
      <c r="F3664" s="72">
        <v>5.9</v>
      </c>
      <c r="G3664" s="73" t="s">
        <v>64</v>
      </c>
      <c r="H3664" s="73">
        <v>9971</v>
      </c>
      <c r="I3664" s="72">
        <v>0.45</v>
      </c>
      <c r="J3664" s="72">
        <v>0.45</v>
      </c>
      <c r="K3664" s="72">
        <v>0</v>
      </c>
      <c r="L3664" s="97">
        <v>0</v>
      </c>
      <c r="M3664" s="73" t="s">
        <v>3925</v>
      </c>
      <c r="N3664" s="99">
        <f t="shared" si="87"/>
        <v>0.9</v>
      </c>
    </row>
    <row r="3665" spans="1:14">
      <c r="A3665" s="12">
        <v>3664</v>
      </c>
      <c r="B3665" s="71" t="s">
        <v>3936</v>
      </c>
      <c r="C3665" s="42" t="s">
        <v>3937</v>
      </c>
      <c r="D3665" s="71" t="s">
        <v>5271</v>
      </c>
      <c r="E3665" s="72" t="s">
        <v>4020</v>
      </c>
      <c r="F3665" s="72">
        <v>6844</v>
      </c>
      <c r="G3665" s="73" t="s">
        <v>64</v>
      </c>
      <c r="H3665" s="73">
        <v>9971</v>
      </c>
      <c r="I3665" s="72">
        <v>522</v>
      </c>
      <c r="J3665" s="72">
        <v>522</v>
      </c>
      <c r="K3665" s="72">
        <v>0</v>
      </c>
      <c r="L3665" s="97">
        <v>0</v>
      </c>
      <c r="M3665" s="73" t="s">
        <v>3925</v>
      </c>
      <c r="N3665" s="99">
        <f t="shared" si="87"/>
        <v>1044</v>
      </c>
    </row>
    <row r="3666" spans="1:14">
      <c r="A3666" s="12">
        <v>3665</v>
      </c>
      <c r="B3666" s="71" t="s">
        <v>3936</v>
      </c>
      <c r="C3666" s="42" t="s">
        <v>3937</v>
      </c>
      <c r="D3666" s="71" t="s">
        <v>5272</v>
      </c>
      <c r="E3666" s="72" t="s">
        <v>351</v>
      </c>
      <c r="F3666" s="72">
        <v>5.9</v>
      </c>
      <c r="G3666" s="73" t="s">
        <v>64</v>
      </c>
      <c r="H3666" s="73">
        <v>9971</v>
      </c>
      <c r="I3666" s="72">
        <v>0.45</v>
      </c>
      <c r="J3666" s="72">
        <v>0.45</v>
      </c>
      <c r="K3666" s="72">
        <v>0</v>
      </c>
      <c r="L3666" s="97">
        <v>0</v>
      </c>
      <c r="M3666" s="73" t="s">
        <v>3925</v>
      </c>
      <c r="N3666" s="99">
        <f t="shared" si="87"/>
        <v>0.9</v>
      </c>
    </row>
    <row r="3667" spans="1:14">
      <c r="A3667" s="12">
        <v>3666</v>
      </c>
      <c r="B3667" s="71" t="s">
        <v>557</v>
      </c>
      <c r="C3667" s="42" t="s">
        <v>558</v>
      </c>
      <c r="D3667" s="71" t="s">
        <v>5273</v>
      </c>
      <c r="E3667" s="72" t="s">
        <v>367</v>
      </c>
      <c r="F3667" s="72">
        <v>1000</v>
      </c>
      <c r="G3667" s="73" t="s">
        <v>64</v>
      </c>
      <c r="H3667" s="89" t="s">
        <v>847</v>
      </c>
      <c r="I3667" s="72">
        <v>0</v>
      </c>
      <c r="J3667" s="72">
        <v>0</v>
      </c>
      <c r="K3667" s="72">
        <v>152.54</v>
      </c>
      <c r="L3667" s="97">
        <v>0</v>
      </c>
      <c r="M3667" s="73" t="s">
        <v>3925</v>
      </c>
      <c r="N3667" s="99">
        <f t="shared" si="87"/>
        <v>152.54</v>
      </c>
    </row>
    <row r="3668" spans="1:14">
      <c r="A3668" s="12">
        <v>3667</v>
      </c>
      <c r="B3668" s="71" t="s">
        <v>557</v>
      </c>
      <c r="C3668" s="42" t="s">
        <v>558</v>
      </c>
      <c r="D3668" s="71" t="s">
        <v>5274</v>
      </c>
      <c r="E3668" s="72" t="s">
        <v>5275</v>
      </c>
      <c r="F3668" s="72">
        <v>3124.04</v>
      </c>
      <c r="G3668" s="73" t="s">
        <v>64</v>
      </c>
      <c r="H3668" s="89" t="s">
        <v>847</v>
      </c>
      <c r="I3668" s="72">
        <v>0</v>
      </c>
      <c r="J3668" s="72">
        <v>0</v>
      </c>
      <c r="K3668" s="72">
        <v>476.55</v>
      </c>
      <c r="L3668" s="97">
        <v>0</v>
      </c>
      <c r="M3668" s="73" t="s">
        <v>3925</v>
      </c>
      <c r="N3668" s="99">
        <f t="shared" si="87"/>
        <v>476.55</v>
      </c>
    </row>
    <row r="3669" spans="1:14">
      <c r="A3669" s="12">
        <v>3668</v>
      </c>
      <c r="B3669" s="71" t="s">
        <v>557</v>
      </c>
      <c r="C3669" s="42" t="s">
        <v>558</v>
      </c>
      <c r="D3669" s="71" t="s">
        <v>5276</v>
      </c>
      <c r="E3669" s="72" t="s">
        <v>362</v>
      </c>
      <c r="F3669" s="72">
        <v>2855.92</v>
      </c>
      <c r="G3669" s="73" t="s">
        <v>64</v>
      </c>
      <c r="H3669" s="89" t="s">
        <v>847</v>
      </c>
      <c r="I3669" s="72">
        <v>0</v>
      </c>
      <c r="J3669" s="72">
        <v>0</v>
      </c>
      <c r="K3669" s="72">
        <v>435.65</v>
      </c>
      <c r="L3669" s="97">
        <v>0</v>
      </c>
      <c r="M3669" s="73" t="s">
        <v>3925</v>
      </c>
      <c r="N3669" s="99">
        <f t="shared" si="87"/>
        <v>435.65</v>
      </c>
    </row>
    <row r="3670" spans="1:14">
      <c r="A3670" s="12">
        <v>3669</v>
      </c>
      <c r="B3670" s="71" t="s">
        <v>557</v>
      </c>
      <c r="C3670" s="42" t="s">
        <v>558</v>
      </c>
      <c r="D3670" s="71" t="s">
        <v>5277</v>
      </c>
      <c r="E3670" s="72" t="s">
        <v>5259</v>
      </c>
      <c r="F3670" s="72">
        <v>20.05</v>
      </c>
      <c r="G3670" s="73" t="s">
        <v>64</v>
      </c>
      <c r="H3670" s="89" t="s">
        <v>847</v>
      </c>
      <c r="I3670" s="72">
        <v>0</v>
      </c>
      <c r="J3670" s="72">
        <v>0</v>
      </c>
      <c r="K3670" s="72">
        <v>3.06</v>
      </c>
      <c r="L3670" s="97">
        <v>0</v>
      </c>
      <c r="M3670" s="73" t="s">
        <v>3925</v>
      </c>
      <c r="N3670" s="99">
        <f t="shared" si="87"/>
        <v>3.06</v>
      </c>
    </row>
    <row r="3671" spans="1:14">
      <c r="A3671" s="12">
        <v>3670</v>
      </c>
      <c r="B3671" s="71" t="s">
        <v>557</v>
      </c>
      <c r="C3671" s="42" t="s">
        <v>558</v>
      </c>
      <c r="D3671" s="71" t="s">
        <v>5278</v>
      </c>
      <c r="E3671" s="72" t="s">
        <v>4020</v>
      </c>
      <c r="F3671" s="72">
        <v>2272.6</v>
      </c>
      <c r="G3671" s="73" t="s">
        <v>64</v>
      </c>
      <c r="H3671" s="89" t="s">
        <v>847</v>
      </c>
      <c r="I3671" s="72">
        <v>0</v>
      </c>
      <c r="J3671" s="72">
        <v>0</v>
      </c>
      <c r="K3671" s="72">
        <v>346.67</v>
      </c>
      <c r="L3671" s="97">
        <v>0</v>
      </c>
      <c r="M3671" s="73" t="s">
        <v>3925</v>
      </c>
      <c r="N3671" s="99">
        <f t="shared" si="87"/>
        <v>346.67</v>
      </c>
    </row>
    <row r="3672" spans="1:14">
      <c r="A3672" s="12">
        <v>3671</v>
      </c>
      <c r="B3672" s="71" t="s">
        <v>557</v>
      </c>
      <c r="C3672" s="42" t="s">
        <v>558</v>
      </c>
      <c r="D3672" s="71" t="s">
        <v>5279</v>
      </c>
      <c r="E3672" s="72" t="s">
        <v>5280</v>
      </c>
      <c r="F3672" s="72">
        <v>1727.39</v>
      </c>
      <c r="G3672" s="73" t="s">
        <v>64</v>
      </c>
      <c r="H3672" s="89" t="s">
        <v>847</v>
      </c>
      <c r="I3672" s="72">
        <v>0</v>
      </c>
      <c r="J3672" s="72">
        <v>0</v>
      </c>
      <c r="K3672" s="72">
        <v>263.5</v>
      </c>
      <c r="L3672" s="97">
        <v>0</v>
      </c>
      <c r="M3672" s="73" t="s">
        <v>3925</v>
      </c>
      <c r="N3672" s="99">
        <f t="shared" si="87"/>
        <v>263.5</v>
      </c>
    </row>
    <row r="3673" spans="1:14">
      <c r="A3673" s="12">
        <v>3672</v>
      </c>
      <c r="B3673" s="71" t="s">
        <v>557</v>
      </c>
      <c r="C3673" s="42" t="s">
        <v>558</v>
      </c>
      <c r="D3673" s="71" t="s">
        <v>5281</v>
      </c>
      <c r="E3673" s="72" t="s">
        <v>5282</v>
      </c>
      <c r="F3673" s="72">
        <v>568.69000000000005</v>
      </c>
      <c r="G3673" s="73" t="s">
        <v>64</v>
      </c>
      <c r="H3673" s="89" t="s">
        <v>847</v>
      </c>
      <c r="I3673" s="72">
        <v>0</v>
      </c>
      <c r="J3673" s="72">
        <v>0</v>
      </c>
      <c r="K3673" s="72">
        <v>86.75</v>
      </c>
      <c r="L3673" s="97">
        <v>0</v>
      </c>
      <c r="M3673" s="73" t="s">
        <v>3925</v>
      </c>
      <c r="N3673" s="99">
        <f t="shared" si="87"/>
        <v>86.75</v>
      </c>
    </row>
    <row r="3674" spans="1:14">
      <c r="A3674" s="12">
        <v>3673</v>
      </c>
      <c r="B3674" s="71" t="s">
        <v>557</v>
      </c>
      <c r="C3674" s="42" t="s">
        <v>558</v>
      </c>
      <c r="D3674" s="71" t="s">
        <v>5283</v>
      </c>
      <c r="E3674" s="72" t="s">
        <v>347</v>
      </c>
      <c r="F3674" s="72">
        <v>1742.19</v>
      </c>
      <c r="G3674" s="73" t="s">
        <v>64</v>
      </c>
      <c r="H3674" s="89" t="s">
        <v>847</v>
      </c>
      <c r="I3674" s="72">
        <v>0</v>
      </c>
      <c r="J3674" s="72">
        <v>0</v>
      </c>
      <c r="K3674" s="72">
        <v>265.76</v>
      </c>
      <c r="L3674" s="97">
        <v>0</v>
      </c>
      <c r="M3674" s="73" t="s">
        <v>3925</v>
      </c>
      <c r="N3674" s="99">
        <f t="shared" si="87"/>
        <v>265.76</v>
      </c>
    </row>
    <row r="3675" spans="1:14">
      <c r="A3675" s="12">
        <v>3674</v>
      </c>
      <c r="B3675" s="71" t="s">
        <v>557</v>
      </c>
      <c r="C3675" s="42" t="s">
        <v>558</v>
      </c>
      <c r="D3675" s="71" t="s">
        <v>5284</v>
      </c>
      <c r="E3675" s="72" t="s">
        <v>4043</v>
      </c>
      <c r="F3675" s="72">
        <v>1665.63</v>
      </c>
      <c r="G3675" s="73" t="s">
        <v>64</v>
      </c>
      <c r="H3675" s="89" t="s">
        <v>847</v>
      </c>
      <c r="I3675" s="72">
        <v>0</v>
      </c>
      <c r="J3675" s="72">
        <v>0</v>
      </c>
      <c r="K3675" s="72">
        <v>254.08</v>
      </c>
      <c r="L3675" s="97">
        <v>0</v>
      </c>
      <c r="M3675" s="73" t="s">
        <v>3925</v>
      </c>
      <c r="N3675" s="99">
        <f t="shared" si="87"/>
        <v>254.08</v>
      </c>
    </row>
    <row r="3676" spans="1:14">
      <c r="A3676" s="12">
        <v>3675</v>
      </c>
      <c r="B3676" s="71" t="s">
        <v>557</v>
      </c>
      <c r="C3676" s="42" t="s">
        <v>558</v>
      </c>
      <c r="D3676" s="71" t="s">
        <v>5285</v>
      </c>
      <c r="E3676" s="72" t="s">
        <v>5286</v>
      </c>
      <c r="F3676" s="72">
        <v>23.49</v>
      </c>
      <c r="G3676" s="73" t="s">
        <v>64</v>
      </c>
      <c r="H3676" s="89" t="s">
        <v>847</v>
      </c>
      <c r="I3676" s="72">
        <v>0</v>
      </c>
      <c r="J3676" s="72">
        <v>0</v>
      </c>
      <c r="K3676" s="72">
        <v>3.58</v>
      </c>
      <c r="L3676" s="97">
        <v>0</v>
      </c>
      <c r="M3676" s="73" t="s">
        <v>3925</v>
      </c>
      <c r="N3676" s="99">
        <f t="shared" si="87"/>
        <v>3.58</v>
      </c>
    </row>
    <row r="3677" spans="1:14">
      <c r="A3677" s="12">
        <v>3676</v>
      </c>
      <c r="B3677" s="71" t="s">
        <v>557</v>
      </c>
      <c r="C3677" s="42" t="s">
        <v>558</v>
      </c>
      <c r="D3677" s="71" t="s">
        <v>5287</v>
      </c>
      <c r="E3677" s="72" t="s">
        <v>669</v>
      </c>
      <c r="F3677" s="72">
        <v>222.7</v>
      </c>
      <c r="G3677" s="73" t="s">
        <v>64</v>
      </c>
      <c r="H3677" s="89" t="s">
        <v>847</v>
      </c>
      <c r="I3677" s="72">
        <v>0</v>
      </c>
      <c r="J3677" s="72">
        <v>0</v>
      </c>
      <c r="K3677" s="72">
        <v>33.97</v>
      </c>
      <c r="L3677" s="97">
        <v>0</v>
      </c>
      <c r="M3677" s="73" t="s">
        <v>3925</v>
      </c>
      <c r="N3677" s="99">
        <f t="shared" si="87"/>
        <v>33.97</v>
      </c>
    </row>
    <row r="3678" spans="1:14">
      <c r="A3678" s="12">
        <v>3677</v>
      </c>
      <c r="B3678" s="71" t="s">
        <v>557</v>
      </c>
      <c r="C3678" s="42" t="s">
        <v>558</v>
      </c>
      <c r="D3678" s="71" t="s">
        <v>5288</v>
      </c>
      <c r="E3678" s="72" t="s">
        <v>343</v>
      </c>
      <c r="F3678" s="72">
        <v>1793.38</v>
      </c>
      <c r="G3678" s="73" t="s">
        <v>64</v>
      </c>
      <c r="H3678" s="89" t="s">
        <v>847</v>
      </c>
      <c r="I3678" s="72">
        <v>0</v>
      </c>
      <c r="J3678" s="72">
        <v>0</v>
      </c>
      <c r="K3678" s="72">
        <v>273.57</v>
      </c>
      <c r="L3678" s="97">
        <v>0</v>
      </c>
      <c r="M3678" s="73" t="s">
        <v>3925</v>
      </c>
      <c r="N3678" s="99">
        <f t="shared" si="87"/>
        <v>273.57</v>
      </c>
    </row>
    <row r="3679" spans="1:14">
      <c r="A3679" s="12">
        <v>3678</v>
      </c>
      <c r="B3679" s="71" t="s">
        <v>557</v>
      </c>
      <c r="C3679" s="42" t="s">
        <v>558</v>
      </c>
      <c r="D3679" s="71" t="s">
        <v>5289</v>
      </c>
      <c r="E3679" s="72" t="s">
        <v>351</v>
      </c>
      <c r="F3679" s="72">
        <v>2127.86</v>
      </c>
      <c r="G3679" s="73" t="s">
        <v>64</v>
      </c>
      <c r="H3679" s="89" t="s">
        <v>847</v>
      </c>
      <c r="I3679" s="72">
        <v>0</v>
      </c>
      <c r="J3679" s="72">
        <v>0</v>
      </c>
      <c r="K3679" s="72">
        <v>324.58999999999997</v>
      </c>
      <c r="L3679" s="97">
        <v>0</v>
      </c>
      <c r="M3679" s="73" t="s">
        <v>3925</v>
      </c>
      <c r="N3679" s="99">
        <f t="shared" si="87"/>
        <v>324.58999999999997</v>
      </c>
    </row>
    <row r="3680" spans="1:14">
      <c r="A3680" s="12">
        <v>3679</v>
      </c>
      <c r="B3680" s="71" t="s">
        <v>557</v>
      </c>
      <c r="C3680" s="42" t="s">
        <v>558</v>
      </c>
      <c r="D3680" s="71" t="s">
        <v>5290</v>
      </c>
      <c r="E3680" s="72" t="s">
        <v>659</v>
      </c>
      <c r="F3680" s="72">
        <v>856.07</v>
      </c>
      <c r="G3680" s="73" t="s">
        <v>64</v>
      </c>
      <c r="H3680" s="89" t="s">
        <v>847</v>
      </c>
      <c r="I3680" s="72">
        <v>0</v>
      </c>
      <c r="J3680" s="72">
        <v>0</v>
      </c>
      <c r="K3680" s="72">
        <v>130.59</v>
      </c>
      <c r="L3680" s="97">
        <v>0</v>
      </c>
      <c r="M3680" s="73" t="s">
        <v>3925</v>
      </c>
      <c r="N3680" s="99">
        <f t="shared" si="87"/>
        <v>130.59</v>
      </c>
    </row>
    <row r="3681" spans="1:14">
      <c r="A3681" s="12">
        <v>3680</v>
      </c>
      <c r="B3681" s="71" t="s">
        <v>557</v>
      </c>
      <c r="C3681" s="42" t="s">
        <v>558</v>
      </c>
      <c r="D3681" s="71" t="s">
        <v>5291</v>
      </c>
      <c r="E3681" s="72" t="s">
        <v>357</v>
      </c>
      <c r="F3681" s="72">
        <v>1632.73</v>
      </c>
      <c r="G3681" s="73" t="s">
        <v>64</v>
      </c>
      <c r="H3681" s="89" t="s">
        <v>847</v>
      </c>
      <c r="I3681" s="72">
        <v>0</v>
      </c>
      <c r="J3681" s="72">
        <v>0</v>
      </c>
      <c r="K3681" s="72">
        <v>249.06</v>
      </c>
      <c r="L3681" s="97">
        <v>0</v>
      </c>
      <c r="M3681" s="73" t="s">
        <v>3925</v>
      </c>
      <c r="N3681" s="99">
        <f t="shared" si="87"/>
        <v>249.06</v>
      </c>
    </row>
    <row r="3682" spans="1:14">
      <c r="A3682" s="12">
        <v>3681</v>
      </c>
      <c r="B3682" s="71" t="s">
        <v>805</v>
      </c>
      <c r="C3682" s="42" t="s">
        <v>806</v>
      </c>
      <c r="D3682" s="71" t="s">
        <v>5292</v>
      </c>
      <c r="E3682" s="72" t="s">
        <v>357</v>
      </c>
      <c r="F3682" s="72">
        <v>18675.05</v>
      </c>
      <c r="G3682" s="73" t="s">
        <v>64</v>
      </c>
      <c r="H3682" s="89" t="s">
        <v>847</v>
      </c>
      <c r="I3682" s="72">
        <v>0</v>
      </c>
      <c r="J3682" s="72">
        <v>0</v>
      </c>
      <c r="K3682" s="72">
        <v>2848.74</v>
      </c>
      <c r="L3682" s="97">
        <v>0</v>
      </c>
      <c r="M3682" s="73" t="s">
        <v>3925</v>
      </c>
      <c r="N3682" s="99">
        <f t="shared" si="87"/>
        <v>2848.74</v>
      </c>
    </row>
    <row r="3683" spans="1:14">
      <c r="A3683" s="12">
        <v>3682</v>
      </c>
      <c r="B3683" s="71" t="s">
        <v>5293</v>
      </c>
      <c r="C3683" s="42" t="s">
        <v>5294</v>
      </c>
      <c r="D3683" s="71" t="s">
        <v>5295</v>
      </c>
      <c r="E3683" s="72" t="s">
        <v>4020</v>
      </c>
      <c r="F3683" s="72">
        <v>5148</v>
      </c>
      <c r="G3683" s="73" t="s">
        <v>24</v>
      </c>
      <c r="H3683" s="73">
        <v>9403</v>
      </c>
      <c r="I3683" s="72">
        <v>0</v>
      </c>
      <c r="J3683" s="72">
        <v>0</v>
      </c>
      <c r="K3683" s="72">
        <v>551.57000000000005</v>
      </c>
      <c r="L3683" s="97">
        <v>0</v>
      </c>
      <c r="M3683" s="73" t="s">
        <v>3925</v>
      </c>
      <c r="N3683" s="99">
        <f t="shared" si="87"/>
        <v>551.57000000000005</v>
      </c>
    </row>
    <row r="3684" spans="1:14">
      <c r="A3684" s="12">
        <v>3683</v>
      </c>
      <c r="B3684" s="71" t="s">
        <v>5094</v>
      </c>
      <c r="C3684" s="42" t="s">
        <v>5095</v>
      </c>
      <c r="D3684" s="71" t="s">
        <v>5296</v>
      </c>
      <c r="E3684" s="72" t="s">
        <v>318</v>
      </c>
      <c r="F3684" s="72">
        <v>44800</v>
      </c>
      <c r="G3684" s="73" t="s">
        <v>182</v>
      </c>
      <c r="H3684" s="73">
        <v>9403</v>
      </c>
      <c r="I3684" s="72">
        <v>0</v>
      </c>
      <c r="J3684" s="72">
        <v>0</v>
      </c>
      <c r="K3684" s="72">
        <v>4800</v>
      </c>
      <c r="L3684" s="97">
        <v>0</v>
      </c>
      <c r="M3684" s="73" t="s">
        <v>3925</v>
      </c>
      <c r="N3684" s="99">
        <f t="shared" si="87"/>
        <v>4800</v>
      </c>
    </row>
    <row r="3685" spans="1:14">
      <c r="A3685" s="12">
        <v>3684</v>
      </c>
      <c r="B3685" s="71" t="s">
        <v>5094</v>
      </c>
      <c r="C3685" s="42" t="s">
        <v>5095</v>
      </c>
      <c r="D3685" s="71" t="s">
        <v>5297</v>
      </c>
      <c r="E3685" s="72" t="s">
        <v>3924</v>
      </c>
      <c r="F3685" s="72">
        <v>45920</v>
      </c>
      <c r="G3685" s="73" t="s">
        <v>182</v>
      </c>
      <c r="H3685" s="73">
        <v>9403</v>
      </c>
      <c r="I3685" s="72">
        <v>0</v>
      </c>
      <c r="J3685" s="72">
        <v>0</v>
      </c>
      <c r="K3685" s="72">
        <v>4920</v>
      </c>
      <c r="L3685" s="97">
        <v>0</v>
      </c>
      <c r="M3685" s="73" t="s">
        <v>3925</v>
      </c>
      <c r="N3685" s="99">
        <f t="shared" si="87"/>
        <v>4920</v>
      </c>
    </row>
    <row r="3686" spans="1:14">
      <c r="A3686" s="12">
        <v>3685</v>
      </c>
      <c r="B3686" s="71" t="s">
        <v>5094</v>
      </c>
      <c r="C3686" s="42" t="s">
        <v>5095</v>
      </c>
      <c r="D3686" s="71" t="s">
        <v>5298</v>
      </c>
      <c r="E3686" s="72" t="s">
        <v>308</v>
      </c>
      <c r="F3686" s="72">
        <v>43680</v>
      </c>
      <c r="G3686" s="73" t="s">
        <v>182</v>
      </c>
      <c r="H3686" s="73">
        <v>9403</v>
      </c>
      <c r="I3686" s="72">
        <v>0</v>
      </c>
      <c r="J3686" s="72">
        <v>0</v>
      </c>
      <c r="K3686" s="72">
        <v>4680</v>
      </c>
      <c r="L3686" s="97">
        <v>0</v>
      </c>
      <c r="M3686" s="73" t="s">
        <v>3925</v>
      </c>
      <c r="N3686" s="99">
        <f t="shared" si="87"/>
        <v>4680</v>
      </c>
    </row>
    <row r="3687" spans="1:14">
      <c r="A3687" s="12">
        <v>3686</v>
      </c>
      <c r="B3687" s="71" t="s">
        <v>5094</v>
      </c>
      <c r="C3687" s="42" t="s">
        <v>5095</v>
      </c>
      <c r="D3687" s="71" t="s">
        <v>5299</v>
      </c>
      <c r="E3687" s="72" t="s">
        <v>5300</v>
      </c>
      <c r="F3687" s="72">
        <v>26786</v>
      </c>
      <c r="G3687" s="73" t="s">
        <v>182</v>
      </c>
      <c r="H3687" s="73">
        <v>9403</v>
      </c>
      <c r="I3687" s="72">
        <v>0</v>
      </c>
      <c r="J3687" s="72">
        <v>0</v>
      </c>
      <c r="K3687" s="72">
        <v>4086</v>
      </c>
      <c r="L3687" s="97">
        <v>0</v>
      </c>
      <c r="M3687" s="73" t="s">
        <v>3925</v>
      </c>
      <c r="N3687" s="99">
        <f t="shared" si="87"/>
        <v>4086</v>
      </c>
    </row>
    <row r="3688" spans="1:14">
      <c r="A3688" s="12">
        <v>3687</v>
      </c>
      <c r="B3688" s="71" t="s">
        <v>5094</v>
      </c>
      <c r="C3688" s="42" t="s">
        <v>5095</v>
      </c>
      <c r="D3688" s="71" t="s">
        <v>5301</v>
      </c>
      <c r="E3688" s="72" t="s">
        <v>3928</v>
      </c>
      <c r="F3688" s="72">
        <v>18290</v>
      </c>
      <c r="G3688" s="73" t="s">
        <v>182</v>
      </c>
      <c r="H3688" s="73">
        <v>9403</v>
      </c>
      <c r="I3688" s="72">
        <v>0</v>
      </c>
      <c r="J3688" s="72">
        <v>0</v>
      </c>
      <c r="K3688" s="72">
        <v>2790</v>
      </c>
      <c r="L3688" s="97">
        <v>0</v>
      </c>
      <c r="M3688" s="73" t="s">
        <v>3925</v>
      </c>
      <c r="N3688" s="99">
        <f t="shared" si="87"/>
        <v>2790</v>
      </c>
    </row>
    <row r="3689" spans="1:14">
      <c r="A3689" s="12">
        <v>3688</v>
      </c>
      <c r="B3689" s="71" t="s">
        <v>5094</v>
      </c>
      <c r="C3689" s="42" t="s">
        <v>5095</v>
      </c>
      <c r="D3689" s="71" t="s">
        <v>5302</v>
      </c>
      <c r="E3689" s="72" t="s">
        <v>325</v>
      </c>
      <c r="F3689" s="72">
        <v>15120</v>
      </c>
      <c r="G3689" s="73" t="s">
        <v>182</v>
      </c>
      <c r="H3689" s="73">
        <v>9403</v>
      </c>
      <c r="I3689" s="72">
        <v>0</v>
      </c>
      <c r="J3689" s="72">
        <v>0</v>
      </c>
      <c r="K3689" s="72">
        <v>1620</v>
      </c>
      <c r="L3689" s="97">
        <v>0</v>
      </c>
      <c r="M3689" s="73" t="s">
        <v>3925</v>
      </c>
      <c r="N3689" s="99">
        <f t="shared" si="87"/>
        <v>1620</v>
      </c>
    </row>
    <row r="3690" spans="1:14">
      <c r="A3690" s="12">
        <v>3689</v>
      </c>
      <c r="B3690" s="71" t="s">
        <v>5094</v>
      </c>
      <c r="C3690" s="42" t="s">
        <v>5095</v>
      </c>
      <c r="D3690" s="71" t="s">
        <v>5303</v>
      </c>
      <c r="E3690" s="72" t="s">
        <v>5304</v>
      </c>
      <c r="F3690" s="72">
        <v>13440</v>
      </c>
      <c r="G3690" s="73" t="s">
        <v>182</v>
      </c>
      <c r="H3690" s="73">
        <v>9403</v>
      </c>
      <c r="I3690" s="72">
        <v>0</v>
      </c>
      <c r="J3690" s="72">
        <v>0</v>
      </c>
      <c r="K3690" s="72">
        <v>1440</v>
      </c>
      <c r="L3690" s="97">
        <v>0</v>
      </c>
      <c r="M3690" s="73" t="s">
        <v>3925</v>
      </c>
      <c r="N3690" s="99">
        <f t="shared" si="87"/>
        <v>1440</v>
      </c>
    </row>
    <row r="3691" spans="1:14">
      <c r="A3691" s="12">
        <v>3690</v>
      </c>
      <c r="B3691" s="71" t="s">
        <v>5094</v>
      </c>
      <c r="C3691" s="42" t="s">
        <v>5095</v>
      </c>
      <c r="D3691" s="71" t="s">
        <v>5305</v>
      </c>
      <c r="E3691" s="72" t="s">
        <v>306</v>
      </c>
      <c r="F3691" s="72">
        <v>36960</v>
      </c>
      <c r="G3691" s="73" t="s">
        <v>182</v>
      </c>
      <c r="H3691" s="73">
        <v>9403</v>
      </c>
      <c r="I3691" s="72">
        <v>0</v>
      </c>
      <c r="J3691" s="72">
        <v>0</v>
      </c>
      <c r="K3691" s="72">
        <v>3960</v>
      </c>
      <c r="L3691" s="97">
        <v>0</v>
      </c>
      <c r="M3691" s="73" t="s">
        <v>3925</v>
      </c>
      <c r="N3691" s="99">
        <f t="shared" si="87"/>
        <v>3960</v>
      </c>
    </row>
    <row r="3692" spans="1:14">
      <c r="A3692" s="12">
        <v>3691</v>
      </c>
      <c r="B3692" s="71" t="s">
        <v>5088</v>
      </c>
      <c r="C3692" s="42" t="s">
        <v>5089</v>
      </c>
      <c r="D3692" s="71" t="s">
        <v>5306</v>
      </c>
      <c r="E3692" s="72" t="s">
        <v>306</v>
      </c>
      <c r="F3692" s="72">
        <v>2733.84</v>
      </c>
      <c r="G3692" s="73" t="s">
        <v>64</v>
      </c>
      <c r="H3692" s="73">
        <v>997119</v>
      </c>
      <c r="I3692" s="72">
        <v>0</v>
      </c>
      <c r="J3692" s="72">
        <v>0</v>
      </c>
      <c r="K3692" s="72">
        <v>417.03</v>
      </c>
      <c r="L3692" s="97">
        <v>0</v>
      </c>
      <c r="M3692" s="73" t="s">
        <v>3925</v>
      </c>
      <c r="N3692" s="99">
        <f t="shared" ref="N3692:N3755" si="88">IF(M3692="YES", I3692+J3692+K3692, 0)</f>
        <v>417.03</v>
      </c>
    </row>
    <row r="3693" spans="1:14">
      <c r="A3693" s="12">
        <v>3692</v>
      </c>
      <c r="B3693" s="71" t="s">
        <v>1759</v>
      </c>
      <c r="C3693" s="42" t="s">
        <v>1760</v>
      </c>
      <c r="D3693" s="71" t="s">
        <v>5307</v>
      </c>
      <c r="E3693" s="72" t="s">
        <v>306</v>
      </c>
      <c r="F3693" s="72">
        <v>91.31</v>
      </c>
      <c r="G3693" s="73" t="s">
        <v>64</v>
      </c>
      <c r="H3693" s="89" t="s">
        <v>561</v>
      </c>
      <c r="I3693" s="72">
        <v>0</v>
      </c>
      <c r="J3693" s="72">
        <v>0</v>
      </c>
      <c r="K3693" s="72">
        <v>13.93</v>
      </c>
      <c r="L3693" s="97">
        <v>0</v>
      </c>
      <c r="M3693" s="73" t="s">
        <v>3925</v>
      </c>
      <c r="N3693" s="99">
        <f t="shared" si="88"/>
        <v>13.93</v>
      </c>
    </row>
    <row r="3694" spans="1:14">
      <c r="A3694" s="12">
        <v>3693</v>
      </c>
      <c r="B3694" s="71" t="s">
        <v>3936</v>
      </c>
      <c r="C3694" s="42" t="s">
        <v>3937</v>
      </c>
      <c r="D3694" s="71" t="s">
        <v>5308</v>
      </c>
      <c r="E3694" s="72" t="s">
        <v>308</v>
      </c>
      <c r="F3694" s="72">
        <v>5.9</v>
      </c>
      <c r="G3694" s="73" t="s">
        <v>64</v>
      </c>
      <c r="H3694" s="73">
        <v>9971</v>
      </c>
      <c r="I3694" s="72">
        <v>0.45</v>
      </c>
      <c r="J3694" s="72">
        <v>0.45</v>
      </c>
      <c r="K3694" s="72">
        <v>0</v>
      </c>
      <c r="L3694" s="97">
        <v>0</v>
      </c>
      <c r="M3694" s="73" t="s">
        <v>3925</v>
      </c>
      <c r="N3694" s="99">
        <f t="shared" si="88"/>
        <v>0.9</v>
      </c>
    </row>
    <row r="3695" spans="1:14">
      <c r="A3695" s="12">
        <v>3694</v>
      </c>
      <c r="B3695" s="71" t="s">
        <v>3936</v>
      </c>
      <c r="C3695" s="42" t="s">
        <v>3937</v>
      </c>
      <c r="D3695" s="71" t="s">
        <v>5309</v>
      </c>
      <c r="E3695" s="72" t="s">
        <v>3951</v>
      </c>
      <c r="F3695" s="72">
        <v>6702.4</v>
      </c>
      <c r="G3695" s="73" t="s">
        <v>64</v>
      </c>
      <c r="H3695" s="73">
        <v>9971</v>
      </c>
      <c r="I3695" s="72">
        <v>511.2</v>
      </c>
      <c r="J3695" s="72">
        <v>511.2</v>
      </c>
      <c r="K3695" s="72">
        <v>0</v>
      </c>
      <c r="L3695" s="97">
        <v>0</v>
      </c>
      <c r="M3695" s="73" t="s">
        <v>3925</v>
      </c>
      <c r="N3695" s="99">
        <f t="shared" si="88"/>
        <v>1022.4</v>
      </c>
    </row>
    <row r="3696" spans="1:14">
      <c r="A3696" s="12">
        <v>3695</v>
      </c>
      <c r="B3696" s="71" t="s">
        <v>3936</v>
      </c>
      <c r="C3696" s="42" t="s">
        <v>3937</v>
      </c>
      <c r="D3696" s="71" t="s">
        <v>5310</v>
      </c>
      <c r="E3696" s="72" t="s">
        <v>5311</v>
      </c>
      <c r="F3696" s="72">
        <v>5.9</v>
      </c>
      <c r="G3696" s="73" t="s">
        <v>64</v>
      </c>
      <c r="H3696" s="73">
        <v>9971</v>
      </c>
      <c r="I3696" s="72">
        <v>0.45</v>
      </c>
      <c r="J3696" s="72">
        <v>0.45</v>
      </c>
      <c r="K3696" s="72">
        <v>0</v>
      </c>
      <c r="L3696" s="97">
        <v>0</v>
      </c>
      <c r="M3696" s="73" t="s">
        <v>3925</v>
      </c>
      <c r="N3696" s="99">
        <f t="shared" si="88"/>
        <v>0.9</v>
      </c>
    </row>
    <row r="3697" spans="1:14">
      <c r="A3697" s="12">
        <v>3696</v>
      </c>
      <c r="B3697" s="71" t="s">
        <v>3936</v>
      </c>
      <c r="C3697" s="42" t="s">
        <v>3937</v>
      </c>
      <c r="D3697" s="71" t="s">
        <v>5312</v>
      </c>
      <c r="E3697" s="72" t="s">
        <v>647</v>
      </c>
      <c r="F3697" s="72">
        <v>5.9</v>
      </c>
      <c r="G3697" s="73" t="s">
        <v>64</v>
      </c>
      <c r="H3697" s="73">
        <v>9971</v>
      </c>
      <c r="I3697" s="72">
        <v>0.45</v>
      </c>
      <c r="J3697" s="72">
        <v>0.45</v>
      </c>
      <c r="K3697" s="72">
        <v>0</v>
      </c>
      <c r="L3697" s="97">
        <v>0</v>
      </c>
      <c r="M3697" s="73" t="s">
        <v>3925</v>
      </c>
      <c r="N3697" s="99">
        <f t="shared" si="88"/>
        <v>0.9</v>
      </c>
    </row>
    <row r="3698" spans="1:14">
      <c r="A3698" s="12">
        <v>3697</v>
      </c>
      <c r="B3698" s="71" t="s">
        <v>3936</v>
      </c>
      <c r="C3698" s="42" t="s">
        <v>3937</v>
      </c>
      <c r="D3698" s="71" t="s">
        <v>5313</v>
      </c>
      <c r="E3698" s="72" t="s">
        <v>5314</v>
      </c>
      <c r="F3698" s="72">
        <v>5.9</v>
      </c>
      <c r="G3698" s="73" t="s">
        <v>64</v>
      </c>
      <c r="H3698" s="73">
        <v>9971</v>
      </c>
      <c r="I3698" s="72">
        <v>0.45</v>
      </c>
      <c r="J3698" s="72">
        <v>0.45</v>
      </c>
      <c r="K3698" s="72">
        <v>0</v>
      </c>
      <c r="L3698" s="97">
        <v>0</v>
      </c>
      <c r="M3698" s="73" t="s">
        <v>3925</v>
      </c>
      <c r="N3698" s="99">
        <f t="shared" si="88"/>
        <v>0.9</v>
      </c>
    </row>
    <row r="3699" spans="1:14">
      <c r="A3699" s="12">
        <v>3698</v>
      </c>
      <c r="B3699" s="71" t="s">
        <v>5263</v>
      </c>
      <c r="C3699" s="42" t="s">
        <v>5264</v>
      </c>
      <c r="D3699" s="71" t="s">
        <v>5315</v>
      </c>
      <c r="E3699" s="72" t="s">
        <v>376</v>
      </c>
      <c r="F3699" s="72">
        <v>506.82</v>
      </c>
      <c r="G3699" s="74" t="s">
        <v>5266</v>
      </c>
      <c r="H3699" s="74">
        <v>6103</v>
      </c>
      <c r="I3699" s="72">
        <v>0</v>
      </c>
      <c r="J3699" s="72">
        <v>0</v>
      </c>
      <c r="K3699" s="72">
        <v>19</v>
      </c>
      <c r="L3699" s="97">
        <v>0</v>
      </c>
      <c r="M3699" s="74" t="s">
        <v>4847</v>
      </c>
      <c r="N3699" s="99">
        <f t="shared" si="88"/>
        <v>0</v>
      </c>
    </row>
    <row r="3700" spans="1:14">
      <c r="A3700" s="12">
        <v>3699</v>
      </c>
      <c r="B3700" s="71" t="s">
        <v>5263</v>
      </c>
      <c r="C3700" s="42" t="s">
        <v>5264</v>
      </c>
      <c r="D3700" s="71" t="s">
        <v>5315</v>
      </c>
      <c r="E3700" s="72" t="s">
        <v>376</v>
      </c>
      <c r="F3700" s="72">
        <v>506.82</v>
      </c>
      <c r="G3700" s="74" t="s">
        <v>5266</v>
      </c>
      <c r="H3700" s="74">
        <v>6103</v>
      </c>
      <c r="I3700" s="72">
        <v>0</v>
      </c>
      <c r="J3700" s="72">
        <v>0</v>
      </c>
      <c r="K3700" s="72">
        <v>16.45</v>
      </c>
      <c r="L3700" s="97">
        <v>0</v>
      </c>
      <c r="M3700" s="74" t="s">
        <v>4847</v>
      </c>
      <c r="N3700" s="99">
        <f t="shared" si="88"/>
        <v>0</v>
      </c>
    </row>
    <row r="3701" spans="1:14">
      <c r="A3701" s="12">
        <v>3700</v>
      </c>
      <c r="B3701" s="71" t="s">
        <v>5263</v>
      </c>
      <c r="C3701" s="42" t="s">
        <v>5264</v>
      </c>
      <c r="D3701" s="71" t="s">
        <v>5316</v>
      </c>
      <c r="E3701" s="72" t="s">
        <v>5314</v>
      </c>
      <c r="F3701" s="72">
        <v>461.82</v>
      </c>
      <c r="G3701" s="74" t="s">
        <v>5266</v>
      </c>
      <c r="H3701" s="74">
        <v>6103</v>
      </c>
      <c r="I3701" s="72">
        <v>0</v>
      </c>
      <c r="J3701" s="72">
        <v>0</v>
      </c>
      <c r="K3701" s="72">
        <v>70.45</v>
      </c>
      <c r="L3701" s="97">
        <v>0</v>
      </c>
      <c r="M3701" s="74" t="s">
        <v>4847</v>
      </c>
      <c r="N3701" s="99">
        <f t="shared" si="88"/>
        <v>0</v>
      </c>
    </row>
    <row r="3702" spans="1:14">
      <c r="A3702" s="12">
        <v>3701</v>
      </c>
      <c r="B3702" s="71" t="s">
        <v>5094</v>
      </c>
      <c r="C3702" s="42" t="s">
        <v>5095</v>
      </c>
      <c r="D3702" s="71" t="s">
        <v>5317</v>
      </c>
      <c r="E3702" s="72" t="s">
        <v>5240</v>
      </c>
      <c r="F3702" s="72">
        <v>49840</v>
      </c>
      <c r="G3702" s="73" t="s">
        <v>182</v>
      </c>
      <c r="H3702" s="73">
        <v>9403</v>
      </c>
      <c r="I3702" s="72">
        <v>0</v>
      </c>
      <c r="J3702" s="72">
        <v>0</v>
      </c>
      <c r="K3702" s="72">
        <v>5340</v>
      </c>
      <c r="L3702" s="97">
        <v>0</v>
      </c>
      <c r="M3702" s="73" t="s">
        <v>3925</v>
      </c>
      <c r="N3702" s="99">
        <f t="shared" si="88"/>
        <v>5340</v>
      </c>
    </row>
    <row r="3703" spans="1:14">
      <c r="A3703" s="12">
        <v>3702</v>
      </c>
      <c r="B3703" s="71" t="s">
        <v>5094</v>
      </c>
      <c r="C3703" s="42" t="s">
        <v>5095</v>
      </c>
      <c r="D3703" s="71" t="s">
        <v>5318</v>
      </c>
      <c r="E3703" s="72" t="s">
        <v>616</v>
      </c>
      <c r="F3703" s="72">
        <v>33040</v>
      </c>
      <c r="G3703" s="73" t="s">
        <v>182</v>
      </c>
      <c r="H3703" s="73">
        <v>9403</v>
      </c>
      <c r="I3703" s="72">
        <v>0</v>
      </c>
      <c r="J3703" s="72">
        <v>0</v>
      </c>
      <c r="K3703" s="72">
        <v>5040</v>
      </c>
      <c r="L3703" s="97">
        <v>0</v>
      </c>
      <c r="M3703" s="73" t="s">
        <v>3925</v>
      </c>
      <c r="N3703" s="99">
        <f t="shared" si="88"/>
        <v>5040</v>
      </c>
    </row>
    <row r="3704" spans="1:14">
      <c r="A3704" s="12">
        <v>3703</v>
      </c>
      <c r="B3704" s="71" t="s">
        <v>5094</v>
      </c>
      <c r="C3704" s="42" t="s">
        <v>5095</v>
      </c>
      <c r="D3704" s="71" t="s">
        <v>5319</v>
      </c>
      <c r="E3704" s="72" t="s">
        <v>5320</v>
      </c>
      <c r="F3704" s="72">
        <v>14000</v>
      </c>
      <c r="G3704" s="73" t="s">
        <v>182</v>
      </c>
      <c r="H3704" s="73">
        <v>9403</v>
      </c>
      <c r="I3704" s="72">
        <v>0</v>
      </c>
      <c r="J3704" s="72">
        <v>0</v>
      </c>
      <c r="K3704" s="72">
        <v>1500</v>
      </c>
      <c r="L3704" s="97">
        <v>0</v>
      </c>
      <c r="M3704" s="73" t="s">
        <v>3925</v>
      </c>
      <c r="N3704" s="99">
        <f t="shared" si="88"/>
        <v>1500</v>
      </c>
    </row>
    <row r="3705" spans="1:14">
      <c r="A3705" s="12">
        <v>3704</v>
      </c>
      <c r="B3705" s="71" t="s">
        <v>5094</v>
      </c>
      <c r="C3705" s="42" t="s">
        <v>5095</v>
      </c>
      <c r="D3705" s="71" t="s">
        <v>5321</v>
      </c>
      <c r="E3705" s="72" t="s">
        <v>4079</v>
      </c>
      <c r="F3705" s="72">
        <v>47200</v>
      </c>
      <c r="G3705" s="73" t="s">
        <v>182</v>
      </c>
      <c r="H3705" s="73">
        <v>9403</v>
      </c>
      <c r="I3705" s="72">
        <v>0</v>
      </c>
      <c r="J3705" s="72">
        <v>0</v>
      </c>
      <c r="K3705" s="72">
        <v>7200</v>
      </c>
      <c r="L3705" s="97">
        <v>0</v>
      </c>
      <c r="M3705" s="73" t="s">
        <v>3925</v>
      </c>
      <c r="N3705" s="99">
        <f t="shared" si="88"/>
        <v>7200</v>
      </c>
    </row>
    <row r="3706" spans="1:14">
      <c r="A3706" s="12">
        <v>3705</v>
      </c>
      <c r="B3706" s="71" t="s">
        <v>557</v>
      </c>
      <c r="C3706" s="42" t="s">
        <v>558</v>
      </c>
      <c r="D3706" s="71" t="s">
        <v>5322</v>
      </c>
      <c r="E3706" s="72" t="s">
        <v>3954</v>
      </c>
      <c r="F3706" s="72">
        <v>2908.28</v>
      </c>
      <c r="G3706" s="73" t="s">
        <v>64</v>
      </c>
      <c r="H3706" s="89" t="s">
        <v>847</v>
      </c>
      <c r="I3706" s="72">
        <v>0</v>
      </c>
      <c r="J3706" s="72">
        <v>0</v>
      </c>
      <c r="K3706" s="72">
        <v>443.64</v>
      </c>
      <c r="L3706" s="97">
        <v>0</v>
      </c>
      <c r="M3706" s="73" t="s">
        <v>3925</v>
      </c>
      <c r="N3706" s="99">
        <f t="shared" si="88"/>
        <v>443.64</v>
      </c>
    </row>
    <row r="3707" spans="1:14">
      <c r="A3707" s="12">
        <v>3706</v>
      </c>
      <c r="B3707" s="71" t="s">
        <v>557</v>
      </c>
      <c r="C3707" s="42" t="s">
        <v>558</v>
      </c>
      <c r="D3707" s="71" t="s">
        <v>5323</v>
      </c>
      <c r="E3707" s="72" t="s">
        <v>647</v>
      </c>
      <c r="F3707" s="72">
        <v>2750.91</v>
      </c>
      <c r="G3707" s="73" t="s">
        <v>64</v>
      </c>
      <c r="H3707" s="89" t="s">
        <v>847</v>
      </c>
      <c r="I3707" s="72">
        <v>0</v>
      </c>
      <c r="J3707" s="72">
        <v>0</v>
      </c>
      <c r="K3707" s="72">
        <v>419.63</v>
      </c>
      <c r="L3707" s="97">
        <v>0</v>
      </c>
      <c r="M3707" s="73" t="s">
        <v>3925</v>
      </c>
      <c r="N3707" s="99">
        <f t="shared" si="88"/>
        <v>419.63</v>
      </c>
    </row>
    <row r="3708" spans="1:14">
      <c r="A3708" s="12">
        <v>3707</v>
      </c>
      <c r="B3708" s="71" t="s">
        <v>557</v>
      </c>
      <c r="C3708" s="42" t="s">
        <v>558</v>
      </c>
      <c r="D3708" s="71" t="s">
        <v>5324</v>
      </c>
      <c r="E3708" s="72" t="s">
        <v>647</v>
      </c>
      <c r="F3708" s="72">
        <v>0.19</v>
      </c>
      <c r="G3708" s="73" t="s">
        <v>64</v>
      </c>
      <c r="H3708" s="89" t="s">
        <v>847</v>
      </c>
      <c r="I3708" s="72">
        <v>0</v>
      </c>
      <c r="J3708" s="72">
        <v>0</v>
      </c>
      <c r="K3708" s="72">
        <v>0.03</v>
      </c>
      <c r="L3708" s="97">
        <v>0</v>
      </c>
      <c r="M3708" s="73" t="s">
        <v>3925</v>
      </c>
      <c r="N3708" s="99">
        <f t="shared" si="88"/>
        <v>0.03</v>
      </c>
    </row>
    <row r="3709" spans="1:14">
      <c r="A3709" s="12">
        <v>3708</v>
      </c>
      <c r="B3709" s="71" t="s">
        <v>557</v>
      </c>
      <c r="C3709" s="42" t="s">
        <v>558</v>
      </c>
      <c r="D3709" s="71" t="s">
        <v>5325</v>
      </c>
      <c r="E3709" s="72" t="s">
        <v>334</v>
      </c>
      <c r="F3709" s="72">
        <v>340.62</v>
      </c>
      <c r="G3709" s="73" t="s">
        <v>64</v>
      </c>
      <c r="H3709" s="89" t="s">
        <v>847</v>
      </c>
      <c r="I3709" s="72">
        <v>0</v>
      </c>
      <c r="J3709" s="72">
        <v>0</v>
      </c>
      <c r="K3709" s="72">
        <v>51.96</v>
      </c>
      <c r="L3709" s="97">
        <v>0</v>
      </c>
      <c r="M3709" s="73" t="s">
        <v>3925</v>
      </c>
      <c r="N3709" s="99">
        <f t="shared" si="88"/>
        <v>51.96</v>
      </c>
    </row>
    <row r="3710" spans="1:14">
      <c r="A3710" s="12">
        <v>3709</v>
      </c>
      <c r="B3710" s="71" t="s">
        <v>557</v>
      </c>
      <c r="C3710" s="42" t="s">
        <v>558</v>
      </c>
      <c r="D3710" s="71" t="s">
        <v>5326</v>
      </c>
      <c r="E3710" s="72" t="s">
        <v>5327</v>
      </c>
      <c r="F3710" s="72">
        <v>1872.73</v>
      </c>
      <c r="G3710" s="73" t="s">
        <v>64</v>
      </c>
      <c r="H3710" s="89" t="s">
        <v>847</v>
      </c>
      <c r="I3710" s="72">
        <v>0</v>
      </c>
      <c r="J3710" s="72">
        <v>0</v>
      </c>
      <c r="K3710" s="72">
        <v>285.67</v>
      </c>
      <c r="L3710" s="97">
        <v>0</v>
      </c>
      <c r="M3710" s="73" t="s">
        <v>3925</v>
      </c>
      <c r="N3710" s="99">
        <f t="shared" si="88"/>
        <v>285.67</v>
      </c>
    </row>
    <row r="3711" spans="1:14">
      <c r="A3711" s="12">
        <v>3710</v>
      </c>
      <c r="B3711" s="71" t="s">
        <v>557</v>
      </c>
      <c r="C3711" s="42" t="s">
        <v>558</v>
      </c>
      <c r="D3711" s="71" t="s">
        <v>5328</v>
      </c>
      <c r="E3711" s="72" t="s">
        <v>5314</v>
      </c>
      <c r="F3711" s="72">
        <v>2831.28</v>
      </c>
      <c r="G3711" s="73" t="s">
        <v>64</v>
      </c>
      <c r="H3711" s="89" t="s">
        <v>847</v>
      </c>
      <c r="I3711" s="72">
        <v>0</v>
      </c>
      <c r="J3711" s="72">
        <v>0</v>
      </c>
      <c r="K3711" s="72">
        <v>431.89</v>
      </c>
      <c r="L3711" s="97">
        <v>0</v>
      </c>
      <c r="M3711" s="73" t="s">
        <v>3925</v>
      </c>
      <c r="N3711" s="99">
        <f t="shared" si="88"/>
        <v>431.89</v>
      </c>
    </row>
    <row r="3712" spans="1:14">
      <c r="A3712" s="12">
        <v>3711</v>
      </c>
      <c r="B3712" s="71" t="s">
        <v>557</v>
      </c>
      <c r="C3712" s="42" t="s">
        <v>558</v>
      </c>
      <c r="D3712" s="71" t="s">
        <v>5329</v>
      </c>
      <c r="E3712" s="72" t="s">
        <v>3960</v>
      </c>
      <c r="F3712" s="72">
        <v>1295.98</v>
      </c>
      <c r="G3712" s="73" t="s">
        <v>64</v>
      </c>
      <c r="H3712" s="89" t="s">
        <v>847</v>
      </c>
      <c r="I3712" s="72">
        <v>0</v>
      </c>
      <c r="J3712" s="72">
        <v>0</v>
      </c>
      <c r="K3712" s="72">
        <v>197.69</v>
      </c>
      <c r="L3712" s="97">
        <v>0</v>
      </c>
      <c r="M3712" s="73" t="s">
        <v>3925</v>
      </c>
      <c r="N3712" s="99">
        <f t="shared" si="88"/>
        <v>197.69</v>
      </c>
    </row>
    <row r="3713" spans="1:14">
      <c r="A3713" s="12">
        <v>3712</v>
      </c>
      <c r="B3713" s="71" t="s">
        <v>5248</v>
      </c>
      <c r="C3713" s="42" t="s">
        <v>5249</v>
      </c>
      <c r="D3713" s="71" t="s">
        <v>5330</v>
      </c>
      <c r="E3713" s="72" t="s">
        <v>334</v>
      </c>
      <c r="F3713" s="72">
        <v>47424.01</v>
      </c>
      <c r="G3713" s="73" t="s">
        <v>64</v>
      </c>
      <c r="H3713" s="89" t="s">
        <v>5131</v>
      </c>
      <c r="I3713" s="72">
        <v>0</v>
      </c>
      <c r="J3713" s="72">
        <v>0</v>
      </c>
      <c r="K3713" s="72">
        <v>7234.17</v>
      </c>
      <c r="L3713" s="97">
        <v>0</v>
      </c>
      <c r="M3713" s="73" t="s">
        <v>3925</v>
      </c>
      <c r="N3713" s="99">
        <f t="shared" si="88"/>
        <v>7234.17</v>
      </c>
    </row>
    <row r="3714" spans="1:14">
      <c r="A3714" s="12">
        <v>3713</v>
      </c>
      <c r="B3714" s="71" t="s">
        <v>5248</v>
      </c>
      <c r="C3714" s="42" t="s">
        <v>5249</v>
      </c>
      <c r="D3714" s="71" t="s">
        <v>5331</v>
      </c>
      <c r="E3714" s="72" t="s">
        <v>306</v>
      </c>
      <c r="F3714" s="72">
        <v>37697.67</v>
      </c>
      <c r="G3714" s="73" t="s">
        <v>64</v>
      </c>
      <c r="H3714" s="89" t="s">
        <v>5131</v>
      </c>
      <c r="I3714" s="72">
        <v>0</v>
      </c>
      <c r="J3714" s="72">
        <v>0</v>
      </c>
      <c r="K3714" s="72">
        <v>5750.49</v>
      </c>
      <c r="L3714" s="97">
        <v>0</v>
      </c>
      <c r="M3714" s="73" t="s">
        <v>3925</v>
      </c>
      <c r="N3714" s="99">
        <f t="shared" si="88"/>
        <v>5750.49</v>
      </c>
    </row>
    <row r="3715" spans="1:14">
      <c r="A3715" s="12">
        <v>3714</v>
      </c>
      <c r="B3715" s="71" t="s">
        <v>557</v>
      </c>
      <c r="C3715" s="42" t="s">
        <v>558</v>
      </c>
      <c r="D3715" s="71" t="s">
        <v>5332</v>
      </c>
      <c r="E3715" s="72" t="s">
        <v>742</v>
      </c>
      <c r="F3715" s="72">
        <v>1283.29</v>
      </c>
      <c r="G3715" s="73" t="s">
        <v>64</v>
      </c>
      <c r="H3715" s="89" t="s">
        <v>847</v>
      </c>
      <c r="I3715" s="72">
        <v>0</v>
      </c>
      <c r="J3715" s="72">
        <v>0</v>
      </c>
      <c r="K3715" s="72">
        <v>195.76</v>
      </c>
      <c r="L3715" s="97">
        <v>0</v>
      </c>
      <c r="M3715" s="73" t="s">
        <v>3925</v>
      </c>
      <c r="N3715" s="99">
        <f t="shared" si="88"/>
        <v>195.76</v>
      </c>
    </row>
    <row r="3716" spans="1:14">
      <c r="A3716" s="12">
        <v>3715</v>
      </c>
      <c r="B3716" s="71" t="s">
        <v>557</v>
      </c>
      <c r="C3716" s="42" t="s">
        <v>558</v>
      </c>
      <c r="D3716" s="71" t="s">
        <v>5333</v>
      </c>
      <c r="E3716" s="72" t="s">
        <v>738</v>
      </c>
      <c r="F3716" s="72">
        <v>1214.4000000000001</v>
      </c>
      <c r="G3716" s="73" t="s">
        <v>64</v>
      </c>
      <c r="H3716" s="89" t="s">
        <v>847</v>
      </c>
      <c r="I3716" s="72">
        <v>0</v>
      </c>
      <c r="J3716" s="72">
        <v>0</v>
      </c>
      <c r="K3716" s="72">
        <v>185.25</v>
      </c>
      <c r="L3716" s="97">
        <v>0</v>
      </c>
      <c r="M3716" s="73" t="s">
        <v>3925</v>
      </c>
      <c r="N3716" s="99">
        <f t="shared" si="88"/>
        <v>185.25</v>
      </c>
    </row>
    <row r="3717" spans="1:14">
      <c r="A3717" s="12">
        <v>3716</v>
      </c>
      <c r="B3717" s="71" t="s">
        <v>557</v>
      </c>
      <c r="C3717" s="42" t="s">
        <v>558</v>
      </c>
      <c r="D3717" s="71" t="s">
        <v>5334</v>
      </c>
      <c r="E3717" s="72" t="s">
        <v>4198</v>
      </c>
      <c r="F3717" s="72">
        <v>621.03</v>
      </c>
      <c r="G3717" s="73" t="s">
        <v>64</v>
      </c>
      <c r="H3717" s="89" t="s">
        <v>847</v>
      </c>
      <c r="I3717" s="72">
        <v>0</v>
      </c>
      <c r="J3717" s="72">
        <v>0</v>
      </c>
      <c r="K3717" s="72">
        <v>94.73</v>
      </c>
      <c r="L3717" s="97">
        <v>0</v>
      </c>
      <c r="M3717" s="73" t="s">
        <v>3925</v>
      </c>
      <c r="N3717" s="99">
        <f t="shared" si="88"/>
        <v>94.73</v>
      </c>
    </row>
    <row r="3718" spans="1:14">
      <c r="A3718" s="12">
        <v>3717</v>
      </c>
      <c r="B3718" s="71" t="s">
        <v>557</v>
      </c>
      <c r="C3718" s="42" t="s">
        <v>558</v>
      </c>
      <c r="D3718" s="71" t="s">
        <v>5335</v>
      </c>
      <c r="E3718" s="72" t="s">
        <v>4279</v>
      </c>
      <c r="F3718" s="72">
        <v>3188.68</v>
      </c>
      <c r="G3718" s="73" t="s">
        <v>64</v>
      </c>
      <c r="H3718" s="89" t="s">
        <v>847</v>
      </c>
      <c r="I3718" s="72">
        <v>0</v>
      </c>
      <c r="J3718" s="72">
        <v>0</v>
      </c>
      <c r="K3718" s="72">
        <v>486.41</v>
      </c>
      <c r="L3718" s="97">
        <v>0</v>
      </c>
      <c r="M3718" s="73" t="s">
        <v>3925</v>
      </c>
      <c r="N3718" s="99">
        <f t="shared" si="88"/>
        <v>486.41</v>
      </c>
    </row>
    <row r="3719" spans="1:14">
      <c r="A3719" s="12">
        <v>3718</v>
      </c>
      <c r="B3719" s="71" t="s">
        <v>557</v>
      </c>
      <c r="C3719" s="42" t="s">
        <v>558</v>
      </c>
      <c r="D3719" s="71" t="s">
        <v>5336</v>
      </c>
      <c r="E3719" s="72" t="s">
        <v>5337</v>
      </c>
      <c r="F3719" s="72">
        <v>811.32</v>
      </c>
      <c r="G3719" s="73" t="s">
        <v>64</v>
      </c>
      <c r="H3719" s="89" t="s">
        <v>847</v>
      </c>
      <c r="I3719" s="72">
        <v>0</v>
      </c>
      <c r="J3719" s="72">
        <v>0</v>
      </c>
      <c r="K3719" s="72">
        <v>123.76</v>
      </c>
      <c r="L3719" s="97">
        <v>0</v>
      </c>
      <c r="M3719" s="73" t="s">
        <v>3925</v>
      </c>
      <c r="N3719" s="99">
        <f t="shared" si="88"/>
        <v>123.76</v>
      </c>
    </row>
    <row r="3720" spans="1:14">
      <c r="A3720" s="12">
        <v>3719</v>
      </c>
      <c r="B3720" s="71" t="s">
        <v>557</v>
      </c>
      <c r="C3720" s="42" t="s">
        <v>558</v>
      </c>
      <c r="D3720" s="71" t="s">
        <v>5338</v>
      </c>
      <c r="E3720" s="72" t="s">
        <v>4232</v>
      </c>
      <c r="F3720" s="72">
        <v>1227.98</v>
      </c>
      <c r="G3720" s="73" t="s">
        <v>64</v>
      </c>
      <c r="H3720" s="89" t="s">
        <v>847</v>
      </c>
      <c r="I3720" s="72">
        <v>0</v>
      </c>
      <c r="J3720" s="72">
        <v>0</v>
      </c>
      <c r="K3720" s="72">
        <v>187.32</v>
      </c>
      <c r="L3720" s="97">
        <v>0</v>
      </c>
      <c r="M3720" s="73" t="s">
        <v>3925</v>
      </c>
      <c r="N3720" s="99">
        <f t="shared" si="88"/>
        <v>187.32</v>
      </c>
    </row>
    <row r="3721" spans="1:14">
      <c r="A3721" s="12">
        <v>3720</v>
      </c>
      <c r="B3721" s="71" t="s">
        <v>557</v>
      </c>
      <c r="C3721" s="42" t="s">
        <v>558</v>
      </c>
      <c r="D3721" s="71" t="s">
        <v>5339</v>
      </c>
      <c r="E3721" s="72" t="s">
        <v>4200</v>
      </c>
      <c r="F3721" s="72">
        <v>1289.6099999999999</v>
      </c>
      <c r="G3721" s="73" t="s">
        <v>64</v>
      </c>
      <c r="H3721" s="89" t="s">
        <v>847</v>
      </c>
      <c r="I3721" s="72">
        <v>0</v>
      </c>
      <c r="J3721" s="72">
        <v>0</v>
      </c>
      <c r="K3721" s="72">
        <v>196.72</v>
      </c>
      <c r="L3721" s="97">
        <v>0</v>
      </c>
      <c r="M3721" s="73" t="s">
        <v>3925</v>
      </c>
      <c r="N3721" s="99">
        <f t="shared" si="88"/>
        <v>196.72</v>
      </c>
    </row>
    <row r="3722" spans="1:14">
      <c r="A3722" s="12">
        <v>3721</v>
      </c>
      <c r="B3722" s="71" t="s">
        <v>557</v>
      </c>
      <c r="C3722" s="42" t="s">
        <v>558</v>
      </c>
      <c r="D3722" s="71" t="s">
        <v>5340</v>
      </c>
      <c r="E3722" s="72" t="s">
        <v>4200</v>
      </c>
      <c r="F3722" s="72">
        <v>1.99</v>
      </c>
      <c r="G3722" s="73" t="s">
        <v>64</v>
      </c>
      <c r="H3722" s="89" t="s">
        <v>847</v>
      </c>
      <c r="I3722" s="72">
        <v>0</v>
      </c>
      <c r="J3722" s="72">
        <v>0</v>
      </c>
      <c r="K3722" s="72">
        <v>0.3</v>
      </c>
      <c r="L3722" s="97">
        <v>0</v>
      </c>
      <c r="M3722" s="73" t="s">
        <v>3925</v>
      </c>
      <c r="N3722" s="99">
        <f t="shared" si="88"/>
        <v>0.3</v>
      </c>
    </row>
    <row r="3723" spans="1:14">
      <c r="A3723" s="12">
        <v>3722</v>
      </c>
      <c r="B3723" s="71" t="s">
        <v>557</v>
      </c>
      <c r="C3723" s="42" t="s">
        <v>558</v>
      </c>
      <c r="D3723" s="71" t="s">
        <v>5341</v>
      </c>
      <c r="E3723" s="72" t="s">
        <v>4268</v>
      </c>
      <c r="F3723" s="72">
        <v>1291.83</v>
      </c>
      <c r="G3723" s="73" t="s">
        <v>64</v>
      </c>
      <c r="H3723" s="89" t="s">
        <v>847</v>
      </c>
      <c r="I3723" s="72">
        <v>0</v>
      </c>
      <c r="J3723" s="72">
        <v>0</v>
      </c>
      <c r="K3723" s="72">
        <v>197.06</v>
      </c>
      <c r="L3723" s="97">
        <v>0</v>
      </c>
      <c r="M3723" s="73" t="s">
        <v>3925</v>
      </c>
      <c r="N3723" s="99">
        <f t="shared" si="88"/>
        <v>197.06</v>
      </c>
    </row>
    <row r="3724" spans="1:14">
      <c r="A3724" s="12">
        <v>3723</v>
      </c>
      <c r="B3724" s="71" t="s">
        <v>557</v>
      </c>
      <c r="C3724" s="42" t="s">
        <v>558</v>
      </c>
      <c r="D3724" s="71" t="s">
        <v>5342</v>
      </c>
      <c r="E3724" s="72" t="s">
        <v>17</v>
      </c>
      <c r="F3724" s="72">
        <v>1188.5899999999999</v>
      </c>
      <c r="G3724" s="73" t="s">
        <v>64</v>
      </c>
      <c r="H3724" s="89" t="s">
        <v>847</v>
      </c>
      <c r="I3724" s="72">
        <v>0</v>
      </c>
      <c r="J3724" s="72">
        <v>0</v>
      </c>
      <c r="K3724" s="72">
        <v>181.31</v>
      </c>
      <c r="L3724" s="97">
        <v>0</v>
      </c>
      <c r="M3724" s="73" t="s">
        <v>3925</v>
      </c>
      <c r="N3724" s="99">
        <f t="shared" si="88"/>
        <v>181.31</v>
      </c>
    </row>
    <row r="3725" spans="1:14">
      <c r="A3725" s="12">
        <v>3724</v>
      </c>
      <c r="B3725" s="71" t="s">
        <v>5343</v>
      </c>
      <c r="C3725" s="42" t="s">
        <v>5344</v>
      </c>
      <c r="D3725" s="71" t="s">
        <v>5345</v>
      </c>
      <c r="E3725" s="72" t="s">
        <v>4101</v>
      </c>
      <c r="F3725" s="72">
        <v>62366</v>
      </c>
      <c r="G3725" s="74" t="s">
        <v>64</v>
      </c>
      <c r="H3725" s="101" t="s">
        <v>3235</v>
      </c>
      <c r="I3725" s="72">
        <v>3995.76</v>
      </c>
      <c r="J3725" s="72">
        <v>3995.76</v>
      </c>
      <c r="K3725" s="72">
        <v>0</v>
      </c>
      <c r="L3725" s="97">
        <v>0</v>
      </c>
      <c r="M3725" s="74" t="s">
        <v>157</v>
      </c>
      <c r="N3725" s="99">
        <f t="shared" si="88"/>
        <v>0</v>
      </c>
    </row>
    <row r="3726" spans="1:14">
      <c r="A3726" s="12">
        <v>3725</v>
      </c>
      <c r="B3726" s="71" t="s">
        <v>5088</v>
      </c>
      <c r="C3726" s="42" t="s">
        <v>5089</v>
      </c>
      <c r="D3726" s="71" t="s">
        <v>5346</v>
      </c>
      <c r="E3726" s="72" t="s">
        <v>401</v>
      </c>
      <c r="F3726" s="72">
        <v>3046.69</v>
      </c>
      <c r="G3726" s="73" t="s">
        <v>64</v>
      </c>
      <c r="H3726" s="73">
        <v>997119</v>
      </c>
      <c r="I3726" s="72">
        <v>0</v>
      </c>
      <c r="J3726" s="72">
        <v>0</v>
      </c>
      <c r="K3726" s="72">
        <v>464.75</v>
      </c>
      <c r="L3726" s="97">
        <v>0</v>
      </c>
      <c r="M3726" s="73" t="s">
        <v>3925</v>
      </c>
      <c r="N3726" s="99">
        <f t="shared" si="88"/>
        <v>464.75</v>
      </c>
    </row>
    <row r="3727" spans="1:14">
      <c r="A3727" s="12">
        <v>3726</v>
      </c>
      <c r="B3727" s="71" t="s">
        <v>5094</v>
      </c>
      <c r="C3727" s="42" t="s">
        <v>5095</v>
      </c>
      <c r="D3727" s="71" t="s">
        <v>5347</v>
      </c>
      <c r="E3727" s="72" t="s">
        <v>4209</v>
      </c>
      <c r="F3727" s="72">
        <v>21280</v>
      </c>
      <c r="G3727" s="73" t="s">
        <v>182</v>
      </c>
      <c r="H3727" s="73">
        <v>9403</v>
      </c>
      <c r="I3727" s="72">
        <v>0</v>
      </c>
      <c r="J3727" s="72">
        <v>0</v>
      </c>
      <c r="K3727" s="72">
        <v>2280</v>
      </c>
      <c r="L3727" s="97">
        <v>0</v>
      </c>
      <c r="M3727" s="73" t="s">
        <v>3925</v>
      </c>
      <c r="N3727" s="99">
        <f t="shared" si="88"/>
        <v>2280</v>
      </c>
    </row>
    <row r="3728" spans="1:14">
      <c r="A3728" s="12">
        <v>3727</v>
      </c>
      <c r="B3728" s="71" t="s">
        <v>5094</v>
      </c>
      <c r="C3728" s="42" t="s">
        <v>5095</v>
      </c>
      <c r="D3728" s="71" t="s">
        <v>5348</v>
      </c>
      <c r="E3728" s="72" t="s">
        <v>4212</v>
      </c>
      <c r="F3728" s="72">
        <v>16800</v>
      </c>
      <c r="G3728" s="73" t="s">
        <v>182</v>
      </c>
      <c r="H3728" s="73">
        <v>9403</v>
      </c>
      <c r="I3728" s="72">
        <v>0</v>
      </c>
      <c r="J3728" s="72">
        <v>0</v>
      </c>
      <c r="K3728" s="72">
        <v>1800</v>
      </c>
      <c r="L3728" s="97">
        <v>0</v>
      </c>
      <c r="M3728" s="73" t="s">
        <v>3925</v>
      </c>
      <c r="N3728" s="99">
        <f t="shared" si="88"/>
        <v>1800</v>
      </c>
    </row>
    <row r="3729" spans="1:14">
      <c r="A3729" s="12">
        <v>3728</v>
      </c>
      <c r="B3729" s="71" t="s">
        <v>5094</v>
      </c>
      <c r="C3729" s="42" t="s">
        <v>5095</v>
      </c>
      <c r="D3729" s="71" t="s">
        <v>5349</v>
      </c>
      <c r="E3729" s="72" t="s">
        <v>1175</v>
      </c>
      <c r="F3729" s="72">
        <v>10976</v>
      </c>
      <c r="G3729" s="73" t="s">
        <v>182</v>
      </c>
      <c r="H3729" s="73">
        <v>9403</v>
      </c>
      <c r="I3729" s="72">
        <v>0</v>
      </c>
      <c r="J3729" s="72">
        <v>0</v>
      </c>
      <c r="K3729" s="72">
        <v>1176</v>
      </c>
      <c r="L3729" s="97">
        <v>0</v>
      </c>
      <c r="M3729" s="73" t="s">
        <v>3925</v>
      </c>
      <c r="N3729" s="99">
        <f t="shared" si="88"/>
        <v>1176</v>
      </c>
    </row>
    <row r="3730" spans="1:14">
      <c r="A3730" s="12">
        <v>3729</v>
      </c>
      <c r="B3730" s="71" t="s">
        <v>5094</v>
      </c>
      <c r="C3730" s="42" t="s">
        <v>5095</v>
      </c>
      <c r="D3730" s="71" t="s">
        <v>5350</v>
      </c>
      <c r="E3730" s="72" t="s">
        <v>4221</v>
      </c>
      <c r="F3730" s="72">
        <v>22400</v>
      </c>
      <c r="G3730" s="73" t="s">
        <v>182</v>
      </c>
      <c r="H3730" s="73">
        <v>9403</v>
      </c>
      <c r="I3730" s="72">
        <v>0</v>
      </c>
      <c r="J3730" s="72">
        <v>0</v>
      </c>
      <c r="K3730" s="72">
        <v>2400</v>
      </c>
      <c r="L3730" s="97">
        <v>0</v>
      </c>
      <c r="M3730" s="73" t="s">
        <v>3925</v>
      </c>
      <c r="N3730" s="99">
        <f t="shared" si="88"/>
        <v>2400</v>
      </c>
    </row>
    <row r="3731" spans="1:14">
      <c r="A3731" s="12">
        <v>3730</v>
      </c>
      <c r="B3731" s="71" t="s">
        <v>5094</v>
      </c>
      <c r="C3731" s="42" t="s">
        <v>5095</v>
      </c>
      <c r="D3731" s="71" t="s">
        <v>5351</v>
      </c>
      <c r="E3731" s="72" t="s">
        <v>4253</v>
      </c>
      <c r="F3731" s="72">
        <v>21840</v>
      </c>
      <c r="G3731" s="73" t="s">
        <v>182</v>
      </c>
      <c r="H3731" s="73">
        <v>9403</v>
      </c>
      <c r="I3731" s="72">
        <v>0</v>
      </c>
      <c r="J3731" s="72">
        <v>0</v>
      </c>
      <c r="K3731" s="72">
        <v>2340</v>
      </c>
      <c r="L3731" s="97">
        <v>0</v>
      </c>
      <c r="M3731" s="73" t="s">
        <v>3925</v>
      </c>
      <c r="N3731" s="99">
        <f t="shared" si="88"/>
        <v>2340</v>
      </c>
    </row>
    <row r="3732" spans="1:14">
      <c r="A3732" s="12">
        <v>3731</v>
      </c>
      <c r="B3732" s="71" t="s">
        <v>5094</v>
      </c>
      <c r="C3732" s="42" t="s">
        <v>5095</v>
      </c>
      <c r="D3732" s="71" t="s">
        <v>5352</v>
      </c>
      <c r="E3732" s="72" t="s">
        <v>424</v>
      </c>
      <c r="F3732" s="72">
        <v>63130</v>
      </c>
      <c r="G3732" s="73" t="s">
        <v>182</v>
      </c>
      <c r="H3732" s="73">
        <v>9403</v>
      </c>
      <c r="I3732" s="72">
        <v>0</v>
      </c>
      <c r="J3732" s="72">
        <v>0</v>
      </c>
      <c r="K3732" s="72">
        <v>9630</v>
      </c>
      <c r="L3732" s="97">
        <v>0</v>
      </c>
      <c r="M3732" s="73" t="s">
        <v>3925</v>
      </c>
      <c r="N3732" s="99">
        <f t="shared" si="88"/>
        <v>9630</v>
      </c>
    </row>
    <row r="3733" spans="1:14">
      <c r="A3733" s="12">
        <v>3732</v>
      </c>
      <c r="B3733" s="71" t="s">
        <v>3936</v>
      </c>
      <c r="C3733" s="42" t="s">
        <v>3937</v>
      </c>
      <c r="D3733" s="71" t="s">
        <v>5353</v>
      </c>
      <c r="E3733" s="72" t="s">
        <v>4103</v>
      </c>
      <c r="F3733" s="72">
        <v>5.9</v>
      </c>
      <c r="G3733" s="73" t="s">
        <v>64</v>
      </c>
      <c r="H3733" s="73">
        <v>9971</v>
      </c>
      <c r="I3733" s="72">
        <v>0.45</v>
      </c>
      <c r="J3733" s="72">
        <v>0.45</v>
      </c>
      <c r="K3733" s="72">
        <v>0</v>
      </c>
      <c r="L3733" s="97">
        <v>0</v>
      </c>
      <c r="M3733" s="73" t="s">
        <v>3925</v>
      </c>
      <c r="N3733" s="99">
        <f t="shared" si="88"/>
        <v>0.9</v>
      </c>
    </row>
    <row r="3734" spans="1:14">
      <c r="A3734" s="12">
        <v>3733</v>
      </c>
      <c r="B3734" s="71" t="s">
        <v>3936</v>
      </c>
      <c r="C3734" s="42" t="s">
        <v>3937</v>
      </c>
      <c r="D3734" s="71" t="s">
        <v>5354</v>
      </c>
      <c r="E3734" s="72" t="s">
        <v>5355</v>
      </c>
      <c r="F3734" s="72">
        <v>5.9</v>
      </c>
      <c r="G3734" s="73" t="s">
        <v>64</v>
      </c>
      <c r="H3734" s="73">
        <v>9971</v>
      </c>
      <c r="I3734" s="72">
        <v>0.45</v>
      </c>
      <c r="J3734" s="72">
        <v>0.45</v>
      </c>
      <c r="K3734" s="72">
        <v>0</v>
      </c>
      <c r="L3734" s="97">
        <v>0</v>
      </c>
      <c r="M3734" s="73" t="s">
        <v>3925</v>
      </c>
      <c r="N3734" s="99">
        <f t="shared" si="88"/>
        <v>0.9</v>
      </c>
    </row>
    <row r="3735" spans="1:14">
      <c r="A3735" s="12">
        <v>3734</v>
      </c>
      <c r="B3735" s="71" t="s">
        <v>3936</v>
      </c>
      <c r="C3735" s="42" t="s">
        <v>3937</v>
      </c>
      <c r="D3735" s="71" t="s">
        <v>5356</v>
      </c>
      <c r="E3735" s="72" t="s">
        <v>4083</v>
      </c>
      <c r="F3735" s="72">
        <v>5.9</v>
      </c>
      <c r="G3735" s="73" t="s">
        <v>64</v>
      </c>
      <c r="H3735" s="73">
        <v>9971</v>
      </c>
      <c r="I3735" s="72">
        <v>0.45</v>
      </c>
      <c r="J3735" s="72">
        <v>0.45</v>
      </c>
      <c r="K3735" s="72">
        <v>0</v>
      </c>
      <c r="L3735" s="97">
        <v>0</v>
      </c>
      <c r="M3735" s="73" t="s">
        <v>3925</v>
      </c>
      <c r="N3735" s="99">
        <f t="shared" si="88"/>
        <v>0.9</v>
      </c>
    </row>
    <row r="3736" spans="1:14">
      <c r="A3736" s="12">
        <v>3735</v>
      </c>
      <c r="B3736" s="71" t="s">
        <v>3936</v>
      </c>
      <c r="C3736" s="42" t="s">
        <v>3937</v>
      </c>
      <c r="D3736" s="71" t="s">
        <v>5357</v>
      </c>
      <c r="E3736" s="72" t="s">
        <v>4143</v>
      </c>
      <c r="F3736" s="72">
        <v>5.9</v>
      </c>
      <c r="G3736" s="73" t="s">
        <v>64</v>
      </c>
      <c r="H3736" s="73">
        <v>9971</v>
      </c>
      <c r="I3736" s="72">
        <v>0.45</v>
      </c>
      <c r="J3736" s="72">
        <v>0.45</v>
      </c>
      <c r="K3736" s="72">
        <v>0</v>
      </c>
      <c r="L3736" s="97">
        <v>0</v>
      </c>
      <c r="M3736" s="73" t="s">
        <v>3925</v>
      </c>
      <c r="N3736" s="99">
        <f t="shared" si="88"/>
        <v>0.9</v>
      </c>
    </row>
    <row r="3737" spans="1:14">
      <c r="A3737" s="12">
        <v>3736</v>
      </c>
      <c r="B3737" s="71" t="s">
        <v>3936</v>
      </c>
      <c r="C3737" s="42" t="s">
        <v>3937</v>
      </c>
      <c r="D3737" s="71" t="s">
        <v>5358</v>
      </c>
      <c r="E3737" s="72" t="s">
        <v>683</v>
      </c>
      <c r="F3737" s="72">
        <v>5.9</v>
      </c>
      <c r="G3737" s="73" t="s">
        <v>64</v>
      </c>
      <c r="H3737" s="73">
        <v>9971</v>
      </c>
      <c r="I3737" s="72">
        <v>0.45</v>
      </c>
      <c r="J3737" s="72">
        <v>0.45</v>
      </c>
      <c r="K3737" s="72">
        <v>0</v>
      </c>
      <c r="L3737" s="97">
        <v>0</v>
      </c>
      <c r="M3737" s="73" t="s">
        <v>3925</v>
      </c>
      <c r="N3737" s="99">
        <f t="shared" si="88"/>
        <v>0.9</v>
      </c>
    </row>
    <row r="3738" spans="1:14">
      <c r="A3738" s="12">
        <v>3737</v>
      </c>
      <c r="B3738" s="71" t="s">
        <v>3936</v>
      </c>
      <c r="C3738" s="42" t="s">
        <v>3937</v>
      </c>
      <c r="D3738" s="71" t="s">
        <v>5359</v>
      </c>
      <c r="E3738" s="72" t="s">
        <v>4066</v>
      </c>
      <c r="F3738" s="72">
        <v>5.9</v>
      </c>
      <c r="G3738" s="73" t="s">
        <v>64</v>
      </c>
      <c r="H3738" s="73">
        <v>9971</v>
      </c>
      <c r="I3738" s="72">
        <v>0.45</v>
      </c>
      <c r="J3738" s="72">
        <v>0.45</v>
      </c>
      <c r="K3738" s="72">
        <v>0</v>
      </c>
      <c r="L3738" s="97">
        <v>0</v>
      </c>
      <c r="M3738" s="73" t="s">
        <v>3925</v>
      </c>
      <c r="N3738" s="99">
        <f t="shared" si="88"/>
        <v>0.9</v>
      </c>
    </row>
    <row r="3739" spans="1:14">
      <c r="A3739" s="12">
        <v>3738</v>
      </c>
      <c r="B3739" s="71" t="s">
        <v>3936</v>
      </c>
      <c r="C3739" s="42" t="s">
        <v>3937</v>
      </c>
      <c r="D3739" s="71" t="s">
        <v>5360</v>
      </c>
      <c r="E3739" s="72" t="s">
        <v>685</v>
      </c>
      <c r="F3739" s="72">
        <v>5.9</v>
      </c>
      <c r="G3739" s="73" t="s">
        <v>64</v>
      </c>
      <c r="H3739" s="73">
        <v>9971</v>
      </c>
      <c r="I3739" s="72">
        <v>0.45</v>
      </c>
      <c r="J3739" s="72">
        <v>0.45</v>
      </c>
      <c r="K3739" s="72">
        <v>0</v>
      </c>
      <c r="L3739" s="97">
        <v>0</v>
      </c>
      <c r="M3739" s="73" t="s">
        <v>3925</v>
      </c>
      <c r="N3739" s="99">
        <f t="shared" si="88"/>
        <v>0.9</v>
      </c>
    </row>
    <row r="3740" spans="1:14">
      <c r="A3740" s="12">
        <v>3739</v>
      </c>
      <c r="B3740" s="71" t="s">
        <v>3936</v>
      </c>
      <c r="C3740" s="42" t="s">
        <v>3937</v>
      </c>
      <c r="D3740" s="71" t="s">
        <v>5361</v>
      </c>
      <c r="E3740" s="72" t="s">
        <v>5362</v>
      </c>
      <c r="F3740" s="72">
        <v>5.9</v>
      </c>
      <c r="G3740" s="73" t="s">
        <v>64</v>
      </c>
      <c r="H3740" s="73">
        <v>9971</v>
      </c>
      <c r="I3740" s="72">
        <v>0.45</v>
      </c>
      <c r="J3740" s="72">
        <v>0.45</v>
      </c>
      <c r="K3740" s="72">
        <v>0</v>
      </c>
      <c r="L3740" s="97">
        <v>0</v>
      </c>
      <c r="M3740" s="73" t="s">
        <v>3925</v>
      </c>
      <c r="N3740" s="99">
        <f t="shared" si="88"/>
        <v>0.9</v>
      </c>
    </row>
    <row r="3741" spans="1:14">
      <c r="A3741" s="12">
        <v>3740</v>
      </c>
      <c r="B3741" s="71" t="s">
        <v>3936</v>
      </c>
      <c r="C3741" s="42" t="s">
        <v>3937</v>
      </c>
      <c r="D3741" s="71" t="s">
        <v>5363</v>
      </c>
      <c r="E3741" s="72" t="s">
        <v>5364</v>
      </c>
      <c r="F3741" s="72">
        <v>5.9</v>
      </c>
      <c r="G3741" s="73" t="s">
        <v>64</v>
      </c>
      <c r="H3741" s="73">
        <v>9971</v>
      </c>
      <c r="I3741" s="72">
        <v>0.45</v>
      </c>
      <c r="J3741" s="72">
        <v>0.45</v>
      </c>
      <c r="K3741" s="72">
        <v>0</v>
      </c>
      <c r="L3741" s="97">
        <v>0</v>
      </c>
      <c r="M3741" s="73" t="s">
        <v>3925</v>
      </c>
      <c r="N3741" s="99">
        <f t="shared" si="88"/>
        <v>0.9</v>
      </c>
    </row>
    <row r="3742" spans="1:14">
      <c r="A3742" s="12">
        <v>3741</v>
      </c>
      <c r="B3742" s="71" t="s">
        <v>3936</v>
      </c>
      <c r="C3742" s="42" t="s">
        <v>3937</v>
      </c>
      <c r="D3742" s="71" t="s">
        <v>5365</v>
      </c>
      <c r="E3742" s="72" t="s">
        <v>4152</v>
      </c>
      <c r="F3742" s="72">
        <v>7540.2</v>
      </c>
      <c r="G3742" s="73" t="s">
        <v>64</v>
      </c>
      <c r="H3742" s="73">
        <v>9971</v>
      </c>
      <c r="I3742" s="72">
        <v>575.1</v>
      </c>
      <c r="J3742" s="72">
        <v>575.1</v>
      </c>
      <c r="K3742" s="72">
        <v>0</v>
      </c>
      <c r="L3742" s="97">
        <v>0</v>
      </c>
      <c r="M3742" s="73" t="s">
        <v>3925</v>
      </c>
      <c r="N3742" s="99">
        <f t="shared" si="88"/>
        <v>1150.2</v>
      </c>
    </row>
    <row r="3743" spans="1:14">
      <c r="A3743" s="12">
        <v>3742</v>
      </c>
      <c r="B3743" s="71" t="s">
        <v>1759</v>
      </c>
      <c r="C3743" s="42" t="s">
        <v>1760</v>
      </c>
      <c r="D3743" s="71" t="s">
        <v>5366</v>
      </c>
      <c r="E3743" s="72" t="s">
        <v>432</v>
      </c>
      <c r="F3743" s="72">
        <v>3379.92</v>
      </c>
      <c r="G3743" s="73" t="s">
        <v>64</v>
      </c>
      <c r="H3743" s="89" t="s">
        <v>561</v>
      </c>
      <c r="I3743" s="72">
        <v>0</v>
      </c>
      <c r="J3743" s="72">
        <v>0</v>
      </c>
      <c r="K3743" s="72">
        <v>515.58000000000004</v>
      </c>
      <c r="L3743" s="97">
        <v>0</v>
      </c>
      <c r="M3743" s="73" t="s">
        <v>3925</v>
      </c>
      <c r="N3743" s="99">
        <f t="shared" si="88"/>
        <v>515.58000000000004</v>
      </c>
    </row>
    <row r="3744" spans="1:14">
      <c r="A3744" s="12">
        <v>3743</v>
      </c>
      <c r="B3744" s="71" t="s">
        <v>2573</v>
      </c>
      <c r="C3744" s="42" t="s">
        <v>2574</v>
      </c>
      <c r="D3744" s="71" t="s">
        <v>5367</v>
      </c>
      <c r="E3744" s="72" t="s">
        <v>432</v>
      </c>
      <c r="F3744" s="72">
        <v>73490</v>
      </c>
      <c r="G3744" s="73" t="s">
        <v>632</v>
      </c>
      <c r="H3744" s="74">
        <v>85287217</v>
      </c>
      <c r="I3744" s="72">
        <v>5605.18</v>
      </c>
      <c r="J3744" s="72">
        <v>5605.18</v>
      </c>
      <c r="K3744" s="72">
        <v>0</v>
      </c>
      <c r="L3744" s="97">
        <v>0</v>
      </c>
      <c r="M3744" s="73" t="s">
        <v>4847</v>
      </c>
      <c r="N3744" s="99">
        <f t="shared" si="88"/>
        <v>0</v>
      </c>
    </row>
    <row r="3745" spans="1:14">
      <c r="A3745" s="12">
        <v>3744</v>
      </c>
      <c r="B3745" s="71" t="s">
        <v>2573</v>
      </c>
      <c r="C3745" s="42" t="s">
        <v>2574</v>
      </c>
      <c r="D3745" s="71" t="s">
        <v>5368</v>
      </c>
      <c r="E3745" s="72" t="s">
        <v>4279</v>
      </c>
      <c r="F3745" s="72">
        <v>40940.9</v>
      </c>
      <c r="G3745" s="73" t="s">
        <v>632</v>
      </c>
      <c r="H3745" s="74">
        <v>85287217</v>
      </c>
      <c r="I3745" s="72">
        <v>4477.91</v>
      </c>
      <c r="J3745" s="72">
        <v>4477.91</v>
      </c>
      <c r="K3745" s="72">
        <v>0</v>
      </c>
      <c r="L3745" s="97">
        <v>0</v>
      </c>
      <c r="M3745" s="73" t="s">
        <v>4847</v>
      </c>
      <c r="N3745" s="99">
        <f t="shared" si="88"/>
        <v>0</v>
      </c>
    </row>
    <row r="3746" spans="1:14">
      <c r="A3746" s="12">
        <v>3745</v>
      </c>
      <c r="B3746" s="71" t="s">
        <v>3936</v>
      </c>
      <c r="C3746" s="42" t="s">
        <v>3937</v>
      </c>
      <c r="D3746" s="71" t="s">
        <v>5369</v>
      </c>
      <c r="E3746" s="72" t="s">
        <v>5370</v>
      </c>
      <c r="F3746" s="72">
        <v>5.9</v>
      </c>
      <c r="G3746" s="73" t="s">
        <v>64</v>
      </c>
      <c r="H3746" s="73">
        <v>9971</v>
      </c>
      <c r="I3746" s="72">
        <v>0.45</v>
      </c>
      <c r="J3746" s="72">
        <v>0.45</v>
      </c>
      <c r="K3746" s="72">
        <v>0</v>
      </c>
      <c r="L3746" s="97">
        <v>0</v>
      </c>
      <c r="M3746" s="73" t="s">
        <v>3925</v>
      </c>
      <c r="N3746" s="99">
        <f t="shared" si="88"/>
        <v>0.9</v>
      </c>
    </row>
    <row r="3747" spans="1:14">
      <c r="A3747" s="12">
        <v>3746</v>
      </c>
      <c r="B3747" s="71" t="s">
        <v>3936</v>
      </c>
      <c r="C3747" s="42" t="s">
        <v>3937</v>
      </c>
      <c r="D3747" s="71" t="s">
        <v>5371</v>
      </c>
      <c r="E3747" s="72" t="s">
        <v>4253</v>
      </c>
      <c r="F3747" s="72">
        <v>5.9</v>
      </c>
      <c r="G3747" s="73" t="s">
        <v>64</v>
      </c>
      <c r="H3747" s="73">
        <v>9971</v>
      </c>
      <c r="I3747" s="72">
        <v>0.45</v>
      </c>
      <c r="J3747" s="72">
        <v>0.45</v>
      </c>
      <c r="K3747" s="72">
        <v>0</v>
      </c>
      <c r="L3747" s="97">
        <v>0</v>
      </c>
      <c r="M3747" s="73" t="s">
        <v>3925</v>
      </c>
      <c r="N3747" s="99">
        <f t="shared" si="88"/>
        <v>0.9</v>
      </c>
    </row>
    <row r="3748" spans="1:14">
      <c r="A3748" s="12">
        <v>3747</v>
      </c>
      <c r="B3748" s="71" t="s">
        <v>3936</v>
      </c>
      <c r="C3748" s="42" t="s">
        <v>3937</v>
      </c>
      <c r="D3748" s="71" t="s">
        <v>5372</v>
      </c>
      <c r="E3748" s="72" t="s">
        <v>4227</v>
      </c>
      <c r="F3748" s="72">
        <v>5.9</v>
      </c>
      <c r="G3748" s="73" t="s">
        <v>64</v>
      </c>
      <c r="H3748" s="73">
        <v>9971</v>
      </c>
      <c r="I3748" s="72">
        <v>0.45</v>
      </c>
      <c r="J3748" s="72">
        <v>0.45</v>
      </c>
      <c r="K3748" s="72">
        <v>0</v>
      </c>
      <c r="L3748" s="97">
        <v>0</v>
      </c>
      <c r="M3748" s="73" t="s">
        <v>3925</v>
      </c>
      <c r="N3748" s="99">
        <f t="shared" si="88"/>
        <v>0.9</v>
      </c>
    </row>
    <row r="3749" spans="1:14">
      <c r="A3749" s="12">
        <v>3748</v>
      </c>
      <c r="B3749" s="71" t="s">
        <v>3936</v>
      </c>
      <c r="C3749" s="42" t="s">
        <v>3937</v>
      </c>
      <c r="D3749" s="71" t="s">
        <v>5373</v>
      </c>
      <c r="E3749" s="72" t="s">
        <v>424</v>
      </c>
      <c r="F3749" s="72">
        <v>5.9</v>
      </c>
      <c r="G3749" s="73" t="s">
        <v>64</v>
      </c>
      <c r="H3749" s="73">
        <v>9971</v>
      </c>
      <c r="I3749" s="72">
        <v>0.45</v>
      </c>
      <c r="J3749" s="72">
        <v>0.45</v>
      </c>
      <c r="K3749" s="72">
        <v>0</v>
      </c>
      <c r="L3749" s="97">
        <v>0</v>
      </c>
      <c r="M3749" s="73" t="s">
        <v>3925</v>
      </c>
      <c r="N3749" s="99">
        <f t="shared" si="88"/>
        <v>0.9</v>
      </c>
    </row>
    <row r="3750" spans="1:14">
      <c r="A3750" s="12">
        <v>3749</v>
      </c>
      <c r="B3750" s="71" t="s">
        <v>3936</v>
      </c>
      <c r="C3750" s="42" t="s">
        <v>3937</v>
      </c>
      <c r="D3750" s="71" t="s">
        <v>5374</v>
      </c>
      <c r="E3750" s="72" t="s">
        <v>4230</v>
      </c>
      <c r="F3750" s="72">
        <v>7729</v>
      </c>
      <c r="G3750" s="73" t="s">
        <v>64</v>
      </c>
      <c r="H3750" s="73">
        <v>9971</v>
      </c>
      <c r="I3750" s="72">
        <v>589.5</v>
      </c>
      <c r="J3750" s="72">
        <v>589.5</v>
      </c>
      <c r="K3750" s="72">
        <v>0</v>
      </c>
      <c r="L3750" s="97">
        <v>0</v>
      </c>
      <c r="M3750" s="73" t="s">
        <v>3925</v>
      </c>
      <c r="N3750" s="99">
        <f t="shared" si="88"/>
        <v>1179</v>
      </c>
    </row>
    <row r="3751" spans="1:14">
      <c r="A3751" s="12">
        <v>3750</v>
      </c>
      <c r="B3751" s="71" t="s">
        <v>3936</v>
      </c>
      <c r="C3751" s="42" t="s">
        <v>3937</v>
      </c>
      <c r="D3751" s="71" t="s">
        <v>5375</v>
      </c>
      <c r="E3751" s="72" t="s">
        <v>4241</v>
      </c>
      <c r="F3751" s="72">
        <v>5.9</v>
      </c>
      <c r="G3751" s="73" t="s">
        <v>64</v>
      </c>
      <c r="H3751" s="73">
        <v>9971</v>
      </c>
      <c r="I3751" s="72">
        <v>0.45</v>
      </c>
      <c r="J3751" s="72">
        <v>0.45</v>
      </c>
      <c r="K3751" s="72">
        <v>0</v>
      </c>
      <c r="L3751" s="97">
        <v>0</v>
      </c>
      <c r="M3751" s="73" t="s">
        <v>3925</v>
      </c>
      <c r="N3751" s="99">
        <f t="shared" si="88"/>
        <v>0.9</v>
      </c>
    </row>
    <row r="3752" spans="1:14">
      <c r="A3752" s="12">
        <v>3751</v>
      </c>
      <c r="B3752" s="71" t="s">
        <v>3936</v>
      </c>
      <c r="C3752" s="42" t="s">
        <v>3937</v>
      </c>
      <c r="D3752" s="71" t="s">
        <v>5376</v>
      </c>
      <c r="E3752" s="72" t="s">
        <v>5377</v>
      </c>
      <c r="F3752" s="72">
        <v>5.9</v>
      </c>
      <c r="G3752" s="73" t="s">
        <v>64</v>
      </c>
      <c r="H3752" s="73">
        <v>9971</v>
      </c>
      <c r="I3752" s="72">
        <v>0.45</v>
      </c>
      <c r="J3752" s="72">
        <v>0.45</v>
      </c>
      <c r="K3752" s="72">
        <v>0</v>
      </c>
      <c r="L3752" s="97">
        <v>0</v>
      </c>
      <c r="M3752" s="73" t="s">
        <v>3925</v>
      </c>
      <c r="N3752" s="99">
        <f t="shared" si="88"/>
        <v>0.9</v>
      </c>
    </row>
    <row r="3753" spans="1:14">
      <c r="A3753" s="12">
        <v>3752</v>
      </c>
      <c r="B3753" s="71" t="s">
        <v>3936</v>
      </c>
      <c r="C3753" s="42" t="s">
        <v>3937</v>
      </c>
      <c r="D3753" s="71" t="s">
        <v>5378</v>
      </c>
      <c r="E3753" s="72" t="s">
        <v>4200</v>
      </c>
      <c r="F3753" s="72">
        <v>5.9</v>
      </c>
      <c r="G3753" s="73" t="s">
        <v>64</v>
      </c>
      <c r="H3753" s="73">
        <v>9971</v>
      </c>
      <c r="I3753" s="72">
        <v>0.45</v>
      </c>
      <c r="J3753" s="72">
        <v>0.45</v>
      </c>
      <c r="K3753" s="72">
        <v>0</v>
      </c>
      <c r="L3753" s="97">
        <v>0</v>
      </c>
      <c r="M3753" s="73" t="s">
        <v>3925</v>
      </c>
      <c r="N3753" s="99">
        <f t="shared" si="88"/>
        <v>0.9</v>
      </c>
    </row>
    <row r="3754" spans="1:14">
      <c r="A3754" s="12">
        <v>3753</v>
      </c>
      <c r="B3754" s="71" t="s">
        <v>5094</v>
      </c>
      <c r="C3754" s="42" t="s">
        <v>5095</v>
      </c>
      <c r="D3754" s="71" t="s">
        <v>5379</v>
      </c>
      <c r="E3754" s="72" t="s">
        <v>5355</v>
      </c>
      <c r="F3754" s="72">
        <v>47824</v>
      </c>
      <c r="G3754" s="73" t="s">
        <v>182</v>
      </c>
      <c r="H3754" s="73">
        <v>9403</v>
      </c>
      <c r="I3754" s="72">
        <v>0</v>
      </c>
      <c r="J3754" s="72">
        <v>0</v>
      </c>
      <c r="K3754" s="72">
        <v>5124</v>
      </c>
      <c r="L3754" s="97">
        <v>0</v>
      </c>
      <c r="M3754" s="73" t="s">
        <v>3925</v>
      </c>
      <c r="N3754" s="99">
        <f t="shared" si="88"/>
        <v>5124</v>
      </c>
    </row>
    <row r="3755" spans="1:14">
      <c r="A3755" s="12">
        <v>3754</v>
      </c>
      <c r="B3755" s="71" t="s">
        <v>5094</v>
      </c>
      <c r="C3755" s="42" t="s">
        <v>5095</v>
      </c>
      <c r="D3755" s="71" t="s">
        <v>5380</v>
      </c>
      <c r="E3755" s="72" t="s">
        <v>4143</v>
      </c>
      <c r="F3755" s="72">
        <v>45360</v>
      </c>
      <c r="G3755" s="73" t="s">
        <v>182</v>
      </c>
      <c r="H3755" s="73">
        <v>9403</v>
      </c>
      <c r="I3755" s="72">
        <v>0</v>
      </c>
      <c r="J3755" s="72">
        <v>0</v>
      </c>
      <c r="K3755" s="72">
        <v>4860</v>
      </c>
      <c r="L3755" s="97">
        <v>0</v>
      </c>
      <c r="M3755" s="73" t="s">
        <v>3925</v>
      </c>
      <c r="N3755" s="99">
        <f t="shared" si="88"/>
        <v>4860</v>
      </c>
    </row>
    <row r="3756" spans="1:14">
      <c r="A3756" s="12">
        <v>3755</v>
      </c>
      <c r="B3756" s="71" t="s">
        <v>5094</v>
      </c>
      <c r="C3756" s="42" t="s">
        <v>5095</v>
      </c>
      <c r="D3756" s="71" t="s">
        <v>5381</v>
      </c>
      <c r="E3756" s="72" t="s">
        <v>683</v>
      </c>
      <c r="F3756" s="72">
        <v>24080</v>
      </c>
      <c r="G3756" s="73" t="s">
        <v>182</v>
      </c>
      <c r="H3756" s="73">
        <v>9403</v>
      </c>
      <c r="I3756" s="72">
        <v>0</v>
      </c>
      <c r="J3756" s="72">
        <v>0</v>
      </c>
      <c r="K3756" s="72">
        <v>2580</v>
      </c>
      <c r="L3756" s="97">
        <v>0</v>
      </c>
      <c r="M3756" s="73" t="s">
        <v>3925</v>
      </c>
      <c r="N3756" s="99">
        <f t="shared" ref="N3756:N3819" si="89">IF(M3756="YES", I3756+J3756+K3756, 0)</f>
        <v>2580</v>
      </c>
    </row>
    <row r="3757" spans="1:14">
      <c r="A3757" s="12">
        <v>3756</v>
      </c>
      <c r="B3757" s="71" t="s">
        <v>5094</v>
      </c>
      <c r="C3757" s="42" t="s">
        <v>5095</v>
      </c>
      <c r="D3757" s="71" t="s">
        <v>5382</v>
      </c>
      <c r="E3757" s="72" t="s">
        <v>5383</v>
      </c>
      <c r="F3757" s="72">
        <v>9000</v>
      </c>
      <c r="G3757" s="73" t="s">
        <v>182</v>
      </c>
      <c r="H3757" s="73">
        <v>9403</v>
      </c>
      <c r="I3757" s="72">
        <v>0</v>
      </c>
      <c r="J3757" s="72">
        <v>0</v>
      </c>
      <c r="K3757" s="72">
        <v>1372.86</v>
      </c>
      <c r="L3757" s="97">
        <v>0</v>
      </c>
      <c r="M3757" s="73" t="s">
        <v>3925</v>
      </c>
      <c r="N3757" s="99">
        <f t="shared" si="89"/>
        <v>1372.86</v>
      </c>
    </row>
    <row r="3758" spans="1:14">
      <c r="A3758" s="12">
        <v>3757</v>
      </c>
      <c r="B3758" s="71" t="s">
        <v>5094</v>
      </c>
      <c r="C3758" s="42" t="s">
        <v>5095</v>
      </c>
      <c r="D3758" s="71" t="s">
        <v>5384</v>
      </c>
      <c r="E3758" s="72" t="s">
        <v>4090</v>
      </c>
      <c r="F3758" s="72">
        <v>17360</v>
      </c>
      <c r="G3758" s="73" t="s">
        <v>182</v>
      </c>
      <c r="H3758" s="73">
        <v>9403</v>
      </c>
      <c r="I3758" s="72">
        <v>0</v>
      </c>
      <c r="J3758" s="72">
        <v>0</v>
      </c>
      <c r="K3758" s="72">
        <v>1860</v>
      </c>
      <c r="L3758" s="97">
        <v>0</v>
      </c>
      <c r="M3758" s="73" t="s">
        <v>3925</v>
      </c>
      <c r="N3758" s="99">
        <f t="shared" si="89"/>
        <v>1860</v>
      </c>
    </row>
    <row r="3759" spans="1:14">
      <c r="A3759" s="12">
        <v>3758</v>
      </c>
      <c r="B3759" s="71" t="s">
        <v>5385</v>
      </c>
      <c r="C3759" s="42" t="s">
        <v>5386</v>
      </c>
      <c r="D3759" s="71" t="s">
        <v>5387</v>
      </c>
      <c r="E3759" s="72" t="s">
        <v>422</v>
      </c>
      <c r="F3759" s="72">
        <v>171</v>
      </c>
      <c r="G3759" s="74" t="s">
        <v>24</v>
      </c>
      <c r="H3759" s="74">
        <v>3924</v>
      </c>
      <c r="I3759" s="72">
        <v>6.21</v>
      </c>
      <c r="J3759" s="72">
        <v>6.21</v>
      </c>
      <c r="K3759" s="72">
        <v>0</v>
      </c>
      <c r="L3759" s="97">
        <v>0</v>
      </c>
      <c r="M3759" s="74" t="s">
        <v>157</v>
      </c>
      <c r="N3759" s="99">
        <f t="shared" si="89"/>
        <v>0</v>
      </c>
    </row>
    <row r="3760" spans="1:14">
      <c r="A3760" s="12">
        <v>3759</v>
      </c>
      <c r="B3760" s="71" t="s">
        <v>5083</v>
      </c>
      <c r="C3760" s="42" t="s">
        <v>5084</v>
      </c>
      <c r="D3760" s="71" t="s">
        <v>5388</v>
      </c>
      <c r="E3760" s="72" t="s">
        <v>4090</v>
      </c>
      <c r="F3760" s="72">
        <v>843.15</v>
      </c>
      <c r="G3760" s="73" t="s">
        <v>64</v>
      </c>
      <c r="H3760" s="89" t="s">
        <v>5086</v>
      </c>
      <c r="I3760" s="72">
        <v>0</v>
      </c>
      <c r="J3760" s="72">
        <v>0</v>
      </c>
      <c r="K3760" s="72">
        <v>40.15</v>
      </c>
      <c r="L3760" s="97">
        <v>0</v>
      </c>
      <c r="M3760" s="73" t="s">
        <v>3925</v>
      </c>
      <c r="N3760" s="99">
        <f t="shared" si="89"/>
        <v>40.15</v>
      </c>
    </row>
    <row r="3761" spans="1:14">
      <c r="A3761" s="12">
        <v>3760</v>
      </c>
      <c r="B3761" s="71" t="s">
        <v>1759</v>
      </c>
      <c r="C3761" s="42" t="s">
        <v>1760</v>
      </c>
      <c r="D3761" s="71" t="s">
        <v>5389</v>
      </c>
      <c r="E3761" s="72" t="s">
        <v>385</v>
      </c>
      <c r="F3761" s="72">
        <v>7909.17</v>
      </c>
      <c r="G3761" s="73" t="s">
        <v>64</v>
      </c>
      <c r="H3761" s="89" t="s">
        <v>561</v>
      </c>
      <c r="I3761" s="72">
        <v>0</v>
      </c>
      <c r="J3761" s="72">
        <v>0</v>
      </c>
      <c r="K3761" s="72">
        <v>1206.48</v>
      </c>
      <c r="L3761" s="97">
        <v>0</v>
      </c>
      <c r="M3761" s="73" t="s">
        <v>3925</v>
      </c>
      <c r="N3761" s="99">
        <f t="shared" si="89"/>
        <v>1206.48</v>
      </c>
    </row>
    <row r="3762" spans="1:14">
      <c r="A3762" s="12">
        <v>3761</v>
      </c>
      <c r="B3762" s="71" t="s">
        <v>5248</v>
      </c>
      <c r="C3762" s="42" t="s">
        <v>5249</v>
      </c>
      <c r="D3762" s="71" t="s">
        <v>5390</v>
      </c>
      <c r="E3762" s="72" t="s">
        <v>4209</v>
      </c>
      <c r="F3762" s="72">
        <v>31126.98</v>
      </c>
      <c r="G3762" s="73" t="s">
        <v>64</v>
      </c>
      <c r="H3762" s="89" t="s">
        <v>5131</v>
      </c>
      <c r="I3762" s="72">
        <v>0</v>
      </c>
      <c r="J3762" s="72">
        <v>0</v>
      </c>
      <c r="K3762" s="72">
        <v>4748.18</v>
      </c>
      <c r="L3762" s="97">
        <v>0</v>
      </c>
      <c r="M3762" s="73" t="s">
        <v>3925</v>
      </c>
      <c r="N3762" s="99">
        <f t="shared" si="89"/>
        <v>4748.18</v>
      </c>
    </row>
    <row r="3763" spans="1:14">
      <c r="A3763" s="12">
        <v>3762</v>
      </c>
      <c r="B3763" s="71" t="s">
        <v>5248</v>
      </c>
      <c r="C3763" s="42" t="s">
        <v>5249</v>
      </c>
      <c r="D3763" s="71" t="s">
        <v>5391</v>
      </c>
      <c r="E3763" s="72" t="s">
        <v>432</v>
      </c>
      <c r="F3763" s="72">
        <v>133508.54</v>
      </c>
      <c r="G3763" s="73" t="s">
        <v>64</v>
      </c>
      <c r="H3763" s="89" t="s">
        <v>5131</v>
      </c>
      <c r="I3763" s="72">
        <v>0</v>
      </c>
      <c r="J3763" s="72">
        <v>0</v>
      </c>
      <c r="K3763" s="72">
        <v>20365.71</v>
      </c>
      <c r="L3763" s="97">
        <v>0</v>
      </c>
      <c r="M3763" s="73" t="s">
        <v>3925</v>
      </c>
      <c r="N3763" s="99">
        <f t="shared" si="89"/>
        <v>20365.71</v>
      </c>
    </row>
    <row r="3764" spans="1:14">
      <c r="A3764" s="12">
        <v>3763</v>
      </c>
      <c r="B3764" s="71" t="s">
        <v>557</v>
      </c>
      <c r="C3764" s="42" t="s">
        <v>558</v>
      </c>
      <c r="D3764" s="71" t="s">
        <v>5392</v>
      </c>
      <c r="E3764" s="72" t="s">
        <v>734</v>
      </c>
      <c r="F3764" s="72">
        <v>2148.8200000000002</v>
      </c>
      <c r="G3764" s="73" t="s">
        <v>64</v>
      </c>
      <c r="H3764" s="89" t="s">
        <v>847</v>
      </c>
      <c r="I3764" s="72">
        <v>0</v>
      </c>
      <c r="J3764" s="72">
        <v>0</v>
      </c>
      <c r="K3764" s="72">
        <v>327.79</v>
      </c>
      <c r="L3764" s="97">
        <v>0</v>
      </c>
      <c r="M3764" s="73" t="s">
        <v>3925</v>
      </c>
      <c r="N3764" s="99">
        <f t="shared" si="89"/>
        <v>327.79</v>
      </c>
    </row>
    <row r="3765" spans="1:14">
      <c r="A3765" s="12">
        <v>3764</v>
      </c>
      <c r="B3765" s="71" t="s">
        <v>557</v>
      </c>
      <c r="C3765" s="42" t="s">
        <v>558</v>
      </c>
      <c r="D3765" s="71" t="s">
        <v>5393</v>
      </c>
      <c r="E3765" s="72" t="s">
        <v>5355</v>
      </c>
      <c r="F3765" s="72">
        <v>218.44</v>
      </c>
      <c r="G3765" s="73" t="s">
        <v>64</v>
      </c>
      <c r="H3765" s="89" t="s">
        <v>847</v>
      </c>
      <c r="I3765" s="72">
        <v>0</v>
      </c>
      <c r="J3765" s="72">
        <v>0</v>
      </c>
      <c r="K3765" s="72">
        <v>33.32</v>
      </c>
      <c r="L3765" s="97">
        <v>0</v>
      </c>
      <c r="M3765" s="73" t="s">
        <v>3925</v>
      </c>
      <c r="N3765" s="99">
        <f t="shared" si="89"/>
        <v>33.32</v>
      </c>
    </row>
    <row r="3766" spans="1:14">
      <c r="A3766" s="12">
        <v>3765</v>
      </c>
      <c r="B3766" s="71" t="s">
        <v>557</v>
      </c>
      <c r="C3766" s="42" t="s">
        <v>558</v>
      </c>
      <c r="D3766" s="71" t="s">
        <v>5394</v>
      </c>
      <c r="E3766" s="72" t="s">
        <v>685</v>
      </c>
      <c r="F3766" s="72">
        <v>2872.9</v>
      </c>
      <c r="G3766" s="73" t="s">
        <v>64</v>
      </c>
      <c r="H3766" s="89" t="s">
        <v>847</v>
      </c>
      <c r="I3766" s="72">
        <v>0</v>
      </c>
      <c r="J3766" s="72">
        <v>0</v>
      </c>
      <c r="K3766" s="72">
        <v>438.24</v>
      </c>
      <c r="L3766" s="97">
        <v>0</v>
      </c>
      <c r="M3766" s="73" t="s">
        <v>3925</v>
      </c>
      <c r="N3766" s="99">
        <f t="shared" si="89"/>
        <v>438.24</v>
      </c>
    </row>
    <row r="3767" spans="1:14">
      <c r="A3767" s="12">
        <v>3766</v>
      </c>
      <c r="B3767" s="71" t="s">
        <v>557</v>
      </c>
      <c r="C3767" s="42" t="s">
        <v>558</v>
      </c>
      <c r="D3767" s="71" t="s">
        <v>5395</v>
      </c>
      <c r="E3767" s="72" t="s">
        <v>5396</v>
      </c>
      <c r="F3767" s="72">
        <v>127.1</v>
      </c>
      <c r="G3767" s="73" t="s">
        <v>64</v>
      </c>
      <c r="H3767" s="89" t="s">
        <v>847</v>
      </c>
      <c r="I3767" s="72">
        <v>0</v>
      </c>
      <c r="J3767" s="72">
        <v>0</v>
      </c>
      <c r="K3767" s="72">
        <v>19.39</v>
      </c>
      <c r="L3767" s="97">
        <v>0</v>
      </c>
      <c r="M3767" s="73" t="s">
        <v>3925</v>
      </c>
      <c r="N3767" s="99">
        <f t="shared" si="89"/>
        <v>19.39</v>
      </c>
    </row>
    <row r="3768" spans="1:14">
      <c r="A3768" s="12">
        <v>3767</v>
      </c>
      <c r="B3768" s="71" t="s">
        <v>557</v>
      </c>
      <c r="C3768" s="42" t="s">
        <v>558</v>
      </c>
      <c r="D3768" s="71" t="s">
        <v>5397</v>
      </c>
      <c r="E3768" s="72" t="s">
        <v>687</v>
      </c>
      <c r="F3768" s="72">
        <v>1705.84</v>
      </c>
      <c r="G3768" s="73" t="s">
        <v>64</v>
      </c>
      <c r="H3768" s="89" t="s">
        <v>847</v>
      </c>
      <c r="I3768" s="72">
        <v>0</v>
      </c>
      <c r="J3768" s="72">
        <v>0</v>
      </c>
      <c r="K3768" s="72">
        <v>260.20999999999998</v>
      </c>
      <c r="L3768" s="97">
        <v>0</v>
      </c>
      <c r="M3768" s="73" t="s">
        <v>3925</v>
      </c>
      <c r="N3768" s="99">
        <f t="shared" si="89"/>
        <v>260.20999999999998</v>
      </c>
    </row>
    <row r="3769" spans="1:14">
      <c r="A3769" s="12">
        <v>3768</v>
      </c>
      <c r="B3769" s="71" t="s">
        <v>557</v>
      </c>
      <c r="C3769" s="42" t="s">
        <v>558</v>
      </c>
      <c r="D3769" s="71" t="s">
        <v>5398</v>
      </c>
      <c r="E3769" s="72" t="s">
        <v>4090</v>
      </c>
      <c r="F3769" s="72">
        <v>2220.09</v>
      </c>
      <c r="G3769" s="73" t="s">
        <v>64</v>
      </c>
      <c r="H3769" s="89" t="s">
        <v>847</v>
      </c>
      <c r="I3769" s="72">
        <v>0</v>
      </c>
      <c r="J3769" s="72">
        <v>0</v>
      </c>
      <c r="K3769" s="72">
        <v>338.66</v>
      </c>
      <c r="L3769" s="97">
        <v>0</v>
      </c>
      <c r="M3769" s="73" t="s">
        <v>3925</v>
      </c>
      <c r="N3769" s="99">
        <f t="shared" si="89"/>
        <v>338.66</v>
      </c>
    </row>
    <row r="3770" spans="1:14">
      <c r="A3770" s="12">
        <v>3769</v>
      </c>
      <c r="B3770" s="71" t="s">
        <v>557</v>
      </c>
      <c r="C3770" s="42" t="s">
        <v>558</v>
      </c>
      <c r="D3770" s="71" t="s">
        <v>5399</v>
      </c>
      <c r="E3770" s="72" t="s">
        <v>4152</v>
      </c>
      <c r="F3770" s="72">
        <v>74.069999999999993</v>
      </c>
      <c r="G3770" s="73" t="s">
        <v>64</v>
      </c>
      <c r="H3770" s="89" t="s">
        <v>847</v>
      </c>
      <c r="I3770" s="72">
        <v>0</v>
      </c>
      <c r="J3770" s="72">
        <v>0</v>
      </c>
      <c r="K3770" s="72">
        <v>11.3</v>
      </c>
      <c r="L3770" s="97">
        <v>0</v>
      </c>
      <c r="M3770" s="73" t="s">
        <v>3925</v>
      </c>
      <c r="N3770" s="99">
        <f t="shared" si="89"/>
        <v>11.3</v>
      </c>
    </row>
    <row r="3771" spans="1:14">
      <c r="A3771" s="12">
        <v>3770</v>
      </c>
      <c r="B3771" s="71" t="s">
        <v>5088</v>
      </c>
      <c r="C3771" s="42" t="s">
        <v>5089</v>
      </c>
      <c r="D3771" s="71" t="s">
        <v>5400</v>
      </c>
      <c r="E3771" s="72" t="s">
        <v>385</v>
      </c>
      <c r="F3771" s="72">
        <v>5194.3999999999996</v>
      </c>
      <c r="G3771" s="73" t="s">
        <v>64</v>
      </c>
      <c r="H3771" s="73">
        <v>997119</v>
      </c>
      <c r="I3771" s="72">
        <v>0</v>
      </c>
      <c r="J3771" s="72">
        <v>0</v>
      </c>
      <c r="K3771" s="72">
        <v>792.37</v>
      </c>
      <c r="L3771" s="97">
        <v>0</v>
      </c>
      <c r="M3771" s="73" t="s">
        <v>3925</v>
      </c>
      <c r="N3771" s="99">
        <f t="shared" si="89"/>
        <v>792.37</v>
      </c>
    </row>
    <row r="3772" spans="1:14">
      <c r="A3772" s="12">
        <v>3771</v>
      </c>
      <c r="B3772" s="71" t="s">
        <v>557</v>
      </c>
      <c r="C3772" s="42" t="s">
        <v>558</v>
      </c>
      <c r="D3772" s="71" t="s">
        <v>5401</v>
      </c>
      <c r="E3772" s="72" t="s">
        <v>391</v>
      </c>
      <c r="F3772" s="72">
        <v>1801.31</v>
      </c>
      <c r="G3772" s="73" t="s">
        <v>64</v>
      </c>
      <c r="H3772" s="89" t="s">
        <v>847</v>
      </c>
      <c r="I3772" s="72">
        <v>0</v>
      </c>
      <c r="J3772" s="72">
        <v>0</v>
      </c>
      <c r="K3772" s="72">
        <v>274.77999999999997</v>
      </c>
      <c r="L3772" s="97">
        <v>0</v>
      </c>
      <c r="M3772" s="73" t="s">
        <v>3925</v>
      </c>
      <c r="N3772" s="99">
        <f t="shared" si="89"/>
        <v>274.77999999999997</v>
      </c>
    </row>
    <row r="3773" spans="1:14">
      <c r="A3773" s="12">
        <v>3772</v>
      </c>
      <c r="B3773" s="71" t="s">
        <v>557</v>
      </c>
      <c r="C3773" s="42" t="s">
        <v>558</v>
      </c>
      <c r="D3773" s="71" t="s">
        <v>5402</v>
      </c>
      <c r="E3773" s="72" t="s">
        <v>4113</v>
      </c>
      <c r="F3773" s="72">
        <v>1198.68</v>
      </c>
      <c r="G3773" s="73" t="s">
        <v>64</v>
      </c>
      <c r="H3773" s="89" t="s">
        <v>847</v>
      </c>
      <c r="I3773" s="72">
        <v>0</v>
      </c>
      <c r="J3773" s="72">
        <v>0</v>
      </c>
      <c r="K3773" s="72">
        <v>182.85</v>
      </c>
      <c r="L3773" s="97">
        <v>0</v>
      </c>
      <c r="M3773" s="73" t="s">
        <v>3925</v>
      </c>
      <c r="N3773" s="99">
        <f t="shared" si="89"/>
        <v>182.85</v>
      </c>
    </row>
    <row r="3774" spans="1:14">
      <c r="A3774" s="12">
        <v>3773</v>
      </c>
      <c r="B3774" s="71" t="s">
        <v>557</v>
      </c>
      <c r="C3774" s="42" t="s">
        <v>558</v>
      </c>
      <c r="D3774" s="71" t="s">
        <v>5403</v>
      </c>
      <c r="E3774" s="72" t="s">
        <v>5404</v>
      </c>
      <c r="F3774" s="72">
        <v>733.88</v>
      </c>
      <c r="G3774" s="73" t="s">
        <v>64</v>
      </c>
      <c r="H3774" s="89" t="s">
        <v>847</v>
      </c>
      <c r="I3774" s="72">
        <v>0</v>
      </c>
      <c r="J3774" s="72">
        <v>0</v>
      </c>
      <c r="K3774" s="72">
        <v>111.95</v>
      </c>
      <c r="L3774" s="97">
        <v>0</v>
      </c>
      <c r="M3774" s="73" t="s">
        <v>3925</v>
      </c>
      <c r="N3774" s="99">
        <f t="shared" si="89"/>
        <v>111.95</v>
      </c>
    </row>
    <row r="3775" spans="1:14">
      <c r="A3775" s="12">
        <v>3774</v>
      </c>
      <c r="B3775" s="71" t="s">
        <v>557</v>
      </c>
      <c r="C3775" s="42" t="s">
        <v>558</v>
      </c>
      <c r="D3775" s="71" t="s">
        <v>5405</v>
      </c>
      <c r="E3775" s="72" t="s">
        <v>393</v>
      </c>
      <c r="F3775" s="72">
        <v>1268.42</v>
      </c>
      <c r="G3775" s="73" t="s">
        <v>64</v>
      </c>
      <c r="H3775" s="89" t="s">
        <v>847</v>
      </c>
      <c r="I3775" s="72">
        <v>0</v>
      </c>
      <c r="J3775" s="72">
        <v>0</v>
      </c>
      <c r="K3775" s="72">
        <v>193.49</v>
      </c>
      <c r="L3775" s="97">
        <v>0</v>
      </c>
      <c r="M3775" s="73" t="s">
        <v>3925</v>
      </c>
      <c r="N3775" s="99">
        <f t="shared" si="89"/>
        <v>193.49</v>
      </c>
    </row>
    <row r="3776" spans="1:14">
      <c r="A3776" s="12">
        <v>3775</v>
      </c>
      <c r="B3776" s="71" t="s">
        <v>557</v>
      </c>
      <c r="C3776" s="42" t="s">
        <v>558</v>
      </c>
      <c r="D3776" s="71" t="s">
        <v>5406</v>
      </c>
      <c r="E3776" s="72" t="s">
        <v>717</v>
      </c>
      <c r="F3776" s="72">
        <v>983.98</v>
      </c>
      <c r="G3776" s="73" t="s">
        <v>64</v>
      </c>
      <c r="H3776" s="89" t="s">
        <v>847</v>
      </c>
      <c r="I3776" s="72">
        <v>0</v>
      </c>
      <c r="J3776" s="72">
        <v>0</v>
      </c>
      <c r="K3776" s="72">
        <v>150.1</v>
      </c>
      <c r="L3776" s="97">
        <v>0</v>
      </c>
      <c r="M3776" s="73" t="s">
        <v>3925</v>
      </c>
      <c r="N3776" s="99">
        <f t="shared" si="89"/>
        <v>150.1</v>
      </c>
    </row>
    <row r="3777" spans="1:14">
      <c r="A3777" s="12">
        <v>3776</v>
      </c>
      <c r="B3777" s="71" t="s">
        <v>557</v>
      </c>
      <c r="C3777" s="42" t="s">
        <v>558</v>
      </c>
      <c r="D3777" s="71" t="s">
        <v>5407</v>
      </c>
      <c r="E3777" s="72" t="s">
        <v>5408</v>
      </c>
      <c r="F3777" s="72">
        <v>13.72</v>
      </c>
      <c r="G3777" s="73" t="s">
        <v>64</v>
      </c>
      <c r="H3777" s="89" t="s">
        <v>847</v>
      </c>
      <c r="I3777" s="72">
        <v>0</v>
      </c>
      <c r="J3777" s="72">
        <v>0</v>
      </c>
      <c r="K3777" s="72">
        <v>2.09</v>
      </c>
      <c r="L3777" s="97">
        <v>0</v>
      </c>
      <c r="M3777" s="73" t="s">
        <v>3925</v>
      </c>
      <c r="N3777" s="99">
        <f t="shared" si="89"/>
        <v>2.09</v>
      </c>
    </row>
    <row r="3778" spans="1:14">
      <c r="A3778" s="12">
        <v>3777</v>
      </c>
      <c r="B3778" s="71" t="s">
        <v>557</v>
      </c>
      <c r="C3778" s="42" t="s">
        <v>558</v>
      </c>
      <c r="D3778" s="71" t="s">
        <v>5409</v>
      </c>
      <c r="E3778" s="72" t="s">
        <v>401</v>
      </c>
      <c r="F3778" s="72">
        <v>881.28</v>
      </c>
      <c r="G3778" s="73" t="s">
        <v>64</v>
      </c>
      <c r="H3778" s="89" t="s">
        <v>847</v>
      </c>
      <c r="I3778" s="72">
        <v>0</v>
      </c>
      <c r="J3778" s="72">
        <v>0</v>
      </c>
      <c r="K3778" s="72">
        <v>134.43</v>
      </c>
      <c r="L3778" s="97">
        <v>0</v>
      </c>
      <c r="M3778" s="73" t="s">
        <v>3925</v>
      </c>
      <c r="N3778" s="99">
        <f t="shared" si="89"/>
        <v>134.43</v>
      </c>
    </row>
    <row r="3779" spans="1:14">
      <c r="A3779" s="12">
        <v>3778</v>
      </c>
      <c r="B3779" s="71" t="s">
        <v>5088</v>
      </c>
      <c r="C3779" s="42" t="s">
        <v>5089</v>
      </c>
      <c r="D3779" s="71" t="s">
        <v>5410</v>
      </c>
      <c r="E3779" s="72" t="s">
        <v>432</v>
      </c>
      <c r="F3779" s="72">
        <v>3051.57</v>
      </c>
      <c r="G3779" s="73" t="s">
        <v>64</v>
      </c>
      <c r="H3779" s="73">
        <v>997119</v>
      </c>
      <c r="I3779" s="72">
        <v>0</v>
      </c>
      <c r="J3779" s="72">
        <v>0</v>
      </c>
      <c r="K3779" s="72">
        <v>465.49</v>
      </c>
      <c r="L3779" s="97">
        <v>0</v>
      </c>
      <c r="M3779" s="73" t="s">
        <v>3925</v>
      </c>
      <c r="N3779" s="99">
        <f t="shared" si="89"/>
        <v>465.49</v>
      </c>
    </row>
    <row r="3780" spans="1:14">
      <c r="A3780" s="12">
        <v>3779</v>
      </c>
      <c r="B3780" s="71" t="s">
        <v>5411</v>
      </c>
      <c r="C3780" s="42" t="s">
        <v>5412</v>
      </c>
      <c r="D3780" s="71" t="s">
        <v>5413</v>
      </c>
      <c r="E3780" s="72" t="s">
        <v>422</v>
      </c>
      <c r="F3780" s="72">
        <v>5</v>
      </c>
      <c r="G3780" s="73" t="s">
        <v>64</v>
      </c>
      <c r="H3780" s="102" t="s">
        <v>3080</v>
      </c>
      <c r="I3780" s="72">
        <v>0.38</v>
      </c>
      <c r="J3780" s="72">
        <v>0.38</v>
      </c>
      <c r="K3780" s="72">
        <v>0</v>
      </c>
      <c r="L3780" s="97">
        <v>0</v>
      </c>
      <c r="M3780" s="73" t="s">
        <v>3925</v>
      </c>
      <c r="N3780" s="99">
        <f t="shared" si="89"/>
        <v>0.76</v>
      </c>
    </row>
    <row r="3781" spans="1:14">
      <c r="A3781" s="12">
        <v>3780</v>
      </c>
      <c r="B3781" s="71" t="s">
        <v>1759</v>
      </c>
      <c r="C3781" s="42" t="s">
        <v>1760</v>
      </c>
      <c r="D3781" s="71" t="s">
        <v>5414</v>
      </c>
      <c r="E3781" s="72" t="s">
        <v>401</v>
      </c>
      <c r="F3781" s="72">
        <v>5078.8100000000004</v>
      </c>
      <c r="G3781" s="73" t="s">
        <v>64</v>
      </c>
      <c r="H3781" s="89" t="s">
        <v>561</v>
      </c>
      <c r="I3781" s="72">
        <v>0</v>
      </c>
      <c r="J3781" s="72">
        <v>0</v>
      </c>
      <c r="K3781" s="72">
        <v>774.73</v>
      </c>
      <c r="L3781" s="97">
        <v>0</v>
      </c>
      <c r="M3781" s="73" t="s">
        <v>3925</v>
      </c>
      <c r="N3781" s="99">
        <f t="shared" si="89"/>
        <v>774.73</v>
      </c>
    </row>
    <row r="3782" spans="1:14">
      <c r="A3782" s="12">
        <v>3781</v>
      </c>
      <c r="B3782" s="71" t="s">
        <v>5083</v>
      </c>
      <c r="C3782" s="42" t="s">
        <v>5084</v>
      </c>
      <c r="D3782" s="71" t="s">
        <v>5415</v>
      </c>
      <c r="E3782" s="72" t="s">
        <v>5416</v>
      </c>
      <c r="F3782" s="72">
        <v>169.05</v>
      </c>
      <c r="G3782" s="73" t="s">
        <v>64</v>
      </c>
      <c r="H3782" s="89" t="s">
        <v>5086</v>
      </c>
      <c r="I3782" s="72">
        <v>0</v>
      </c>
      <c r="J3782" s="72">
        <v>0</v>
      </c>
      <c r="K3782" s="72">
        <v>8.0500000000000007</v>
      </c>
      <c r="L3782" s="97">
        <v>0</v>
      </c>
      <c r="M3782" s="73" t="s">
        <v>3925</v>
      </c>
      <c r="N3782" s="99">
        <f t="shared" si="89"/>
        <v>8.0500000000000007</v>
      </c>
    </row>
    <row r="3783" spans="1:14">
      <c r="A3783" s="12">
        <v>3782</v>
      </c>
      <c r="B3783" s="71" t="s">
        <v>5094</v>
      </c>
      <c r="C3783" s="42" t="s">
        <v>5095</v>
      </c>
      <c r="D3783" s="71" t="s">
        <v>5417</v>
      </c>
      <c r="E3783" s="72" t="s">
        <v>5416</v>
      </c>
      <c r="F3783" s="72">
        <v>22400</v>
      </c>
      <c r="G3783" s="73" t="s">
        <v>182</v>
      </c>
      <c r="H3783" s="73">
        <v>9403</v>
      </c>
      <c r="I3783" s="72">
        <v>0</v>
      </c>
      <c r="J3783" s="72">
        <v>0</v>
      </c>
      <c r="K3783" s="72">
        <v>2400</v>
      </c>
      <c r="L3783" s="97">
        <v>0</v>
      </c>
      <c r="M3783" s="73" t="s">
        <v>3925</v>
      </c>
      <c r="N3783" s="99">
        <f t="shared" si="89"/>
        <v>2400</v>
      </c>
    </row>
    <row r="3784" spans="1:14">
      <c r="A3784" s="12">
        <v>3783</v>
      </c>
      <c r="B3784" s="71" t="s">
        <v>5094</v>
      </c>
      <c r="C3784" s="42" t="s">
        <v>5095</v>
      </c>
      <c r="D3784" s="71" t="s">
        <v>5418</v>
      </c>
      <c r="E3784" s="72" t="s">
        <v>5419</v>
      </c>
      <c r="F3784" s="72">
        <v>18480</v>
      </c>
      <c r="G3784" s="73" t="s">
        <v>182</v>
      </c>
      <c r="H3784" s="73">
        <v>9403</v>
      </c>
      <c r="I3784" s="72">
        <v>0</v>
      </c>
      <c r="J3784" s="72">
        <v>0</v>
      </c>
      <c r="K3784" s="72">
        <v>1980</v>
      </c>
      <c r="L3784" s="97">
        <v>0</v>
      </c>
      <c r="M3784" s="73" t="s">
        <v>3925</v>
      </c>
      <c r="N3784" s="99">
        <f t="shared" si="89"/>
        <v>1980</v>
      </c>
    </row>
    <row r="3785" spans="1:14">
      <c r="A3785" s="12">
        <v>3784</v>
      </c>
      <c r="B3785" s="71" t="s">
        <v>5094</v>
      </c>
      <c r="C3785" s="42" t="s">
        <v>5095</v>
      </c>
      <c r="D3785" s="71" t="s">
        <v>5420</v>
      </c>
      <c r="E3785" s="72" t="s">
        <v>399</v>
      </c>
      <c r="F3785" s="72">
        <v>19040</v>
      </c>
      <c r="G3785" s="73" t="s">
        <v>182</v>
      </c>
      <c r="H3785" s="73">
        <v>9403</v>
      </c>
      <c r="I3785" s="72">
        <v>0</v>
      </c>
      <c r="J3785" s="72">
        <v>0</v>
      </c>
      <c r="K3785" s="72">
        <v>2040</v>
      </c>
      <c r="L3785" s="97">
        <v>0</v>
      </c>
      <c r="M3785" s="73" t="s">
        <v>3925</v>
      </c>
      <c r="N3785" s="99">
        <f t="shared" si="89"/>
        <v>2040</v>
      </c>
    </row>
    <row r="3786" spans="1:14">
      <c r="A3786" s="12">
        <v>3785</v>
      </c>
      <c r="B3786" s="71" t="s">
        <v>5094</v>
      </c>
      <c r="C3786" s="42" t="s">
        <v>5095</v>
      </c>
      <c r="D3786" s="71" t="s">
        <v>5421</v>
      </c>
      <c r="E3786" s="72" t="s">
        <v>393</v>
      </c>
      <c r="F3786" s="72">
        <v>33600</v>
      </c>
      <c r="G3786" s="73" t="s">
        <v>182</v>
      </c>
      <c r="H3786" s="73">
        <v>9403</v>
      </c>
      <c r="I3786" s="72">
        <v>0</v>
      </c>
      <c r="J3786" s="72">
        <v>0</v>
      </c>
      <c r="K3786" s="72">
        <v>3600</v>
      </c>
      <c r="L3786" s="97">
        <v>0</v>
      </c>
      <c r="M3786" s="73" t="s">
        <v>3925</v>
      </c>
      <c r="N3786" s="99">
        <f t="shared" si="89"/>
        <v>3600</v>
      </c>
    </row>
    <row r="3787" spans="1:14">
      <c r="A3787" s="12">
        <v>3786</v>
      </c>
      <c r="B3787" s="71" t="s">
        <v>3936</v>
      </c>
      <c r="C3787" s="42" t="s">
        <v>3937</v>
      </c>
      <c r="D3787" s="71" t="s">
        <v>5422</v>
      </c>
      <c r="E3787" s="72" t="s">
        <v>401</v>
      </c>
      <c r="F3787" s="72">
        <v>5.9</v>
      </c>
      <c r="G3787" s="73" t="s">
        <v>64</v>
      </c>
      <c r="H3787" s="73">
        <v>9971</v>
      </c>
      <c r="I3787" s="72">
        <v>0.45</v>
      </c>
      <c r="J3787" s="72">
        <v>0.45</v>
      </c>
      <c r="K3787" s="72">
        <v>0</v>
      </c>
      <c r="L3787" s="97">
        <v>0</v>
      </c>
      <c r="M3787" s="73" t="s">
        <v>3925</v>
      </c>
      <c r="N3787" s="99">
        <f t="shared" si="89"/>
        <v>0.9</v>
      </c>
    </row>
    <row r="3788" spans="1:14">
      <c r="A3788" s="12">
        <v>3787</v>
      </c>
      <c r="B3788" s="71" t="s">
        <v>3936</v>
      </c>
      <c r="C3788" s="42" t="s">
        <v>3937</v>
      </c>
      <c r="D3788" s="71" t="s">
        <v>5423</v>
      </c>
      <c r="E3788" s="72" t="s">
        <v>715</v>
      </c>
      <c r="F3788" s="72">
        <v>5.9</v>
      </c>
      <c r="G3788" s="73" t="s">
        <v>64</v>
      </c>
      <c r="H3788" s="73">
        <v>9971</v>
      </c>
      <c r="I3788" s="72">
        <v>0.45</v>
      </c>
      <c r="J3788" s="72">
        <v>0.45</v>
      </c>
      <c r="K3788" s="72">
        <v>0</v>
      </c>
      <c r="L3788" s="97">
        <v>0</v>
      </c>
      <c r="M3788" s="73" t="s">
        <v>3925</v>
      </c>
      <c r="N3788" s="99">
        <f t="shared" si="89"/>
        <v>0.9</v>
      </c>
    </row>
    <row r="3789" spans="1:14">
      <c r="A3789" s="12">
        <v>3788</v>
      </c>
      <c r="B3789" s="71" t="s">
        <v>3936</v>
      </c>
      <c r="C3789" s="42" t="s">
        <v>3937</v>
      </c>
      <c r="D3789" s="71" t="s">
        <v>5424</v>
      </c>
      <c r="E3789" s="72" t="s">
        <v>717</v>
      </c>
      <c r="F3789" s="72">
        <v>5.9</v>
      </c>
      <c r="G3789" s="73" t="s">
        <v>64</v>
      </c>
      <c r="H3789" s="73">
        <v>9971</v>
      </c>
      <c r="I3789" s="72">
        <v>0.45</v>
      </c>
      <c r="J3789" s="72">
        <v>0.45</v>
      </c>
      <c r="K3789" s="72">
        <v>0</v>
      </c>
      <c r="L3789" s="97">
        <v>0</v>
      </c>
      <c r="M3789" s="73" t="s">
        <v>3925</v>
      </c>
      <c r="N3789" s="99">
        <f t="shared" si="89"/>
        <v>0.9</v>
      </c>
    </row>
    <row r="3790" spans="1:14">
      <c r="A3790" s="12">
        <v>3789</v>
      </c>
      <c r="B3790" s="71" t="s">
        <v>3936</v>
      </c>
      <c r="C3790" s="42" t="s">
        <v>3937</v>
      </c>
      <c r="D3790" s="71" t="s">
        <v>5425</v>
      </c>
      <c r="E3790" s="72" t="s">
        <v>717</v>
      </c>
      <c r="F3790" s="72">
        <v>5.9</v>
      </c>
      <c r="G3790" s="73" t="s">
        <v>64</v>
      </c>
      <c r="H3790" s="73">
        <v>9971</v>
      </c>
      <c r="I3790" s="72">
        <v>0.45</v>
      </c>
      <c r="J3790" s="72">
        <v>0.45</v>
      </c>
      <c r="K3790" s="72">
        <v>0</v>
      </c>
      <c r="L3790" s="97">
        <v>0</v>
      </c>
      <c r="M3790" s="73" t="s">
        <v>3925</v>
      </c>
      <c r="N3790" s="99">
        <f t="shared" si="89"/>
        <v>0.9</v>
      </c>
    </row>
    <row r="3791" spans="1:14">
      <c r="A3791" s="12">
        <v>3790</v>
      </c>
      <c r="B3791" s="71" t="s">
        <v>3936</v>
      </c>
      <c r="C3791" s="42" t="s">
        <v>3937</v>
      </c>
      <c r="D3791" s="71" t="s">
        <v>5426</v>
      </c>
      <c r="E3791" s="72" t="s">
        <v>717</v>
      </c>
      <c r="F3791" s="72">
        <v>7563.8</v>
      </c>
      <c r="G3791" s="73" t="s">
        <v>64</v>
      </c>
      <c r="H3791" s="73">
        <v>9971</v>
      </c>
      <c r="I3791" s="72">
        <v>576.9</v>
      </c>
      <c r="J3791" s="72">
        <v>576.9</v>
      </c>
      <c r="K3791" s="72">
        <v>0</v>
      </c>
      <c r="L3791" s="97">
        <v>0</v>
      </c>
      <c r="M3791" s="73" t="s">
        <v>3925</v>
      </c>
      <c r="N3791" s="99">
        <f t="shared" si="89"/>
        <v>1153.8</v>
      </c>
    </row>
    <row r="3792" spans="1:14">
      <c r="A3792" s="12">
        <v>3791</v>
      </c>
      <c r="B3792" s="71" t="s">
        <v>5248</v>
      </c>
      <c r="C3792" s="42" t="s">
        <v>5249</v>
      </c>
      <c r="D3792" s="71" t="s">
        <v>5427</v>
      </c>
      <c r="E3792" s="72" t="s">
        <v>800</v>
      </c>
      <c r="F3792" s="72">
        <v>44635.02</v>
      </c>
      <c r="G3792" s="73" t="s">
        <v>64</v>
      </c>
      <c r="H3792" s="89" t="s">
        <v>5131</v>
      </c>
      <c r="I3792" s="72">
        <v>0</v>
      </c>
      <c r="J3792" s="72">
        <v>0</v>
      </c>
      <c r="K3792" s="72">
        <v>6808.73</v>
      </c>
      <c r="L3792" s="97">
        <v>0</v>
      </c>
      <c r="M3792" s="73" t="s">
        <v>3925</v>
      </c>
      <c r="N3792" s="99">
        <f t="shared" si="89"/>
        <v>6808.73</v>
      </c>
    </row>
    <row r="3793" spans="1:14">
      <c r="A3793" s="12">
        <v>3792</v>
      </c>
      <c r="B3793" s="71" t="s">
        <v>5248</v>
      </c>
      <c r="C3793" s="42" t="s">
        <v>5249</v>
      </c>
      <c r="D3793" s="71" t="s">
        <v>5428</v>
      </c>
      <c r="E3793" s="72" t="s">
        <v>1161</v>
      </c>
      <c r="F3793" s="72">
        <v>14570.04</v>
      </c>
      <c r="G3793" s="73" t="s">
        <v>64</v>
      </c>
      <c r="H3793" s="89" t="s">
        <v>5131</v>
      </c>
      <c r="I3793" s="72">
        <v>0</v>
      </c>
      <c r="J3793" s="72">
        <v>0</v>
      </c>
      <c r="K3793" s="72">
        <v>2222.5500000000002</v>
      </c>
      <c r="L3793" s="97">
        <v>0</v>
      </c>
      <c r="M3793" s="73" t="s">
        <v>3925</v>
      </c>
      <c r="N3793" s="99">
        <f t="shared" si="89"/>
        <v>2222.5500000000002</v>
      </c>
    </row>
    <row r="3794" spans="1:14">
      <c r="A3794" s="12">
        <v>3793</v>
      </c>
      <c r="B3794" s="71" t="s">
        <v>5248</v>
      </c>
      <c r="C3794" s="42" t="s">
        <v>5249</v>
      </c>
      <c r="D3794" s="71" t="s">
        <v>5429</v>
      </c>
      <c r="E3794" s="72" t="s">
        <v>1186</v>
      </c>
      <c r="F3794" s="72">
        <v>44351.06</v>
      </c>
      <c r="G3794" s="73" t="s">
        <v>64</v>
      </c>
      <c r="H3794" s="89" t="s">
        <v>5131</v>
      </c>
      <c r="I3794" s="72">
        <v>0</v>
      </c>
      <c r="J3794" s="72">
        <v>0</v>
      </c>
      <c r="K3794" s="72">
        <v>6765.42</v>
      </c>
      <c r="L3794" s="97">
        <v>0</v>
      </c>
      <c r="M3794" s="73" t="s">
        <v>3925</v>
      </c>
      <c r="N3794" s="99">
        <f t="shared" si="89"/>
        <v>6765.42</v>
      </c>
    </row>
    <row r="3795" spans="1:14">
      <c r="A3795" s="12">
        <v>3794</v>
      </c>
      <c r="B3795" s="71" t="s">
        <v>3936</v>
      </c>
      <c r="C3795" s="42" t="s">
        <v>3937</v>
      </c>
      <c r="D3795" s="71" t="s">
        <v>5430</v>
      </c>
      <c r="E3795" s="72" t="s">
        <v>46</v>
      </c>
      <c r="F3795" s="72">
        <v>177</v>
      </c>
      <c r="G3795" s="73" t="s">
        <v>64</v>
      </c>
      <c r="H3795" s="73">
        <v>9971</v>
      </c>
      <c r="I3795" s="72">
        <v>13.5</v>
      </c>
      <c r="J3795" s="72">
        <v>13.5</v>
      </c>
      <c r="K3795" s="72">
        <v>0</v>
      </c>
      <c r="L3795" s="97">
        <v>0</v>
      </c>
      <c r="M3795" s="73" t="s">
        <v>3925</v>
      </c>
      <c r="N3795" s="99">
        <f t="shared" si="89"/>
        <v>27</v>
      </c>
    </row>
    <row r="3796" spans="1:14">
      <c r="A3796" s="12">
        <v>3795</v>
      </c>
      <c r="B3796" s="71" t="s">
        <v>3936</v>
      </c>
      <c r="C3796" s="42" t="s">
        <v>3937</v>
      </c>
      <c r="D3796" s="71" t="s">
        <v>5431</v>
      </c>
      <c r="E3796" s="72" t="s">
        <v>23</v>
      </c>
      <c r="F3796" s="72">
        <v>5.9</v>
      </c>
      <c r="G3796" s="73" t="s">
        <v>64</v>
      </c>
      <c r="H3796" s="73">
        <v>9971</v>
      </c>
      <c r="I3796" s="72">
        <v>0.45</v>
      </c>
      <c r="J3796" s="72">
        <v>0.45</v>
      </c>
      <c r="K3796" s="72">
        <v>0</v>
      </c>
      <c r="L3796" s="97">
        <v>0</v>
      </c>
      <c r="M3796" s="73" t="s">
        <v>3925</v>
      </c>
      <c r="N3796" s="99">
        <f t="shared" si="89"/>
        <v>0.9</v>
      </c>
    </row>
    <row r="3797" spans="1:14">
      <c r="A3797" s="12">
        <v>3796</v>
      </c>
      <c r="B3797" s="71" t="s">
        <v>3936</v>
      </c>
      <c r="C3797" s="42" t="s">
        <v>3937</v>
      </c>
      <c r="D3797" s="71" t="s">
        <v>5432</v>
      </c>
      <c r="E3797" s="72" t="s">
        <v>754</v>
      </c>
      <c r="F3797" s="72">
        <v>5.9</v>
      </c>
      <c r="G3797" s="73" t="s">
        <v>64</v>
      </c>
      <c r="H3797" s="73">
        <v>9971</v>
      </c>
      <c r="I3797" s="72">
        <v>0.45</v>
      </c>
      <c r="J3797" s="72">
        <v>0.45</v>
      </c>
      <c r="K3797" s="72">
        <v>0</v>
      </c>
      <c r="L3797" s="97">
        <v>0</v>
      </c>
      <c r="M3797" s="73" t="s">
        <v>3925</v>
      </c>
      <c r="N3797" s="99">
        <f t="shared" si="89"/>
        <v>0.9</v>
      </c>
    </row>
    <row r="3798" spans="1:14">
      <c r="A3798" s="12">
        <v>3797</v>
      </c>
      <c r="B3798" s="71" t="s">
        <v>3936</v>
      </c>
      <c r="C3798" s="42" t="s">
        <v>3937</v>
      </c>
      <c r="D3798" s="71" t="s">
        <v>5433</v>
      </c>
      <c r="E3798" s="72" t="s">
        <v>28</v>
      </c>
      <c r="F3798" s="72">
        <v>5.9</v>
      </c>
      <c r="G3798" s="73" t="s">
        <v>64</v>
      </c>
      <c r="H3798" s="73">
        <v>9971</v>
      </c>
      <c r="I3798" s="72">
        <v>0.45</v>
      </c>
      <c r="J3798" s="72">
        <v>0.45</v>
      </c>
      <c r="K3798" s="72">
        <v>0</v>
      </c>
      <c r="L3798" s="97">
        <v>0</v>
      </c>
      <c r="M3798" s="73" t="s">
        <v>3925</v>
      </c>
      <c r="N3798" s="99">
        <f t="shared" si="89"/>
        <v>0.9</v>
      </c>
    </row>
    <row r="3799" spans="1:14">
      <c r="A3799" s="12">
        <v>3798</v>
      </c>
      <c r="B3799" s="71" t="s">
        <v>557</v>
      </c>
      <c r="C3799" s="42" t="s">
        <v>558</v>
      </c>
      <c r="D3799" s="71" t="s">
        <v>5434</v>
      </c>
      <c r="E3799" s="72" t="s">
        <v>749</v>
      </c>
      <c r="F3799" s="72">
        <v>1172.8499999999999</v>
      </c>
      <c r="G3799" s="73" t="s">
        <v>64</v>
      </c>
      <c r="H3799" s="89" t="s">
        <v>847</v>
      </c>
      <c r="I3799" s="72">
        <v>0</v>
      </c>
      <c r="J3799" s="72">
        <v>0</v>
      </c>
      <c r="K3799" s="72">
        <v>178.91</v>
      </c>
      <c r="L3799" s="97">
        <v>0</v>
      </c>
      <c r="M3799" s="73" t="s">
        <v>3925</v>
      </c>
      <c r="N3799" s="99">
        <f t="shared" si="89"/>
        <v>178.91</v>
      </c>
    </row>
    <row r="3800" spans="1:14">
      <c r="A3800" s="12">
        <v>3799</v>
      </c>
      <c r="B3800" s="71" t="s">
        <v>557</v>
      </c>
      <c r="C3800" s="42" t="s">
        <v>558</v>
      </c>
      <c r="D3800" s="71" t="s">
        <v>5435</v>
      </c>
      <c r="E3800" s="72" t="s">
        <v>38</v>
      </c>
      <c r="F3800" s="72">
        <v>1196.4100000000001</v>
      </c>
      <c r="G3800" s="73" t="s">
        <v>64</v>
      </c>
      <c r="H3800" s="89" t="s">
        <v>847</v>
      </c>
      <c r="I3800" s="72">
        <v>0</v>
      </c>
      <c r="J3800" s="72">
        <v>0</v>
      </c>
      <c r="K3800" s="72">
        <v>182.5</v>
      </c>
      <c r="L3800" s="97">
        <v>0</v>
      </c>
      <c r="M3800" s="73" t="s">
        <v>3925</v>
      </c>
      <c r="N3800" s="99">
        <f t="shared" si="89"/>
        <v>182.5</v>
      </c>
    </row>
    <row r="3801" spans="1:14">
      <c r="A3801" s="12">
        <v>3800</v>
      </c>
      <c r="B3801" s="71" t="s">
        <v>557</v>
      </c>
      <c r="C3801" s="42" t="s">
        <v>558</v>
      </c>
      <c r="D3801" s="71" t="s">
        <v>5436</v>
      </c>
      <c r="E3801" s="72" t="s">
        <v>1424</v>
      </c>
      <c r="F3801" s="72">
        <v>1033.77</v>
      </c>
      <c r="G3801" s="73" t="s">
        <v>64</v>
      </c>
      <c r="H3801" s="89" t="s">
        <v>847</v>
      </c>
      <c r="I3801" s="72">
        <v>0</v>
      </c>
      <c r="J3801" s="72">
        <v>0</v>
      </c>
      <c r="K3801" s="72">
        <v>157.69</v>
      </c>
      <c r="L3801" s="97">
        <v>0</v>
      </c>
      <c r="M3801" s="73" t="s">
        <v>3925</v>
      </c>
      <c r="N3801" s="99">
        <f t="shared" si="89"/>
        <v>157.69</v>
      </c>
    </row>
    <row r="3802" spans="1:14">
      <c r="A3802" s="12">
        <v>3801</v>
      </c>
      <c r="B3802" s="71" t="s">
        <v>557</v>
      </c>
      <c r="C3802" s="42" t="s">
        <v>558</v>
      </c>
      <c r="D3802" s="71" t="s">
        <v>5437</v>
      </c>
      <c r="E3802" s="72" t="s">
        <v>761</v>
      </c>
      <c r="F3802" s="72">
        <v>1171.6199999999999</v>
      </c>
      <c r="G3802" s="73" t="s">
        <v>64</v>
      </c>
      <c r="H3802" s="89" t="s">
        <v>847</v>
      </c>
      <c r="I3802" s="72">
        <v>0</v>
      </c>
      <c r="J3802" s="72">
        <v>0</v>
      </c>
      <c r="K3802" s="72">
        <v>178.72</v>
      </c>
      <c r="L3802" s="97">
        <v>0</v>
      </c>
      <c r="M3802" s="73" t="s">
        <v>3925</v>
      </c>
      <c r="N3802" s="99">
        <f t="shared" si="89"/>
        <v>178.72</v>
      </c>
    </row>
    <row r="3803" spans="1:14">
      <c r="A3803" s="12">
        <v>3802</v>
      </c>
      <c r="B3803" s="71" t="s">
        <v>557</v>
      </c>
      <c r="C3803" s="42" t="s">
        <v>558</v>
      </c>
      <c r="D3803" s="71" t="s">
        <v>5438</v>
      </c>
      <c r="E3803" s="72" t="s">
        <v>40</v>
      </c>
      <c r="F3803" s="72">
        <v>425.35</v>
      </c>
      <c r="G3803" s="73" t="s">
        <v>64</v>
      </c>
      <c r="H3803" s="89" t="s">
        <v>847</v>
      </c>
      <c r="I3803" s="72">
        <v>0</v>
      </c>
      <c r="J3803" s="72">
        <v>0</v>
      </c>
      <c r="K3803" s="72">
        <v>64.88</v>
      </c>
      <c r="L3803" s="97">
        <v>0</v>
      </c>
      <c r="M3803" s="73" t="s">
        <v>3925</v>
      </c>
      <c r="N3803" s="99">
        <f t="shared" si="89"/>
        <v>64.88</v>
      </c>
    </row>
    <row r="3804" spans="1:14">
      <c r="A3804" s="12">
        <v>3803</v>
      </c>
      <c r="B3804" s="71" t="s">
        <v>557</v>
      </c>
      <c r="C3804" s="42" t="s">
        <v>558</v>
      </c>
      <c r="D3804" s="71" t="s">
        <v>5439</v>
      </c>
      <c r="E3804" s="72" t="s">
        <v>42</v>
      </c>
      <c r="F3804" s="72">
        <v>1288.7</v>
      </c>
      <c r="G3804" s="73" t="s">
        <v>64</v>
      </c>
      <c r="H3804" s="89" t="s">
        <v>847</v>
      </c>
      <c r="I3804" s="72">
        <v>0</v>
      </c>
      <c r="J3804" s="72">
        <v>0</v>
      </c>
      <c r="K3804" s="72">
        <v>196.58</v>
      </c>
      <c r="L3804" s="97">
        <v>0</v>
      </c>
      <c r="M3804" s="73" t="s">
        <v>3925</v>
      </c>
      <c r="N3804" s="99">
        <f t="shared" si="89"/>
        <v>196.58</v>
      </c>
    </row>
    <row r="3805" spans="1:14">
      <c r="A3805" s="12">
        <v>3804</v>
      </c>
      <c r="B3805" s="71" t="s">
        <v>557</v>
      </c>
      <c r="C3805" s="42" t="s">
        <v>558</v>
      </c>
      <c r="D3805" s="71" t="s">
        <v>5440</v>
      </c>
      <c r="E3805" s="72" t="s">
        <v>44</v>
      </c>
      <c r="F3805" s="72">
        <v>1656.25</v>
      </c>
      <c r="G3805" s="73" t="s">
        <v>64</v>
      </c>
      <c r="H3805" s="89" t="s">
        <v>847</v>
      </c>
      <c r="I3805" s="72">
        <v>0</v>
      </c>
      <c r="J3805" s="72">
        <v>0</v>
      </c>
      <c r="K3805" s="72">
        <v>252.65</v>
      </c>
      <c r="L3805" s="97">
        <v>0</v>
      </c>
      <c r="M3805" s="73" t="s">
        <v>3925</v>
      </c>
      <c r="N3805" s="99">
        <f t="shared" si="89"/>
        <v>252.65</v>
      </c>
    </row>
    <row r="3806" spans="1:14">
      <c r="A3806" s="12">
        <v>3805</v>
      </c>
      <c r="B3806" s="71" t="s">
        <v>557</v>
      </c>
      <c r="C3806" s="42" t="s">
        <v>558</v>
      </c>
      <c r="D3806" s="71" t="s">
        <v>5441</v>
      </c>
      <c r="E3806" s="72" t="s">
        <v>449</v>
      </c>
      <c r="F3806" s="72">
        <v>1652.55</v>
      </c>
      <c r="G3806" s="73" t="s">
        <v>64</v>
      </c>
      <c r="H3806" s="89" t="s">
        <v>847</v>
      </c>
      <c r="I3806" s="72">
        <v>0</v>
      </c>
      <c r="J3806" s="72">
        <v>0</v>
      </c>
      <c r="K3806" s="72">
        <v>252.08</v>
      </c>
      <c r="L3806" s="97">
        <v>0</v>
      </c>
      <c r="M3806" s="73" t="s">
        <v>3925</v>
      </c>
      <c r="N3806" s="99">
        <f t="shared" si="89"/>
        <v>252.08</v>
      </c>
    </row>
    <row r="3807" spans="1:14">
      <c r="A3807" s="12">
        <v>3806</v>
      </c>
      <c r="B3807" s="71" t="s">
        <v>557</v>
      </c>
      <c r="C3807" s="42" t="s">
        <v>558</v>
      </c>
      <c r="D3807" s="71" t="s">
        <v>5442</v>
      </c>
      <c r="E3807" s="72" t="s">
        <v>1510</v>
      </c>
      <c r="F3807" s="72">
        <v>402.5</v>
      </c>
      <c r="G3807" s="73" t="s">
        <v>64</v>
      </c>
      <c r="H3807" s="89" t="s">
        <v>847</v>
      </c>
      <c r="I3807" s="72">
        <v>0</v>
      </c>
      <c r="J3807" s="72">
        <v>0</v>
      </c>
      <c r="K3807" s="72">
        <v>61.4</v>
      </c>
      <c r="L3807" s="97">
        <v>0</v>
      </c>
      <c r="M3807" s="73" t="s">
        <v>3925</v>
      </c>
      <c r="N3807" s="99">
        <f t="shared" si="89"/>
        <v>61.4</v>
      </c>
    </row>
    <row r="3808" spans="1:14">
      <c r="A3808" s="12">
        <v>3807</v>
      </c>
      <c r="B3808" s="71" t="s">
        <v>557</v>
      </c>
      <c r="C3808" s="42" t="s">
        <v>558</v>
      </c>
      <c r="D3808" s="71" t="s">
        <v>5443</v>
      </c>
      <c r="E3808" s="72" t="s">
        <v>921</v>
      </c>
      <c r="F3808" s="72">
        <v>1800.7</v>
      </c>
      <c r="G3808" s="73" t="s">
        <v>64</v>
      </c>
      <c r="H3808" s="89" t="s">
        <v>847</v>
      </c>
      <c r="I3808" s="72">
        <v>0</v>
      </c>
      <c r="J3808" s="72">
        <v>0</v>
      </c>
      <c r="K3808" s="72">
        <v>274.68</v>
      </c>
      <c r="L3808" s="97">
        <v>0</v>
      </c>
      <c r="M3808" s="73" t="s">
        <v>3925</v>
      </c>
      <c r="N3808" s="99">
        <f t="shared" si="89"/>
        <v>274.68</v>
      </c>
    </row>
    <row r="3809" spans="1:14">
      <c r="A3809" s="12">
        <v>3808</v>
      </c>
      <c r="B3809" s="71" t="s">
        <v>557</v>
      </c>
      <c r="C3809" s="42" t="s">
        <v>558</v>
      </c>
      <c r="D3809" s="71" t="s">
        <v>5444</v>
      </c>
      <c r="E3809" s="72" t="s">
        <v>46</v>
      </c>
      <c r="F3809" s="72">
        <v>1921.16</v>
      </c>
      <c r="G3809" s="73" t="s">
        <v>64</v>
      </c>
      <c r="H3809" s="89" t="s">
        <v>847</v>
      </c>
      <c r="I3809" s="72">
        <v>0</v>
      </c>
      <c r="J3809" s="72">
        <v>0</v>
      </c>
      <c r="K3809" s="72">
        <v>293.06</v>
      </c>
      <c r="L3809" s="97">
        <v>0</v>
      </c>
      <c r="M3809" s="73" t="s">
        <v>3925</v>
      </c>
      <c r="N3809" s="99">
        <f t="shared" si="89"/>
        <v>293.06</v>
      </c>
    </row>
    <row r="3810" spans="1:14">
      <c r="A3810" s="12">
        <v>3809</v>
      </c>
      <c r="B3810" s="71" t="s">
        <v>557</v>
      </c>
      <c r="C3810" s="42" t="s">
        <v>558</v>
      </c>
      <c r="D3810" s="71" t="s">
        <v>5445</v>
      </c>
      <c r="E3810" s="72" t="s">
        <v>1025</v>
      </c>
      <c r="F3810" s="72">
        <v>1201.56</v>
      </c>
      <c r="G3810" s="73" t="s">
        <v>64</v>
      </c>
      <c r="H3810" s="89" t="s">
        <v>847</v>
      </c>
      <c r="I3810" s="72">
        <v>0</v>
      </c>
      <c r="J3810" s="72">
        <v>0</v>
      </c>
      <c r="K3810" s="72">
        <v>183.29</v>
      </c>
      <c r="L3810" s="97">
        <v>0</v>
      </c>
      <c r="M3810" s="73" t="s">
        <v>3925</v>
      </c>
      <c r="N3810" s="99">
        <f t="shared" si="89"/>
        <v>183.29</v>
      </c>
    </row>
    <row r="3811" spans="1:14">
      <c r="A3811" s="12">
        <v>3810</v>
      </c>
      <c r="B3811" s="71" t="s">
        <v>557</v>
      </c>
      <c r="C3811" s="42" t="s">
        <v>558</v>
      </c>
      <c r="D3811" s="71" t="s">
        <v>5446</v>
      </c>
      <c r="E3811" s="72" t="s">
        <v>766</v>
      </c>
      <c r="F3811" s="72">
        <v>76.58</v>
      </c>
      <c r="G3811" s="73" t="s">
        <v>64</v>
      </c>
      <c r="H3811" s="89" t="s">
        <v>847</v>
      </c>
      <c r="I3811" s="72">
        <v>0</v>
      </c>
      <c r="J3811" s="72">
        <v>0</v>
      </c>
      <c r="K3811" s="72">
        <v>11.68</v>
      </c>
      <c r="L3811" s="97">
        <v>0</v>
      </c>
      <c r="M3811" s="73" t="s">
        <v>3925</v>
      </c>
      <c r="N3811" s="99">
        <f t="shared" si="89"/>
        <v>11.68</v>
      </c>
    </row>
    <row r="3812" spans="1:14">
      <c r="A3812" s="12">
        <v>3811</v>
      </c>
      <c r="B3812" s="71" t="s">
        <v>557</v>
      </c>
      <c r="C3812" s="42" t="s">
        <v>558</v>
      </c>
      <c r="D3812" s="71" t="s">
        <v>5447</v>
      </c>
      <c r="E3812" s="72" t="s">
        <v>447</v>
      </c>
      <c r="F3812" s="72">
        <v>1181.3599999999999</v>
      </c>
      <c r="G3812" s="73" t="s">
        <v>64</v>
      </c>
      <c r="H3812" s="89" t="s">
        <v>847</v>
      </c>
      <c r="I3812" s="72">
        <v>0</v>
      </c>
      <c r="J3812" s="72">
        <v>0</v>
      </c>
      <c r="K3812" s="72">
        <v>180.21</v>
      </c>
      <c r="L3812" s="97">
        <v>0</v>
      </c>
      <c r="M3812" s="73" t="s">
        <v>3925</v>
      </c>
      <c r="N3812" s="99">
        <f t="shared" si="89"/>
        <v>180.21</v>
      </c>
    </row>
    <row r="3813" spans="1:14">
      <c r="A3813" s="12">
        <v>3812</v>
      </c>
      <c r="B3813" s="71" t="s">
        <v>557</v>
      </c>
      <c r="C3813" s="42" t="s">
        <v>558</v>
      </c>
      <c r="D3813" s="71" t="s">
        <v>5448</v>
      </c>
      <c r="E3813" s="72" t="s">
        <v>4382</v>
      </c>
      <c r="F3813" s="72">
        <v>1089.98</v>
      </c>
      <c r="G3813" s="73" t="s">
        <v>64</v>
      </c>
      <c r="H3813" s="89" t="s">
        <v>847</v>
      </c>
      <c r="I3813" s="72">
        <v>0</v>
      </c>
      <c r="J3813" s="72">
        <v>0</v>
      </c>
      <c r="K3813" s="72">
        <v>166.27</v>
      </c>
      <c r="L3813" s="97">
        <v>0</v>
      </c>
      <c r="M3813" s="73" t="s">
        <v>3925</v>
      </c>
      <c r="N3813" s="99">
        <f t="shared" si="89"/>
        <v>166.27</v>
      </c>
    </row>
    <row r="3814" spans="1:14">
      <c r="A3814" s="12">
        <v>3813</v>
      </c>
      <c r="B3814" s="71" t="s">
        <v>557</v>
      </c>
      <c r="C3814" s="42" t="s">
        <v>558</v>
      </c>
      <c r="D3814" s="71" t="s">
        <v>5449</v>
      </c>
      <c r="E3814" s="72" t="s">
        <v>4402</v>
      </c>
      <c r="F3814" s="72">
        <v>1022.23</v>
      </c>
      <c r="G3814" s="73" t="s">
        <v>64</v>
      </c>
      <c r="H3814" s="89" t="s">
        <v>847</v>
      </c>
      <c r="I3814" s="72">
        <v>0</v>
      </c>
      <c r="J3814" s="72">
        <v>0</v>
      </c>
      <c r="K3814" s="72">
        <v>155.93</v>
      </c>
      <c r="L3814" s="97">
        <v>0</v>
      </c>
      <c r="M3814" s="73" t="s">
        <v>3925</v>
      </c>
      <c r="N3814" s="99">
        <f t="shared" si="89"/>
        <v>155.93</v>
      </c>
    </row>
    <row r="3815" spans="1:14">
      <c r="A3815" s="12">
        <v>3814</v>
      </c>
      <c r="B3815" s="71" t="s">
        <v>557</v>
      </c>
      <c r="C3815" s="42" t="s">
        <v>558</v>
      </c>
      <c r="D3815" s="71" t="s">
        <v>5450</v>
      </c>
      <c r="E3815" s="72" t="s">
        <v>28</v>
      </c>
      <c r="F3815" s="72">
        <v>887.75</v>
      </c>
      <c r="G3815" s="73" t="s">
        <v>64</v>
      </c>
      <c r="H3815" s="89" t="s">
        <v>847</v>
      </c>
      <c r="I3815" s="72">
        <v>0</v>
      </c>
      <c r="J3815" s="72">
        <v>0</v>
      </c>
      <c r="K3815" s="72">
        <v>135.41999999999999</v>
      </c>
      <c r="L3815" s="97">
        <v>0</v>
      </c>
      <c r="M3815" s="73" t="s">
        <v>3925</v>
      </c>
      <c r="N3815" s="99">
        <f t="shared" si="89"/>
        <v>135.41999999999999</v>
      </c>
    </row>
    <row r="3816" spans="1:14">
      <c r="A3816" s="12">
        <v>3815</v>
      </c>
      <c r="B3816" s="71" t="s">
        <v>557</v>
      </c>
      <c r="C3816" s="42" t="s">
        <v>558</v>
      </c>
      <c r="D3816" s="71" t="s">
        <v>5451</v>
      </c>
      <c r="E3816" s="72" t="s">
        <v>757</v>
      </c>
      <c r="F3816" s="72">
        <v>1384.02</v>
      </c>
      <c r="G3816" s="73" t="s">
        <v>64</v>
      </c>
      <c r="H3816" s="89" t="s">
        <v>847</v>
      </c>
      <c r="I3816" s="72">
        <v>0</v>
      </c>
      <c r="J3816" s="72">
        <v>0</v>
      </c>
      <c r="K3816" s="72">
        <v>211.12</v>
      </c>
      <c r="L3816" s="97">
        <v>0</v>
      </c>
      <c r="M3816" s="73" t="s">
        <v>3925</v>
      </c>
      <c r="N3816" s="99">
        <f t="shared" si="89"/>
        <v>211.12</v>
      </c>
    </row>
    <row r="3817" spans="1:14">
      <c r="A3817" s="12">
        <v>3816</v>
      </c>
      <c r="B3817" s="71" t="s">
        <v>557</v>
      </c>
      <c r="C3817" s="42" t="s">
        <v>558</v>
      </c>
      <c r="D3817" s="71" t="s">
        <v>5452</v>
      </c>
      <c r="E3817" s="72" t="s">
        <v>773</v>
      </c>
      <c r="F3817" s="72">
        <v>1294.01</v>
      </c>
      <c r="G3817" s="73" t="s">
        <v>64</v>
      </c>
      <c r="H3817" s="89" t="s">
        <v>847</v>
      </c>
      <c r="I3817" s="72">
        <v>0</v>
      </c>
      <c r="J3817" s="72">
        <v>0</v>
      </c>
      <c r="K3817" s="72">
        <v>197.39</v>
      </c>
      <c r="L3817" s="97">
        <v>0</v>
      </c>
      <c r="M3817" s="73" t="s">
        <v>3925</v>
      </c>
      <c r="N3817" s="99">
        <f t="shared" si="89"/>
        <v>197.39</v>
      </c>
    </row>
    <row r="3818" spans="1:14">
      <c r="A3818" s="12">
        <v>3817</v>
      </c>
      <c r="B3818" s="71" t="s">
        <v>557</v>
      </c>
      <c r="C3818" s="42" t="s">
        <v>558</v>
      </c>
      <c r="D3818" s="71" t="s">
        <v>5453</v>
      </c>
      <c r="E3818" s="72" t="s">
        <v>30</v>
      </c>
      <c r="F3818" s="72">
        <v>1350.01</v>
      </c>
      <c r="G3818" s="73" t="s">
        <v>64</v>
      </c>
      <c r="H3818" s="89" t="s">
        <v>847</v>
      </c>
      <c r="I3818" s="72">
        <v>0</v>
      </c>
      <c r="J3818" s="72">
        <v>0</v>
      </c>
      <c r="K3818" s="72">
        <v>205.93</v>
      </c>
      <c r="L3818" s="97">
        <v>0</v>
      </c>
      <c r="M3818" s="73" t="s">
        <v>3925</v>
      </c>
      <c r="N3818" s="99">
        <f t="shared" si="89"/>
        <v>205.93</v>
      </c>
    </row>
    <row r="3819" spans="1:14">
      <c r="A3819" s="12">
        <v>3818</v>
      </c>
      <c r="B3819" s="71" t="s">
        <v>5094</v>
      </c>
      <c r="C3819" s="42" t="s">
        <v>5095</v>
      </c>
      <c r="D3819" s="71" t="s">
        <v>5454</v>
      </c>
      <c r="E3819" s="72" t="s">
        <v>777</v>
      </c>
      <c r="F3819" s="72">
        <v>23520</v>
      </c>
      <c r="G3819" s="73" t="s">
        <v>182</v>
      </c>
      <c r="H3819" s="73">
        <v>9403</v>
      </c>
      <c r="I3819" s="72">
        <v>0</v>
      </c>
      <c r="J3819" s="72">
        <v>0</v>
      </c>
      <c r="K3819" s="72">
        <v>2520</v>
      </c>
      <c r="L3819" s="97">
        <v>0</v>
      </c>
      <c r="M3819" s="73" t="s">
        <v>3925</v>
      </c>
      <c r="N3819" s="99">
        <f t="shared" si="89"/>
        <v>2520</v>
      </c>
    </row>
    <row r="3820" spans="1:14">
      <c r="A3820" s="12">
        <v>3819</v>
      </c>
      <c r="B3820" s="71" t="s">
        <v>5094</v>
      </c>
      <c r="C3820" s="42" t="s">
        <v>5095</v>
      </c>
      <c r="D3820" s="71" t="s">
        <v>5455</v>
      </c>
      <c r="E3820" s="72" t="s">
        <v>779</v>
      </c>
      <c r="F3820" s="72">
        <v>24640</v>
      </c>
      <c r="G3820" s="73" t="s">
        <v>182</v>
      </c>
      <c r="H3820" s="73">
        <v>9403</v>
      </c>
      <c r="I3820" s="72">
        <v>0</v>
      </c>
      <c r="J3820" s="72">
        <v>0</v>
      </c>
      <c r="K3820" s="72">
        <v>2640</v>
      </c>
      <c r="L3820" s="97">
        <v>0</v>
      </c>
      <c r="M3820" s="73" t="s">
        <v>3925</v>
      </c>
      <c r="N3820" s="99">
        <f t="shared" ref="N3820:N3883" si="90">IF(M3820="YES", I3820+J3820+K3820, 0)</f>
        <v>2640</v>
      </c>
    </row>
    <row r="3821" spans="1:14">
      <c r="A3821" s="12">
        <v>3820</v>
      </c>
      <c r="B3821" s="71" t="s">
        <v>5088</v>
      </c>
      <c r="C3821" s="42" t="s">
        <v>5089</v>
      </c>
      <c r="D3821" s="71" t="s">
        <v>5456</v>
      </c>
      <c r="E3821" s="72" t="s">
        <v>59</v>
      </c>
      <c r="F3821" s="72">
        <v>3641.72</v>
      </c>
      <c r="G3821" s="73" t="s">
        <v>64</v>
      </c>
      <c r="H3821" s="73">
        <v>997119</v>
      </c>
      <c r="I3821" s="72">
        <v>0</v>
      </c>
      <c r="J3821" s="72">
        <v>0</v>
      </c>
      <c r="K3821" s="72">
        <v>555.52</v>
      </c>
      <c r="L3821" s="97">
        <v>0</v>
      </c>
      <c r="M3821" s="73" t="s">
        <v>3925</v>
      </c>
      <c r="N3821" s="99">
        <f t="shared" si="90"/>
        <v>555.52</v>
      </c>
    </row>
    <row r="3822" spans="1:14">
      <c r="A3822" s="12">
        <v>3821</v>
      </c>
      <c r="B3822" s="71" t="s">
        <v>5094</v>
      </c>
      <c r="C3822" s="42" t="s">
        <v>5095</v>
      </c>
      <c r="D3822" s="71" t="s">
        <v>5457</v>
      </c>
      <c r="E3822" s="72" t="s">
        <v>42</v>
      </c>
      <c r="F3822" s="72">
        <v>34220</v>
      </c>
      <c r="G3822" s="73" t="s">
        <v>182</v>
      </c>
      <c r="H3822" s="73">
        <v>9403</v>
      </c>
      <c r="I3822" s="72">
        <v>0</v>
      </c>
      <c r="J3822" s="72">
        <v>0</v>
      </c>
      <c r="K3822" s="72">
        <v>5220</v>
      </c>
      <c r="L3822" s="97">
        <v>0</v>
      </c>
      <c r="M3822" s="73" t="s">
        <v>3925</v>
      </c>
      <c r="N3822" s="99">
        <f t="shared" si="90"/>
        <v>5220</v>
      </c>
    </row>
    <row r="3823" spans="1:14">
      <c r="A3823" s="12">
        <v>3822</v>
      </c>
      <c r="B3823" s="71" t="s">
        <v>5094</v>
      </c>
      <c r="C3823" s="42" t="s">
        <v>5095</v>
      </c>
      <c r="D3823" s="71" t="s">
        <v>5458</v>
      </c>
      <c r="E3823" s="72" t="s">
        <v>1513</v>
      </c>
      <c r="F3823" s="72">
        <v>37170</v>
      </c>
      <c r="G3823" s="73" t="s">
        <v>182</v>
      </c>
      <c r="H3823" s="73">
        <v>9403</v>
      </c>
      <c r="I3823" s="72">
        <v>0</v>
      </c>
      <c r="J3823" s="72">
        <v>0</v>
      </c>
      <c r="K3823" s="72">
        <v>5670</v>
      </c>
      <c r="L3823" s="97">
        <v>0</v>
      </c>
      <c r="M3823" s="73" t="s">
        <v>3925</v>
      </c>
      <c r="N3823" s="99">
        <f t="shared" si="90"/>
        <v>5670</v>
      </c>
    </row>
    <row r="3824" spans="1:14">
      <c r="A3824" s="12">
        <v>3823</v>
      </c>
      <c r="B3824" s="71" t="s">
        <v>5094</v>
      </c>
      <c r="C3824" s="42" t="s">
        <v>5095</v>
      </c>
      <c r="D3824" s="71" t="s">
        <v>5459</v>
      </c>
      <c r="E3824" s="72" t="s">
        <v>921</v>
      </c>
      <c r="F3824" s="72">
        <v>35280</v>
      </c>
      <c r="G3824" s="73" t="s">
        <v>182</v>
      </c>
      <c r="H3824" s="73">
        <v>9403</v>
      </c>
      <c r="I3824" s="72">
        <v>0</v>
      </c>
      <c r="J3824" s="72">
        <v>0</v>
      </c>
      <c r="K3824" s="72">
        <v>3780</v>
      </c>
      <c r="L3824" s="97">
        <v>0</v>
      </c>
      <c r="M3824" s="73" t="s">
        <v>3925</v>
      </c>
      <c r="N3824" s="99">
        <f t="shared" si="90"/>
        <v>3780</v>
      </c>
    </row>
    <row r="3825" spans="1:14">
      <c r="A3825" s="12">
        <v>3824</v>
      </c>
      <c r="B3825" s="71" t="s">
        <v>5094</v>
      </c>
      <c r="C3825" s="42" t="s">
        <v>5095</v>
      </c>
      <c r="D3825" s="71" t="s">
        <v>5460</v>
      </c>
      <c r="E3825" s="72" t="s">
        <v>1196</v>
      </c>
      <c r="F3825" s="72">
        <v>17920</v>
      </c>
      <c r="G3825" s="73" t="s">
        <v>182</v>
      </c>
      <c r="H3825" s="73">
        <v>9403</v>
      </c>
      <c r="I3825" s="72">
        <v>0</v>
      </c>
      <c r="J3825" s="72">
        <v>0</v>
      </c>
      <c r="K3825" s="72">
        <v>1920</v>
      </c>
      <c r="L3825" s="97">
        <v>0</v>
      </c>
      <c r="M3825" s="73" t="s">
        <v>3925</v>
      </c>
      <c r="N3825" s="99">
        <f t="shared" si="90"/>
        <v>1920</v>
      </c>
    </row>
    <row r="3826" spans="1:14">
      <c r="A3826" s="12">
        <v>3825</v>
      </c>
      <c r="B3826" s="71" t="s">
        <v>5094</v>
      </c>
      <c r="C3826" s="42" t="s">
        <v>5095</v>
      </c>
      <c r="D3826" s="71" t="s">
        <v>5461</v>
      </c>
      <c r="E3826" s="72" t="s">
        <v>754</v>
      </c>
      <c r="F3826" s="72">
        <v>24080</v>
      </c>
      <c r="G3826" s="73" t="s">
        <v>182</v>
      </c>
      <c r="H3826" s="73">
        <v>9403</v>
      </c>
      <c r="I3826" s="72">
        <v>0</v>
      </c>
      <c r="J3826" s="72">
        <v>0</v>
      </c>
      <c r="K3826" s="72">
        <v>2580</v>
      </c>
      <c r="L3826" s="97">
        <v>0</v>
      </c>
      <c r="M3826" s="73" t="s">
        <v>3925</v>
      </c>
      <c r="N3826" s="99">
        <f t="shared" si="90"/>
        <v>2580</v>
      </c>
    </row>
    <row r="3827" spans="1:14">
      <c r="A3827" s="12">
        <v>3826</v>
      </c>
      <c r="B3827" s="71" t="s">
        <v>5094</v>
      </c>
      <c r="C3827" s="42" t="s">
        <v>5095</v>
      </c>
      <c r="D3827" s="71" t="s">
        <v>5462</v>
      </c>
      <c r="E3827" s="72" t="s">
        <v>28</v>
      </c>
      <c r="F3827" s="72">
        <v>23520</v>
      </c>
      <c r="G3827" s="73" t="s">
        <v>182</v>
      </c>
      <c r="H3827" s="73">
        <v>9403</v>
      </c>
      <c r="I3827" s="72">
        <v>0</v>
      </c>
      <c r="J3827" s="72">
        <v>0</v>
      </c>
      <c r="K3827" s="72">
        <v>2520</v>
      </c>
      <c r="L3827" s="97">
        <v>0</v>
      </c>
      <c r="M3827" s="73" t="s">
        <v>3925</v>
      </c>
      <c r="N3827" s="99">
        <f t="shared" si="90"/>
        <v>2520</v>
      </c>
    </row>
    <row r="3828" spans="1:14">
      <c r="A3828" s="12">
        <v>3827</v>
      </c>
      <c r="B3828" s="71" t="s">
        <v>1759</v>
      </c>
      <c r="C3828" s="42" t="s">
        <v>1760</v>
      </c>
      <c r="D3828" s="71" t="s">
        <v>5463</v>
      </c>
      <c r="E3828" s="72" t="s">
        <v>59</v>
      </c>
      <c r="F3828" s="72">
        <v>5999.96</v>
      </c>
      <c r="G3828" s="73" t="s">
        <v>64</v>
      </c>
      <c r="H3828" s="89" t="s">
        <v>561</v>
      </c>
      <c r="I3828" s="72">
        <v>0</v>
      </c>
      <c r="J3828" s="72">
        <v>0</v>
      </c>
      <c r="K3828" s="72">
        <v>915.25</v>
      </c>
      <c r="L3828" s="97">
        <v>0</v>
      </c>
      <c r="M3828" s="73" t="s">
        <v>3925</v>
      </c>
      <c r="N3828" s="99">
        <f t="shared" si="90"/>
        <v>915.25</v>
      </c>
    </row>
    <row r="3829" spans="1:14">
      <c r="A3829" s="12">
        <v>3828</v>
      </c>
      <c r="B3829" s="71" t="s">
        <v>5464</v>
      </c>
      <c r="C3829" s="42" t="s">
        <v>5465</v>
      </c>
      <c r="D3829" s="71" t="s">
        <v>5466</v>
      </c>
      <c r="E3829" s="72" t="s">
        <v>30</v>
      </c>
      <c r="F3829" s="72">
        <v>672.99</v>
      </c>
      <c r="G3829" s="74" t="s">
        <v>24</v>
      </c>
      <c r="H3829" s="74">
        <v>9503</v>
      </c>
      <c r="I3829" s="72">
        <v>0</v>
      </c>
      <c r="J3829" s="72">
        <v>0</v>
      </c>
      <c r="K3829" s="72">
        <v>72.11</v>
      </c>
      <c r="L3829" s="97">
        <v>0</v>
      </c>
      <c r="M3829" s="73" t="s">
        <v>3925</v>
      </c>
      <c r="N3829" s="99">
        <f t="shared" si="90"/>
        <v>72.11</v>
      </c>
    </row>
    <row r="3830" spans="1:14">
      <c r="A3830" s="12">
        <v>3829</v>
      </c>
      <c r="B3830" s="71" t="s">
        <v>5467</v>
      </c>
      <c r="C3830" s="42" t="s">
        <v>5468</v>
      </c>
      <c r="D3830" s="71" t="s">
        <v>5469</v>
      </c>
      <c r="E3830" s="72" t="s">
        <v>1090</v>
      </c>
      <c r="F3830" s="72">
        <v>8136</v>
      </c>
      <c r="G3830" s="73" t="s">
        <v>632</v>
      </c>
      <c r="H3830" s="74">
        <v>84841090</v>
      </c>
      <c r="I3830" s="72">
        <v>651.23</v>
      </c>
      <c r="J3830" s="72">
        <v>651.23</v>
      </c>
      <c r="K3830" s="72">
        <v>0</v>
      </c>
      <c r="L3830" s="97">
        <v>0</v>
      </c>
      <c r="M3830" s="73" t="s">
        <v>4847</v>
      </c>
      <c r="N3830" s="99">
        <f t="shared" si="90"/>
        <v>0</v>
      </c>
    </row>
    <row r="3831" spans="1:14">
      <c r="A3831" s="12">
        <v>3830</v>
      </c>
      <c r="B3831" s="71" t="s">
        <v>1759</v>
      </c>
      <c r="C3831" s="42" t="s">
        <v>1760</v>
      </c>
      <c r="D3831" s="71" t="s">
        <v>5470</v>
      </c>
      <c r="E3831" s="72" t="s">
        <v>63</v>
      </c>
      <c r="F3831" s="72">
        <v>5214.0200000000004</v>
      </c>
      <c r="G3831" s="73" t="s">
        <v>64</v>
      </c>
      <c r="H3831" s="89" t="s">
        <v>561</v>
      </c>
      <c r="I3831" s="72">
        <v>0</v>
      </c>
      <c r="J3831" s="72">
        <v>0</v>
      </c>
      <c r="K3831" s="72">
        <v>795.36</v>
      </c>
      <c r="L3831" s="97">
        <v>0</v>
      </c>
      <c r="M3831" s="73" t="s">
        <v>3925</v>
      </c>
      <c r="N3831" s="99">
        <f t="shared" si="90"/>
        <v>795.36</v>
      </c>
    </row>
    <row r="3832" spans="1:14">
      <c r="A3832" s="12">
        <v>3831</v>
      </c>
      <c r="B3832" s="71" t="s">
        <v>5094</v>
      </c>
      <c r="C3832" s="42" t="s">
        <v>5095</v>
      </c>
      <c r="D3832" s="71" t="s">
        <v>5471</v>
      </c>
      <c r="E3832" s="72" t="s">
        <v>798</v>
      </c>
      <c r="F3832" s="72">
        <v>11200</v>
      </c>
      <c r="G3832" s="73" t="s">
        <v>182</v>
      </c>
      <c r="H3832" s="73">
        <v>9403</v>
      </c>
      <c r="I3832" s="72">
        <v>0</v>
      </c>
      <c r="J3832" s="72">
        <v>0</v>
      </c>
      <c r="K3832" s="72">
        <v>1200</v>
      </c>
      <c r="L3832" s="97">
        <v>0</v>
      </c>
      <c r="M3832" s="73" t="s">
        <v>3925</v>
      </c>
      <c r="N3832" s="99">
        <f t="shared" si="90"/>
        <v>1200</v>
      </c>
    </row>
    <row r="3833" spans="1:14">
      <c r="A3833" s="12">
        <v>3832</v>
      </c>
      <c r="B3833" s="71" t="s">
        <v>5094</v>
      </c>
      <c r="C3833" s="42" t="s">
        <v>5095</v>
      </c>
      <c r="D3833" s="71" t="s">
        <v>5472</v>
      </c>
      <c r="E3833" s="72" t="s">
        <v>469</v>
      </c>
      <c r="F3833" s="72">
        <v>20160</v>
      </c>
      <c r="G3833" s="73" t="s">
        <v>182</v>
      </c>
      <c r="H3833" s="73">
        <v>9403</v>
      </c>
      <c r="I3833" s="72">
        <v>0</v>
      </c>
      <c r="J3833" s="72">
        <v>0</v>
      </c>
      <c r="K3833" s="72">
        <v>2160</v>
      </c>
      <c r="L3833" s="97">
        <v>0</v>
      </c>
      <c r="M3833" s="73" t="s">
        <v>3925</v>
      </c>
      <c r="N3833" s="99">
        <f t="shared" si="90"/>
        <v>2160</v>
      </c>
    </row>
    <row r="3834" spans="1:14">
      <c r="A3834" s="12">
        <v>3833</v>
      </c>
      <c r="B3834" s="71" t="s">
        <v>5094</v>
      </c>
      <c r="C3834" s="42" t="s">
        <v>5095</v>
      </c>
      <c r="D3834" s="71" t="s">
        <v>5473</v>
      </c>
      <c r="E3834" s="72" t="s">
        <v>800</v>
      </c>
      <c r="F3834" s="72">
        <v>16240</v>
      </c>
      <c r="G3834" s="73" t="s">
        <v>182</v>
      </c>
      <c r="H3834" s="73">
        <v>9403</v>
      </c>
      <c r="I3834" s="72">
        <v>0</v>
      </c>
      <c r="J3834" s="72">
        <v>0</v>
      </c>
      <c r="K3834" s="72">
        <v>1740</v>
      </c>
      <c r="L3834" s="97">
        <v>0</v>
      </c>
      <c r="M3834" s="73" t="s">
        <v>3925</v>
      </c>
      <c r="N3834" s="99">
        <f t="shared" si="90"/>
        <v>1740</v>
      </c>
    </row>
    <row r="3835" spans="1:14">
      <c r="A3835" s="12">
        <v>3834</v>
      </c>
      <c r="B3835" s="71" t="s">
        <v>5094</v>
      </c>
      <c r="C3835" s="42" t="s">
        <v>5095</v>
      </c>
      <c r="D3835" s="71" t="s">
        <v>5474</v>
      </c>
      <c r="E3835" s="72" t="s">
        <v>5475</v>
      </c>
      <c r="F3835" s="72">
        <v>19600</v>
      </c>
      <c r="G3835" s="73" t="s">
        <v>182</v>
      </c>
      <c r="H3835" s="73">
        <v>9403</v>
      </c>
      <c r="I3835" s="72">
        <v>0</v>
      </c>
      <c r="J3835" s="72">
        <v>0</v>
      </c>
      <c r="K3835" s="72">
        <v>2100</v>
      </c>
      <c r="L3835" s="97">
        <v>0</v>
      </c>
      <c r="M3835" s="73" t="s">
        <v>3925</v>
      </c>
      <c r="N3835" s="99">
        <f t="shared" si="90"/>
        <v>2100</v>
      </c>
    </row>
    <row r="3836" spans="1:14">
      <c r="A3836" s="12">
        <v>3835</v>
      </c>
      <c r="B3836" s="71" t="s">
        <v>5094</v>
      </c>
      <c r="C3836" s="42" t="s">
        <v>5095</v>
      </c>
      <c r="D3836" s="71" t="s">
        <v>5476</v>
      </c>
      <c r="E3836" s="72" t="s">
        <v>475</v>
      </c>
      <c r="F3836" s="72">
        <v>21240</v>
      </c>
      <c r="G3836" s="73" t="s">
        <v>182</v>
      </c>
      <c r="H3836" s="73">
        <v>9403</v>
      </c>
      <c r="I3836" s="72">
        <v>0</v>
      </c>
      <c r="J3836" s="72">
        <v>0</v>
      </c>
      <c r="K3836" s="72">
        <v>3240</v>
      </c>
      <c r="L3836" s="97">
        <v>0</v>
      </c>
      <c r="M3836" s="73" t="s">
        <v>3925</v>
      </c>
      <c r="N3836" s="99">
        <f t="shared" si="90"/>
        <v>3240</v>
      </c>
    </row>
    <row r="3837" spans="1:14">
      <c r="A3837" s="12">
        <v>3836</v>
      </c>
      <c r="B3837" s="71" t="s">
        <v>5094</v>
      </c>
      <c r="C3837" s="42" t="s">
        <v>5095</v>
      </c>
      <c r="D3837" s="71" t="s">
        <v>5477</v>
      </c>
      <c r="E3837" s="72" t="s">
        <v>1177</v>
      </c>
      <c r="F3837" s="72">
        <v>17920</v>
      </c>
      <c r="G3837" s="73" t="s">
        <v>182</v>
      </c>
      <c r="H3837" s="73">
        <v>9403</v>
      </c>
      <c r="I3837" s="72">
        <v>0</v>
      </c>
      <c r="J3837" s="72">
        <v>0</v>
      </c>
      <c r="K3837" s="72">
        <v>1920</v>
      </c>
      <c r="L3837" s="97">
        <v>0</v>
      </c>
      <c r="M3837" s="73" t="s">
        <v>3925</v>
      </c>
      <c r="N3837" s="99">
        <f t="shared" si="90"/>
        <v>1920</v>
      </c>
    </row>
    <row r="3838" spans="1:14">
      <c r="A3838" s="12">
        <v>3837</v>
      </c>
      <c r="B3838" s="71" t="s">
        <v>5094</v>
      </c>
      <c r="C3838" s="42" t="s">
        <v>5095</v>
      </c>
      <c r="D3838" s="71" t="s">
        <v>5478</v>
      </c>
      <c r="E3838" s="72" t="s">
        <v>467</v>
      </c>
      <c r="F3838" s="72">
        <v>39530</v>
      </c>
      <c r="G3838" s="73" t="s">
        <v>182</v>
      </c>
      <c r="H3838" s="73">
        <v>9403</v>
      </c>
      <c r="I3838" s="72">
        <v>0</v>
      </c>
      <c r="J3838" s="72">
        <v>0</v>
      </c>
      <c r="K3838" s="72">
        <v>6030</v>
      </c>
      <c r="L3838" s="97">
        <v>0</v>
      </c>
      <c r="M3838" s="73" t="s">
        <v>3925</v>
      </c>
      <c r="N3838" s="99">
        <f t="shared" si="90"/>
        <v>6030</v>
      </c>
    </row>
    <row r="3839" spans="1:14">
      <c r="A3839" s="12">
        <v>3838</v>
      </c>
      <c r="B3839" s="71" t="s">
        <v>5094</v>
      </c>
      <c r="C3839" s="42" t="s">
        <v>5095</v>
      </c>
      <c r="D3839" s="71" t="s">
        <v>5479</v>
      </c>
      <c r="E3839" s="72" t="s">
        <v>1123</v>
      </c>
      <c r="F3839" s="72">
        <v>22960</v>
      </c>
      <c r="G3839" s="73" t="s">
        <v>182</v>
      </c>
      <c r="H3839" s="73">
        <v>9403</v>
      </c>
      <c r="I3839" s="72">
        <v>0</v>
      </c>
      <c r="J3839" s="72">
        <v>0</v>
      </c>
      <c r="K3839" s="72">
        <v>2460</v>
      </c>
      <c r="L3839" s="97">
        <v>0</v>
      </c>
      <c r="M3839" s="73" t="s">
        <v>3925</v>
      </c>
      <c r="N3839" s="99">
        <f t="shared" si="90"/>
        <v>2460</v>
      </c>
    </row>
    <row r="3840" spans="1:14">
      <c r="A3840" s="12">
        <v>3839</v>
      </c>
      <c r="B3840" s="71" t="s">
        <v>5094</v>
      </c>
      <c r="C3840" s="42" t="s">
        <v>5095</v>
      </c>
      <c r="D3840" s="71" t="s">
        <v>5480</v>
      </c>
      <c r="E3840" s="72" t="s">
        <v>1275</v>
      </c>
      <c r="F3840" s="72">
        <v>16800</v>
      </c>
      <c r="G3840" s="73" t="s">
        <v>182</v>
      </c>
      <c r="H3840" s="73">
        <v>9403</v>
      </c>
      <c r="I3840" s="72">
        <v>0</v>
      </c>
      <c r="J3840" s="72">
        <v>0</v>
      </c>
      <c r="K3840" s="72">
        <v>1800</v>
      </c>
      <c r="L3840" s="97">
        <v>0</v>
      </c>
      <c r="M3840" s="73" t="s">
        <v>3925</v>
      </c>
      <c r="N3840" s="99">
        <f t="shared" si="90"/>
        <v>1800</v>
      </c>
    </row>
    <row r="3841" spans="1:14">
      <c r="A3841" s="12">
        <v>3840</v>
      </c>
      <c r="B3841" s="71" t="s">
        <v>5094</v>
      </c>
      <c r="C3841" s="42" t="s">
        <v>5095</v>
      </c>
      <c r="D3841" s="71" t="s">
        <v>5481</v>
      </c>
      <c r="E3841" s="72" t="s">
        <v>1186</v>
      </c>
      <c r="F3841" s="72">
        <v>23520</v>
      </c>
      <c r="G3841" s="73" t="s">
        <v>182</v>
      </c>
      <c r="H3841" s="73">
        <v>9403</v>
      </c>
      <c r="I3841" s="72">
        <v>0</v>
      </c>
      <c r="J3841" s="72">
        <v>0</v>
      </c>
      <c r="K3841" s="72">
        <v>2520</v>
      </c>
      <c r="L3841" s="97">
        <v>0</v>
      </c>
      <c r="M3841" s="73" t="s">
        <v>3925</v>
      </c>
      <c r="N3841" s="99">
        <f t="shared" si="90"/>
        <v>2520</v>
      </c>
    </row>
    <row r="3842" spans="1:14">
      <c r="A3842" s="12">
        <v>3841</v>
      </c>
      <c r="B3842" s="71" t="s">
        <v>5094</v>
      </c>
      <c r="C3842" s="42" t="s">
        <v>5095</v>
      </c>
      <c r="D3842" s="71" t="s">
        <v>5482</v>
      </c>
      <c r="E3842" s="72" t="s">
        <v>5483</v>
      </c>
      <c r="F3842" s="72">
        <v>14560</v>
      </c>
      <c r="G3842" s="73" t="s">
        <v>182</v>
      </c>
      <c r="H3842" s="73">
        <v>9403</v>
      </c>
      <c r="I3842" s="72">
        <v>0</v>
      </c>
      <c r="J3842" s="72">
        <v>0</v>
      </c>
      <c r="K3842" s="72">
        <v>1560</v>
      </c>
      <c r="L3842" s="97">
        <v>0</v>
      </c>
      <c r="M3842" s="73" t="s">
        <v>3925</v>
      </c>
      <c r="N3842" s="99">
        <f t="shared" si="90"/>
        <v>1560</v>
      </c>
    </row>
    <row r="3843" spans="1:14">
      <c r="A3843" s="12">
        <v>3842</v>
      </c>
      <c r="B3843" s="71" t="s">
        <v>5094</v>
      </c>
      <c r="C3843" s="42" t="s">
        <v>5095</v>
      </c>
      <c r="D3843" s="71" t="s">
        <v>5484</v>
      </c>
      <c r="E3843" s="72" t="s">
        <v>59</v>
      </c>
      <c r="F3843" s="72">
        <v>22400</v>
      </c>
      <c r="G3843" s="73" t="s">
        <v>182</v>
      </c>
      <c r="H3843" s="73">
        <v>9403</v>
      </c>
      <c r="I3843" s="72">
        <v>0</v>
      </c>
      <c r="J3843" s="72">
        <v>0</v>
      </c>
      <c r="K3843" s="72">
        <v>2400</v>
      </c>
      <c r="L3843" s="97">
        <v>0</v>
      </c>
      <c r="M3843" s="73" t="s">
        <v>3925</v>
      </c>
      <c r="N3843" s="99">
        <f t="shared" si="90"/>
        <v>2400</v>
      </c>
    </row>
    <row r="3844" spans="1:14">
      <c r="A3844" s="12">
        <v>3843</v>
      </c>
      <c r="B3844" s="71" t="s">
        <v>5248</v>
      </c>
      <c r="C3844" s="42" t="s">
        <v>5249</v>
      </c>
      <c r="D3844" s="71" t="s">
        <v>5485</v>
      </c>
      <c r="E3844" s="72" t="s">
        <v>775</v>
      </c>
      <c r="F3844" s="72">
        <v>55648.79</v>
      </c>
      <c r="G3844" s="73" t="s">
        <v>64</v>
      </c>
      <c r="H3844" s="89" t="s">
        <v>5131</v>
      </c>
      <c r="I3844" s="72">
        <v>0</v>
      </c>
      <c r="J3844" s="72">
        <v>0</v>
      </c>
      <c r="K3844" s="72">
        <v>8488.7999999999993</v>
      </c>
      <c r="L3844" s="97">
        <v>0</v>
      </c>
      <c r="M3844" s="73" t="s">
        <v>3925</v>
      </c>
      <c r="N3844" s="99">
        <f t="shared" si="90"/>
        <v>8488.7999999999993</v>
      </c>
    </row>
    <row r="3845" spans="1:14">
      <c r="A3845" s="12">
        <v>3844</v>
      </c>
      <c r="B3845" s="71" t="s">
        <v>5248</v>
      </c>
      <c r="C3845" s="42" t="s">
        <v>5249</v>
      </c>
      <c r="D3845" s="71" t="s">
        <v>5486</v>
      </c>
      <c r="E3845" s="72" t="s">
        <v>1418</v>
      </c>
      <c r="F3845" s="72">
        <v>109419.31</v>
      </c>
      <c r="G3845" s="73" t="s">
        <v>64</v>
      </c>
      <c r="H3845" s="89" t="s">
        <v>5131</v>
      </c>
      <c r="I3845" s="72">
        <v>0</v>
      </c>
      <c r="J3845" s="72">
        <v>0</v>
      </c>
      <c r="K3845" s="72">
        <v>16691.080000000002</v>
      </c>
      <c r="L3845" s="97">
        <v>0</v>
      </c>
      <c r="M3845" s="73" t="s">
        <v>3925</v>
      </c>
      <c r="N3845" s="99">
        <f t="shared" si="90"/>
        <v>16691.080000000002</v>
      </c>
    </row>
    <row r="3846" spans="1:14">
      <c r="A3846" s="12">
        <v>3845</v>
      </c>
      <c r="B3846" s="71" t="s">
        <v>557</v>
      </c>
      <c r="C3846" s="42" t="s">
        <v>558</v>
      </c>
      <c r="D3846" s="71" t="s">
        <v>5487</v>
      </c>
      <c r="E3846" s="72" t="s">
        <v>1090</v>
      </c>
      <c r="F3846" s="72">
        <v>790.64</v>
      </c>
      <c r="G3846" s="73" t="s">
        <v>64</v>
      </c>
      <c r="H3846" s="89" t="s">
        <v>847</v>
      </c>
      <c r="I3846" s="72">
        <v>0</v>
      </c>
      <c r="J3846" s="72">
        <v>0</v>
      </c>
      <c r="K3846" s="72">
        <v>120.61</v>
      </c>
      <c r="L3846" s="97">
        <v>0</v>
      </c>
      <c r="M3846" s="73" t="s">
        <v>3925</v>
      </c>
      <c r="N3846" s="99">
        <f t="shared" si="90"/>
        <v>120.61</v>
      </c>
    </row>
    <row r="3847" spans="1:14">
      <c r="A3847" s="12">
        <v>3846</v>
      </c>
      <c r="B3847" s="71" t="s">
        <v>557</v>
      </c>
      <c r="C3847" s="42" t="s">
        <v>558</v>
      </c>
      <c r="D3847" s="71" t="s">
        <v>5488</v>
      </c>
      <c r="E3847" s="72" t="s">
        <v>1281</v>
      </c>
      <c r="F3847" s="72">
        <v>1453.75</v>
      </c>
      <c r="G3847" s="73" t="s">
        <v>64</v>
      </c>
      <c r="H3847" s="89" t="s">
        <v>847</v>
      </c>
      <c r="I3847" s="72">
        <v>0</v>
      </c>
      <c r="J3847" s="72">
        <v>0</v>
      </c>
      <c r="K3847" s="72">
        <v>221.76</v>
      </c>
      <c r="L3847" s="97">
        <v>0</v>
      </c>
      <c r="M3847" s="73" t="s">
        <v>3925</v>
      </c>
      <c r="N3847" s="99">
        <f t="shared" si="90"/>
        <v>221.76</v>
      </c>
    </row>
    <row r="3848" spans="1:14">
      <c r="A3848" s="12">
        <v>3847</v>
      </c>
      <c r="B3848" s="71" t="s">
        <v>557</v>
      </c>
      <c r="C3848" s="42" t="s">
        <v>558</v>
      </c>
      <c r="D3848" s="71" t="s">
        <v>5489</v>
      </c>
      <c r="E3848" s="72" t="s">
        <v>775</v>
      </c>
      <c r="F3848" s="72">
        <v>978.89</v>
      </c>
      <c r="G3848" s="73" t="s">
        <v>64</v>
      </c>
      <c r="H3848" s="89" t="s">
        <v>847</v>
      </c>
      <c r="I3848" s="72">
        <v>0</v>
      </c>
      <c r="J3848" s="72">
        <v>0</v>
      </c>
      <c r="K3848" s="72">
        <v>149.32</v>
      </c>
      <c r="L3848" s="97">
        <v>0</v>
      </c>
      <c r="M3848" s="73" t="s">
        <v>3925</v>
      </c>
      <c r="N3848" s="99">
        <f t="shared" si="90"/>
        <v>149.32</v>
      </c>
    </row>
    <row r="3849" spans="1:14">
      <c r="A3849" s="12">
        <v>3848</v>
      </c>
      <c r="B3849" s="71" t="s">
        <v>557</v>
      </c>
      <c r="C3849" s="42" t="s">
        <v>558</v>
      </c>
      <c r="D3849" s="71" t="s">
        <v>5490</v>
      </c>
      <c r="E3849" s="72" t="s">
        <v>4462</v>
      </c>
      <c r="F3849" s="72">
        <v>684.87</v>
      </c>
      <c r="G3849" s="73" t="s">
        <v>64</v>
      </c>
      <c r="H3849" s="89" t="s">
        <v>847</v>
      </c>
      <c r="I3849" s="72">
        <v>0</v>
      </c>
      <c r="J3849" s="72">
        <v>0</v>
      </c>
      <c r="K3849" s="72">
        <v>104.47</v>
      </c>
      <c r="L3849" s="97">
        <v>0</v>
      </c>
      <c r="M3849" s="73" t="s">
        <v>3925</v>
      </c>
      <c r="N3849" s="99">
        <f t="shared" si="90"/>
        <v>104.47</v>
      </c>
    </row>
    <row r="3850" spans="1:14">
      <c r="A3850" s="12">
        <v>3849</v>
      </c>
      <c r="B3850" s="71" t="s">
        <v>557</v>
      </c>
      <c r="C3850" s="42" t="s">
        <v>558</v>
      </c>
      <c r="D3850" s="71" t="s">
        <v>5491</v>
      </c>
      <c r="E3850" s="72" t="s">
        <v>4457</v>
      </c>
      <c r="F3850" s="72">
        <v>734.85</v>
      </c>
      <c r="G3850" s="73" t="s">
        <v>64</v>
      </c>
      <c r="H3850" s="89" t="s">
        <v>847</v>
      </c>
      <c r="I3850" s="72">
        <v>0</v>
      </c>
      <c r="J3850" s="72">
        <v>0</v>
      </c>
      <c r="K3850" s="72">
        <v>112.1</v>
      </c>
      <c r="L3850" s="97">
        <v>0</v>
      </c>
      <c r="M3850" s="73" t="s">
        <v>3925</v>
      </c>
      <c r="N3850" s="99">
        <f t="shared" si="90"/>
        <v>112.1</v>
      </c>
    </row>
    <row r="3851" spans="1:14">
      <c r="A3851" s="12">
        <v>3850</v>
      </c>
      <c r="B3851" s="71" t="s">
        <v>557</v>
      </c>
      <c r="C3851" s="42" t="s">
        <v>558</v>
      </c>
      <c r="D3851" s="71" t="s">
        <v>5492</v>
      </c>
      <c r="E3851" s="72" t="s">
        <v>1207</v>
      </c>
      <c r="F3851" s="72">
        <v>147.63999999999999</v>
      </c>
      <c r="G3851" s="73" t="s">
        <v>64</v>
      </c>
      <c r="H3851" s="89" t="s">
        <v>847</v>
      </c>
      <c r="I3851" s="72">
        <v>0</v>
      </c>
      <c r="J3851" s="72">
        <v>0</v>
      </c>
      <c r="K3851" s="72">
        <v>22.52</v>
      </c>
      <c r="L3851" s="97">
        <v>0</v>
      </c>
      <c r="M3851" s="73" t="s">
        <v>3925</v>
      </c>
      <c r="N3851" s="99">
        <f t="shared" si="90"/>
        <v>22.52</v>
      </c>
    </row>
    <row r="3852" spans="1:14">
      <c r="A3852" s="12">
        <v>3851</v>
      </c>
      <c r="B3852" s="71" t="s">
        <v>557</v>
      </c>
      <c r="C3852" s="42" t="s">
        <v>558</v>
      </c>
      <c r="D3852" s="71" t="s">
        <v>5493</v>
      </c>
      <c r="E3852" s="72" t="s">
        <v>793</v>
      </c>
      <c r="F3852" s="72">
        <v>1109.71</v>
      </c>
      <c r="G3852" s="73" t="s">
        <v>64</v>
      </c>
      <c r="H3852" s="89" t="s">
        <v>847</v>
      </c>
      <c r="I3852" s="72">
        <v>0</v>
      </c>
      <c r="J3852" s="72">
        <v>0</v>
      </c>
      <c r="K3852" s="72">
        <v>169.28</v>
      </c>
      <c r="L3852" s="97">
        <v>0</v>
      </c>
      <c r="M3852" s="73" t="s">
        <v>3925</v>
      </c>
      <c r="N3852" s="99">
        <f t="shared" si="90"/>
        <v>169.28</v>
      </c>
    </row>
    <row r="3853" spans="1:14">
      <c r="A3853" s="12">
        <v>3852</v>
      </c>
      <c r="B3853" s="71" t="s">
        <v>557</v>
      </c>
      <c r="C3853" s="42" t="s">
        <v>558</v>
      </c>
      <c r="D3853" s="71" t="s">
        <v>5494</v>
      </c>
      <c r="E3853" s="72" t="s">
        <v>1212</v>
      </c>
      <c r="F3853" s="72">
        <v>1184.21</v>
      </c>
      <c r="G3853" s="73" t="s">
        <v>64</v>
      </c>
      <c r="H3853" s="89" t="s">
        <v>847</v>
      </c>
      <c r="I3853" s="72">
        <v>0</v>
      </c>
      <c r="J3853" s="72">
        <v>0</v>
      </c>
      <c r="K3853" s="72">
        <v>180.64</v>
      </c>
      <c r="L3853" s="97">
        <v>0</v>
      </c>
      <c r="M3853" s="73" t="s">
        <v>3925</v>
      </c>
      <c r="N3853" s="99">
        <f t="shared" si="90"/>
        <v>180.64</v>
      </c>
    </row>
    <row r="3854" spans="1:14">
      <c r="A3854" s="12">
        <v>3853</v>
      </c>
      <c r="B3854" s="71" t="s">
        <v>557</v>
      </c>
      <c r="C3854" s="42" t="s">
        <v>558</v>
      </c>
      <c r="D3854" s="71" t="s">
        <v>5495</v>
      </c>
      <c r="E3854" s="72" t="s">
        <v>456</v>
      </c>
      <c r="F3854" s="72">
        <v>1024.24</v>
      </c>
      <c r="G3854" s="73" t="s">
        <v>64</v>
      </c>
      <c r="H3854" s="89" t="s">
        <v>847</v>
      </c>
      <c r="I3854" s="72">
        <v>0</v>
      </c>
      <c r="J3854" s="72">
        <v>0</v>
      </c>
      <c r="K3854" s="72">
        <v>156.24</v>
      </c>
      <c r="L3854" s="97">
        <v>0</v>
      </c>
      <c r="M3854" s="73" t="s">
        <v>3925</v>
      </c>
      <c r="N3854" s="99">
        <f t="shared" si="90"/>
        <v>156.24</v>
      </c>
    </row>
    <row r="3855" spans="1:14">
      <c r="A3855" s="12">
        <v>3854</v>
      </c>
      <c r="B3855" s="71" t="s">
        <v>557</v>
      </c>
      <c r="C3855" s="42" t="s">
        <v>558</v>
      </c>
      <c r="D3855" s="71" t="s">
        <v>5496</v>
      </c>
      <c r="E3855" s="72" t="s">
        <v>4465</v>
      </c>
      <c r="F3855" s="72">
        <v>479.1</v>
      </c>
      <c r="G3855" s="73" t="s">
        <v>64</v>
      </c>
      <c r="H3855" s="89" t="s">
        <v>847</v>
      </c>
      <c r="I3855" s="72">
        <v>0</v>
      </c>
      <c r="J3855" s="72">
        <v>0</v>
      </c>
      <c r="K3855" s="72">
        <v>73.08</v>
      </c>
      <c r="L3855" s="97">
        <v>0</v>
      </c>
      <c r="M3855" s="73" t="s">
        <v>3925</v>
      </c>
      <c r="N3855" s="99">
        <f t="shared" si="90"/>
        <v>73.08</v>
      </c>
    </row>
    <row r="3856" spans="1:14">
      <c r="A3856" s="12">
        <v>3855</v>
      </c>
      <c r="B3856" s="71" t="s">
        <v>557</v>
      </c>
      <c r="C3856" s="42" t="s">
        <v>558</v>
      </c>
      <c r="D3856" s="71" t="s">
        <v>5497</v>
      </c>
      <c r="E3856" s="72" t="s">
        <v>781</v>
      </c>
      <c r="F3856" s="72">
        <v>202.74</v>
      </c>
      <c r="G3856" s="73" t="s">
        <v>64</v>
      </c>
      <c r="H3856" s="89" t="s">
        <v>847</v>
      </c>
      <c r="I3856" s="72">
        <v>0</v>
      </c>
      <c r="J3856" s="72">
        <v>0</v>
      </c>
      <c r="K3856" s="72">
        <v>30.93</v>
      </c>
      <c r="L3856" s="97">
        <v>0</v>
      </c>
      <c r="M3856" s="73" t="s">
        <v>3925</v>
      </c>
      <c r="N3856" s="99">
        <f t="shared" si="90"/>
        <v>30.93</v>
      </c>
    </row>
    <row r="3857" spans="1:14">
      <c r="A3857" s="12">
        <v>3856</v>
      </c>
      <c r="B3857" s="71" t="s">
        <v>557</v>
      </c>
      <c r="C3857" s="42" t="s">
        <v>558</v>
      </c>
      <c r="D3857" s="71" t="s">
        <v>5498</v>
      </c>
      <c r="E3857" s="72" t="s">
        <v>5499</v>
      </c>
      <c r="F3857" s="72">
        <v>1400.86</v>
      </c>
      <c r="G3857" s="73" t="s">
        <v>64</v>
      </c>
      <c r="H3857" s="89" t="s">
        <v>847</v>
      </c>
      <c r="I3857" s="72">
        <v>0</v>
      </c>
      <c r="J3857" s="72">
        <v>0</v>
      </c>
      <c r="K3857" s="72">
        <v>213.69</v>
      </c>
      <c r="L3857" s="97">
        <v>0</v>
      </c>
      <c r="M3857" s="73" t="s">
        <v>3925</v>
      </c>
      <c r="N3857" s="99">
        <f t="shared" si="90"/>
        <v>213.69</v>
      </c>
    </row>
    <row r="3858" spans="1:14">
      <c r="A3858" s="12">
        <v>3857</v>
      </c>
      <c r="B3858" s="71" t="s">
        <v>557</v>
      </c>
      <c r="C3858" s="42" t="s">
        <v>558</v>
      </c>
      <c r="D3858" s="71" t="s">
        <v>5500</v>
      </c>
      <c r="E3858" s="72" t="s">
        <v>1216</v>
      </c>
      <c r="F3858" s="72">
        <v>1286.42</v>
      </c>
      <c r="G3858" s="73" t="s">
        <v>64</v>
      </c>
      <c r="H3858" s="89" t="s">
        <v>847</v>
      </c>
      <c r="I3858" s="72">
        <v>0</v>
      </c>
      <c r="J3858" s="72">
        <v>0</v>
      </c>
      <c r="K3858" s="72">
        <v>196.23</v>
      </c>
      <c r="L3858" s="97">
        <v>0</v>
      </c>
      <c r="M3858" s="73" t="s">
        <v>3925</v>
      </c>
      <c r="N3858" s="99">
        <f t="shared" si="90"/>
        <v>196.23</v>
      </c>
    </row>
    <row r="3859" spans="1:14">
      <c r="A3859" s="12">
        <v>3858</v>
      </c>
      <c r="B3859" s="71" t="s">
        <v>557</v>
      </c>
      <c r="C3859" s="42" t="s">
        <v>558</v>
      </c>
      <c r="D3859" s="71" t="s">
        <v>5501</v>
      </c>
      <c r="E3859" s="72" t="s">
        <v>4543</v>
      </c>
      <c r="F3859" s="72">
        <v>976.67</v>
      </c>
      <c r="G3859" s="73" t="s">
        <v>64</v>
      </c>
      <c r="H3859" s="89" t="s">
        <v>847</v>
      </c>
      <c r="I3859" s="72">
        <v>0</v>
      </c>
      <c r="J3859" s="72">
        <v>0</v>
      </c>
      <c r="K3859" s="72">
        <v>148.97999999999999</v>
      </c>
      <c r="L3859" s="97">
        <v>0</v>
      </c>
      <c r="M3859" s="73" t="s">
        <v>3925</v>
      </c>
      <c r="N3859" s="99">
        <f t="shared" si="90"/>
        <v>148.97999999999999</v>
      </c>
    </row>
    <row r="3860" spans="1:14">
      <c r="A3860" s="12">
        <v>3859</v>
      </c>
      <c r="B3860" s="71" t="s">
        <v>557</v>
      </c>
      <c r="C3860" s="42" t="s">
        <v>558</v>
      </c>
      <c r="D3860" s="71" t="s">
        <v>5502</v>
      </c>
      <c r="E3860" s="72" t="s">
        <v>783</v>
      </c>
      <c r="F3860" s="72">
        <v>336.05</v>
      </c>
      <c r="G3860" s="73" t="s">
        <v>64</v>
      </c>
      <c r="H3860" s="89" t="s">
        <v>847</v>
      </c>
      <c r="I3860" s="72">
        <v>0</v>
      </c>
      <c r="J3860" s="72">
        <v>0</v>
      </c>
      <c r="K3860" s="72">
        <v>51.26</v>
      </c>
      <c r="L3860" s="97">
        <v>0</v>
      </c>
      <c r="M3860" s="73" t="s">
        <v>3925</v>
      </c>
      <c r="N3860" s="99">
        <f t="shared" si="90"/>
        <v>51.26</v>
      </c>
    </row>
    <row r="3861" spans="1:14">
      <c r="A3861" s="12">
        <v>3860</v>
      </c>
      <c r="B3861" s="71" t="s">
        <v>5088</v>
      </c>
      <c r="C3861" s="42" t="s">
        <v>5089</v>
      </c>
      <c r="D3861" s="71" t="s">
        <v>5503</v>
      </c>
      <c r="E3861" s="72" t="s">
        <v>63</v>
      </c>
      <c r="F3861" s="72">
        <v>2910.12</v>
      </c>
      <c r="G3861" s="73" t="s">
        <v>64</v>
      </c>
      <c r="H3861" s="73">
        <v>997119</v>
      </c>
      <c r="I3861" s="72">
        <v>0</v>
      </c>
      <c r="J3861" s="72">
        <v>0</v>
      </c>
      <c r="K3861" s="72">
        <v>443.92</v>
      </c>
      <c r="L3861" s="97">
        <v>0</v>
      </c>
      <c r="M3861" s="73" t="s">
        <v>3925</v>
      </c>
      <c r="N3861" s="99">
        <f t="shared" si="90"/>
        <v>443.92</v>
      </c>
    </row>
    <row r="3862" spans="1:14">
      <c r="A3862" s="12">
        <v>3861</v>
      </c>
      <c r="B3862" s="71" t="s">
        <v>557</v>
      </c>
      <c r="C3862" s="42" t="s">
        <v>558</v>
      </c>
      <c r="D3862" s="71" t="s">
        <v>5504</v>
      </c>
      <c r="E3862" s="72" t="s">
        <v>813</v>
      </c>
      <c r="F3862" s="72">
        <v>1715.19</v>
      </c>
      <c r="G3862" s="73" t="s">
        <v>64</v>
      </c>
      <c r="H3862" s="89" t="s">
        <v>847</v>
      </c>
      <c r="I3862" s="72">
        <v>0</v>
      </c>
      <c r="J3862" s="72">
        <v>0</v>
      </c>
      <c r="K3862" s="72">
        <v>261.64</v>
      </c>
      <c r="L3862" s="97">
        <v>0</v>
      </c>
      <c r="M3862" s="73" t="s">
        <v>3925</v>
      </c>
      <c r="N3862" s="99">
        <f t="shared" si="90"/>
        <v>261.64</v>
      </c>
    </row>
    <row r="3863" spans="1:14">
      <c r="A3863" s="12">
        <v>3862</v>
      </c>
      <c r="B3863" s="71" t="s">
        <v>557</v>
      </c>
      <c r="C3863" s="42" t="s">
        <v>558</v>
      </c>
      <c r="D3863" s="71" t="s">
        <v>5505</v>
      </c>
      <c r="E3863" s="72" t="s">
        <v>5475</v>
      </c>
      <c r="F3863" s="72">
        <v>1218.82</v>
      </c>
      <c r="G3863" s="73" t="s">
        <v>64</v>
      </c>
      <c r="H3863" s="89" t="s">
        <v>847</v>
      </c>
      <c r="I3863" s="72">
        <v>0</v>
      </c>
      <c r="J3863" s="72">
        <v>0</v>
      </c>
      <c r="K3863" s="72">
        <v>185.92</v>
      </c>
      <c r="L3863" s="97">
        <v>0</v>
      </c>
      <c r="M3863" s="73" t="s">
        <v>3925</v>
      </c>
      <c r="N3863" s="99">
        <f t="shared" si="90"/>
        <v>185.92</v>
      </c>
    </row>
    <row r="3864" spans="1:14">
      <c r="A3864" s="12">
        <v>3863</v>
      </c>
      <c r="B3864" s="71" t="s">
        <v>557</v>
      </c>
      <c r="C3864" s="42" t="s">
        <v>558</v>
      </c>
      <c r="D3864" s="71" t="s">
        <v>5506</v>
      </c>
      <c r="E3864" s="72" t="s">
        <v>5507</v>
      </c>
      <c r="F3864" s="72">
        <v>65.989999999999995</v>
      </c>
      <c r="G3864" s="73" t="s">
        <v>64</v>
      </c>
      <c r="H3864" s="89" t="s">
        <v>847</v>
      </c>
      <c r="I3864" s="72">
        <v>0</v>
      </c>
      <c r="J3864" s="72">
        <v>0</v>
      </c>
      <c r="K3864" s="72">
        <v>10.07</v>
      </c>
      <c r="L3864" s="97">
        <v>0</v>
      </c>
      <c r="M3864" s="73" t="s">
        <v>3925</v>
      </c>
      <c r="N3864" s="99">
        <f t="shared" si="90"/>
        <v>10.07</v>
      </c>
    </row>
    <row r="3865" spans="1:14">
      <c r="A3865" s="12">
        <v>3864</v>
      </c>
      <c r="B3865" s="71" t="s">
        <v>557</v>
      </c>
      <c r="C3865" s="42" t="s">
        <v>558</v>
      </c>
      <c r="D3865" s="71" t="s">
        <v>5508</v>
      </c>
      <c r="E3865" s="72" t="s">
        <v>802</v>
      </c>
      <c r="F3865" s="72">
        <v>1711.59</v>
      </c>
      <c r="G3865" s="73" t="s">
        <v>64</v>
      </c>
      <c r="H3865" s="89" t="s">
        <v>847</v>
      </c>
      <c r="I3865" s="72">
        <v>0</v>
      </c>
      <c r="J3865" s="72">
        <v>0</v>
      </c>
      <c r="K3865" s="72">
        <v>261.08999999999997</v>
      </c>
      <c r="L3865" s="97">
        <v>0</v>
      </c>
      <c r="M3865" s="73" t="s">
        <v>3925</v>
      </c>
      <c r="N3865" s="99">
        <f t="shared" si="90"/>
        <v>261.08999999999997</v>
      </c>
    </row>
    <row r="3866" spans="1:14">
      <c r="A3866" s="12">
        <v>3865</v>
      </c>
      <c r="B3866" s="71" t="s">
        <v>557</v>
      </c>
      <c r="C3866" s="42" t="s">
        <v>558</v>
      </c>
      <c r="D3866" s="71" t="s">
        <v>5509</v>
      </c>
      <c r="E3866" s="72" t="s">
        <v>463</v>
      </c>
      <c r="F3866" s="72">
        <v>1683.16</v>
      </c>
      <c r="G3866" s="73" t="s">
        <v>64</v>
      </c>
      <c r="H3866" s="89" t="s">
        <v>847</v>
      </c>
      <c r="I3866" s="72">
        <v>0</v>
      </c>
      <c r="J3866" s="72">
        <v>0</v>
      </c>
      <c r="K3866" s="72">
        <v>256.75</v>
      </c>
      <c r="L3866" s="97">
        <v>0</v>
      </c>
      <c r="M3866" s="73" t="s">
        <v>3925</v>
      </c>
      <c r="N3866" s="99">
        <f t="shared" si="90"/>
        <v>256.75</v>
      </c>
    </row>
    <row r="3867" spans="1:14">
      <c r="A3867" s="12">
        <v>3866</v>
      </c>
      <c r="B3867" s="71" t="s">
        <v>557</v>
      </c>
      <c r="C3867" s="42" t="s">
        <v>558</v>
      </c>
      <c r="D3867" s="71" t="s">
        <v>5510</v>
      </c>
      <c r="E3867" s="72" t="s">
        <v>1161</v>
      </c>
      <c r="F3867" s="72">
        <v>605.25</v>
      </c>
      <c r="G3867" s="73" t="s">
        <v>64</v>
      </c>
      <c r="H3867" s="89" t="s">
        <v>847</v>
      </c>
      <c r="I3867" s="72">
        <v>0</v>
      </c>
      <c r="J3867" s="72">
        <v>0</v>
      </c>
      <c r="K3867" s="72">
        <v>92.33</v>
      </c>
      <c r="L3867" s="97">
        <v>0</v>
      </c>
      <c r="M3867" s="73" t="s">
        <v>3925</v>
      </c>
      <c r="N3867" s="99">
        <f t="shared" si="90"/>
        <v>92.33</v>
      </c>
    </row>
    <row r="3868" spans="1:14">
      <c r="A3868" s="12">
        <v>3867</v>
      </c>
      <c r="B3868" s="71" t="s">
        <v>557</v>
      </c>
      <c r="C3868" s="42" t="s">
        <v>558</v>
      </c>
      <c r="D3868" s="71" t="s">
        <v>5511</v>
      </c>
      <c r="E3868" s="72" t="s">
        <v>1123</v>
      </c>
      <c r="F3868" s="72">
        <v>1016.25</v>
      </c>
      <c r="G3868" s="73" t="s">
        <v>64</v>
      </c>
      <c r="H3868" s="89" t="s">
        <v>847</v>
      </c>
      <c r="I3868" s="72">
        <v>0</v>
      </c>
      <c r="J3868" s="72">
        <v>0</v>
      </c>
      <c r="K3868" s="72">
        <v>155.02000000000001</v>
      </c>
      <c r="L3868" s="97">
        <v>0</v>
      </c>
      <c r="M3868" s="73" t="s">
        <v>3925</v>
      </c>
      <c r="N3868" s="99">
        <f t="shared" si="90"/>
        <v>155.02000000000001</v>
      </c>
    </row>
    <row r="3869" spans="1:14">
      <c r="A3869" s="12">
        <v>3868</v>
      </c>
      <c r="B3869" s="71" t="s">
        <v>557</v>
      </c>
      <c r="C3869" s="42" t="s">
        <v>558</v>
      </c>
      <c r="D3869" s="71" t="s">
        <v>5512</v>
      </c>
      <c r="E3869" s="72" t="s">
        <v>1165</v>
      </c>
      <c r="F3869" s="72">
        <v>1424.19</v>
      </c>
      <c r="G3869" s="73" t="s">
        <v>64</v>
      </c>
      <c r="H3869" s="89" t="s">
        <v>847</v>
      </c>
      <c r="I3869" s="72">
        <v>0</v>
      </c>
      <c r="J3869" s="72">
        <v>0</v>
      </c>
      <c r="K3869" s="72">
        <v>217.25</v>
      </c>
      <c r="L3869" s="97">
        <v>0</v>
      </c>
      <c r="M3869" s="73" t="s">
        <v>3925</v>
      </c>
      <c r="N3869" s="99">
        <f t="shared" si="90"/>
        <v>217.25</v>
      </c>
    </row>
    <row r="3870" spans="1:14">
      <c r="A3870" s="12">
        <v>3869</v>
      </c>
      <c r="B3870" s="71" t="s">
        <v>557</v>
      </c>
      <c r="C3870" s="42" t="s">
        <v>558</v>
      </c>
      <c r="D3870" s="71" t="s">
        <v>5513</v>
      </c>
      <c r="E3870" s="72" t="s">
        <v>1428</v>
      </c>
      <c r="F3870" s="72">
        <v>1491.24</v>
      </c>
      <c r="G3870" s="73" t="s">
        <v>64</v>
      </c>
      <c r="H3870" s="89" t="s">
        <v>847</v>
      </c>
      <c r="I3870" s="72">
        <v>0</v>
      </c>
      <c r="J3870" s="72">
        <v>0</v>
      </c>
      <c r="K3870" s="72">
        <v>227.48</v>
      </c>
      <c r="L3870" s="97">
        <v>0</v>
      </c>
      <c r="M3870" s="73" t="s">
        <v>3925</v>
      </c>
      <c r="N3870" s="99">
        <f t="shared" si="90"/>
        <v>227.48</v>
      </c>
    </row>
    <row r="3871" spans="1:14">
      <c r="A3871" s="12">
        <v>3870</v>
      </c>
      <c r="B3871" s="71" t="s">
        <v>557</v>
      </c>
      <c r="C3871" s="42" t="s">
        <v>558</v>
      </c>
      <c r="D3871" s="71" t="s">
        <v>5514</v>
      </c>
      <c r="E3871" s="72" t="s">
        <v>488</v>
      </c>
      <c r="F3871" s="72">
        <v>68.319999999999993</v>
      </c>
      <c r="G3871" s="73" t="s">
        <v>64</v>
      </c>
      <c r="H3871" s="89" t="s">
        <v>847</v>
      </c>
      <c r="I3871" s="72">
        <v>0</v>
      </c>
      <c r="J3871" s="72">
        <v>0</v>
      </c>
      <c r="K3871" s="72">
        <v>10.42</v>
      </c>
      <c r="L3871" s="97">
        <v>0</v>
      </c>
      <c r="M3871" s="73" t="s">
        <v>3925</v>
      </c>
      <c r="N3871" s="99">
        <f t="shared" si="90"/>
        <v>10.42</v>
      </c>
    </row>
    <row r="3872" spans="1:14">
      <c r="A3872" s="12">
        <v>3871</v>
      </c>
      <c r="B3872" s="71" t="s">
        <v>557</v>
      </c>
      <c r="C3872" s="42" t="s">
        <v>558</v>
      </c>
      <c r="D3872" s="71" t="s">
        <v>5515</v>
      </c>
      <c r="E3872" s="72" t="s">
        <v>477</v>
      </c>
      <c r="F3872" s="72">
        <v>1530.64</v>
      </c>
      <c r="G3872" s="73" t="s">
        <v>64</v>
      </c>
      <c r="H3872" s="89" t="s">
        <v>847</v>
      </c>
      <c r="I3872" s="72">
        <v>0</v>
      </c>
      <c r="J3872" s="72">
        <v>0</v>
      </c>
      <c r="K3872" s="72">
        <v>233.49</v>
      </c>
      <c r="L3872" s="97">
        <v>0</v>
      </c>
      <c r="M3872" s="73" t="s">
        <v>3925</v>
      </c>
      <c r="N3872" s="99">
        <f t="shared" si="90"/>
        <v>233.49</v>
      </c>
    </row>
    <row r="3873" spans="1:14">
      <c r="A3873" s="12">
        <v>3872</v>
      </c>
      <c r="B3873" s="71" t="s">
        <v>557</v>
      </c>
      <c r="C3873" s="42" t="s">
        <v>558</v>
      </c>
      <c r="D3873" s="71" t="s">
        <v>5516</v>
      </c>
      <c r="E3873" s="72" t="s">
        <v>1275</v>
      </c>
      <c r="F3873" s="72">
        <v>1628.16</v>
      </c>
      <c r="G3873" s="73" t="s">
        <v>64</v>
      </c>
      <c r="H3873" s="89" t="s">
        <v>847</v>
      </c>
      <c r="I3873" s="72">
        <v>0</v>
      </c>
      <c r="J3873" s="72">
        <v>0</v>
      </c>
      <c r="K3873" s="72">
        <v>248.36</v>
      </c>
      <c r="L3873" s="97">
        <v>0</v>
      </c>
      <c r="M3873" s="73" t="s">
        <v>3925</v>
      </c>
      <c r="N3873" s="99">
        <f t="shared" si="90"/>
        <v>248.36</v>
      </c>
    </row>
    <row r="3874" spans="1:14">
      <c r="A3874" s="12">
        <v>3873</v>
      </c>
      <c r="B3874" s="71" t="s">
        <v>557</v>
      </c>
      <c r="C3874" s="42" t="s">
        <v>558</v>
      </c>
      <c r="D3874" s="71" t="s">
        <v>5517</v>
      </c>
      <c r="E3874" s="72" t="s">
        <v>1186</v>
      </c>
      <c r="F3874" s="72">
        <v>841.22</v>
      </c>
      <c r="G3874" s="73" t="s">
        <v>64</v>
      </c>
      <c r="H3874" s="89" t="s">
        <v>847</v>
      </c>
      <c r="I3874" s="72">
        <v>0</v>
      </c>
      <c r="J3874" s="72">
        <v>0</v>
      </c>
      <c r="K3874" s="72">
        <v>128.32</v>
      </c>
      <c r="L3874" s="97">
        <v>0</v>
      </c>
      <c r="M3874" s="73" t="s">
        <v>3925</v>
      </c>
      <c r="N3874" s="99">
        <f t="shared" si="90"/>
        <v>128.32</v>
      </c>
    </row>
    <row r="3875" spans="1:14">
      <c r="A3875" s="12">
        <v>3874</v>
      </c>
      <c r="B3875" s="71" t="s">
        <v>3936</v>
      </c>
      <c r="C3875" s="42" t="s">
        <v>3937</v>
      </c>
      <c r="D3875" s="71" t="s">
        <v>5518</v>
      </c>
      <c r="E3875" s="72" t="s">
        <v>1076</v>
      </c>
      <c r="F3875" s="72">
        <v>5.9</v>
      </c>
      <c r="G3875" s="73" t="s">
        <v>64</v>
      </c>
      <c r="H3875" s="73">
        <v>9971</v>
      </c>
      <c r="I3875" s="72">
        <v>0.45</v>
      </c>
      <c r="J3875" s="72">
        <v>0.45</v>
      </c>
      <c r="K3875" s="72">
        <v>0</v>
      </c>
      <c r="L3875" s="97">
        <v>0</v>
      </c>
      <c r="M3875" s="73" t="s">
        <v>3925</v>
      </c>
      <c r="N3875" s="99">
        <f t="shared" si="90"/>
        <v>0.9</v>
      </c>
    </row>
    <row r="3876" spans="1:14">
      <c r="A3876" s="12">
        <v>3875</v>
      </c>
      <c r="B3876" s="71" t="s">
        <v>3936</v>
      </c>
      <c r="C3876" s="42" t="s">
        <v>3937</v>
      </c>
      <c r="D3876" s="71" t="s">
        <v>5519</v>
      </c>
      <c r="E3876" s="72" t="s">
        <v>1207</v>
      </c>
      <c r="F3876" s="72">
        <v>5.9</v>
      </c>
      <c r="G3876" s="73" t="s">
        <v>64</v>
      </c>
      <c r="H3876" s="73">
        <v>9971</v>
      </c>
      <c r="I3876" s="72">
        <v>0.45</v>
      </c>
      <c r="J3876" s="72">
        <v>0.45</v>
      </c>
      <c r="K3876" s="72">
        <v>0</v>
      </c>
      <c r="L3876" s="97">
        <v>0</v>
      </c>
      <c r="M3876" s="73" t="s">
        <v>3925</v>
      </c>
      <c r="N3876" s="99">
        <f t="shared" si="90"/>
        <v>0.9</v>
      </c>
    </row>
    <row r="3877" spans="1:14">
      <c r="A3877" s="12">
        <v>3876</v>
      </c>
      <c r="B3877" s="71" t="s">
        <v>3936</v>
      </c>
      <c r="C3877" s="42" t="s">
        <v>3937</v>
      </c>
      <c r="D3877" s="71" t="s">
        <v>5520</v>
      </c>
      <c r="E3877" s="72" t="s">
        <v>454</v>
      </c>
      <c r="F3877" s="72">
        <v>5.9</v>
      </c>
      <c r="G3877" s="73" t="s">
        <v>64</v>
      </c>
      <c r="H3877" s="73">
        <v>9971</v>
      </c>
      <c r="I3877" s="72">
        <v>0.45</v>
      </c>
      <c r="J3877" s="72">
        <v>0.45</v>
      </c>
      <c r="K3877" s="72">
        <v>0</v>
      </c>
      <c r="L3877" s="97">
        <v>0</v>
      </c>
      <c r="M3877" s="73" t="s">
        <v>3925</v>
      </c>
      <c r="N3877" s="99">
        <f t="shared" si="90"/>
        <v>0.9</v>
      </c>
    </row>
    <row r="3878" spans="1:14">
      <c r="A3878" s="12">
        <v>3877</v>
      </c>
      <c r="B3878" s="71" t="s">
        <v>3936</v>
      </c>
      <c r="C3878" s="42" t="s">
        <v>3937</v>
      </c>
      <c r="D3878" s="71" t="s">
        <v>5521</v>
      </c>
      <c r="E3878" s="72" t="s">
        <v>454</v>
      </c>
      <c r="F3878" s="72">
        <v>15517</v>
      </c>
      <c r="G3878" s="73" t="s">
        <v>64</v>
      </c>
      <c r="H3878" s="73">
        <v>9971</v>
      </c>
      <c r="I3878" s="72">
        <v>1183.5</v>
      </c>
      <c r="J3878" s="72">
        <v>1183.5</v>
      </c>
      <c r="K3878" s="72">
        <v>0</v>
      </c>
      <c r="L3878" s="97">
        <v>0</v>
      </c>
      <c r="M3878" s="73" t="s">
        <v>3925</v>
      </c>
      <c r="N3878" s="99">
        <f t="shared" si="90"/>
        <v>2367</v>
      </c>
    </row>
    <row r="3879" spans="1:14">
      <c r="A3879" s="12">
        <v>3878</v>
      </c>
      <c r="B3879" s="71" t="s">
        <v>3936</v>
      </c>
      <c r="C3879" s="42" t="s">
        <v>3937</v>
      </c>
      <c r="D3879" s="71" t="s">
        <v>5522</v>
      </c>
      <c r="E3879" s="72" t="s">
        <v>783</v>
      </c>
      <c r="F3879" s="72">
        <v>5.9</v>
      </c>
      <c r="G3879" s="73" t="s">
        <v>64</v>
      </c>
      <c r="H3879" s="73">
        <v>9971</v>
      </c>
      <c r="I3879" s="72">
        <v>0.45</v>
      </c>
      <c r="J3879" s="72">
        <v>0.45</v>
      </c>
      <c r="K3879" s="72">
        <v>0</v>
      </c>
      <c r="L3879" s="97">
        <v>0</v>
      </c>
      <c r="M3879" s="73" t="s">
        <v>3925</v>
      </c>
      <c r="N3879" s="99">
        <f t="shared" si="90"/>
        <v>0.9</v>
      </c>
    </row>
    <row r="3880" spans="1:14">
      <c r="A3880" s="12">
        <v>3879</v>
      </c>
      <c r="B3880" s="71" t="s">
        <v>5523</v>
      </c>
      <c r="C3880" s="42" t="s">
        <v>5524</v>
      </c>
      <c r="D3880" s="71" t="s">
        <v>5525</v>
      </c>
      <c r="E3880" s="72" t="s">
        <v>477</v>
      </c>
      <c r="F3880" s="72">
        <v>16575</v>
      </c>
      <c r="G3880" s="74" t="s">
        <v>64</v>
      </c>
      <c r="H3880" s="74">
        <v>996332</v>
      </c>
      <c r="I3880" s="72">
        <v>915</v>
      </c>
      <c r="J3880" s="72">
        <v>915</v>
      </c>
      <c r="K3880" s="72">
        <v>0</v>
      </c>
      <c r="L3880" s="97">
        <v>0</v>
      </c>
      <c r="M3880" s="74" t="s">
        <v>157</v>
      </c>
      <c r="N3880" s="99">
        <f t="shared" si="90"/>
        <v>0</v>
      </c>
    </row>
    <row r="3881" spans="1:14">
      <c r="A3881" s="12">
        <v>3880</v>
      </c>
      <c r="B3881" s="71" t="s">
        <v>5523</v>
      </c>
      <c r="C3881" s="42" t="s">
        <v>5524</v>
      </c>
      <c r="D3881" s="71" t="s">
        <v>5526</v>
      </c>
      <c r="E3881" s="72" t="s">
        <v>477</v>
      </c>
      <c r="F3881" s="72">
        <v>22808</v>
      </c>
      <c r="G3881" s="74" t="s">
        <v>64</v>
      </c>
      <c r="H3881" s="74">
        <v>996332</v>
      </c>
      <c r="I3881" s="72">
        <v>1740</v>
      </c>
      <c r="J3881" s="72">
        <v>1740</v>
      </c>
      <c r="K3881" s="72">
        <v>0</v>
      </c>
      <c r="L3881" s="97">
        <v>0</v>
      </c>
      <c r="M3881" s="74" t="s">
        <v>157</v>
      </c>
      <c r="N3881" s="99">
        <f t="shared" si="90"/>
        <v>0</v>
      </c>
    </row>
    <row r="3882" spans="1:14">
      <c r="A3882" s="12">
        <v>3881</v>
      </c>
      <c r="B3882" s="71" t="s">
        <v>1759</v>
      </c>
      <c r="C3882" s="42" t="s">
        <v>1760</v>
      </c>
      <c r="D3882" s="71" t="s">
        <v>5527</v>
      </c>
      <c r="E3882" s="72" t="s">
        <v>30</v>
      </c>
      <c r="F3882" s="72">
        <v>6327.34</v>
      </c>
      <c r="G3882" s="73" t="s">
        <v>64</v>
      </c>
      <c r="H3882" s="89" t="s">
        <v>561</v>
      </c>
      <c r="I3882" s="72">
        <v>0</v>
      </c>
      <c r="J3882" s="72">
        <v>0</v>
      </c>
      <c r="K3882" s="72">
        <v>965.19</v>
      </c>
      <c r="L3882" s="97">
        <v>0</v>
      </c>
      <c r="M3882" s="73" t="s">
        <v>3925</v>
      </c>
      <c r="N3882" s="99">
        <f t="shared" si="90"/>
        <v>965.19</v>
      </c>
    </row>
    <row r="3883" spans="1:14">
      <c r="A3883" s="12">
        <v>3882</v>
      </c>
      <c r="B3883" s="71" t="s">
        <v>5528</v>
      </c>
      <c r="C3883" s="42" t="s">
        <v>5529</v>
      </c>
      <c r="D3883" s="71" t="s">
        <v>5530</v>
      </c>
      <c r="E3883" s="72" t="s">
        <v>467</v>
      </c>
      <c r="F3883" s="72">
        <v>258</v>
      </c>
      <c r="G3883" s="103" t="s">
        <v>4395</v>
      </c>
      <c r="H3883" s="103">
        <v>3926</v>
      </c>
      <c r="I3883" s="72">
        <v>0</v>
      </c>
      <c r="J3883" s="72">
        <v>0</v>
      </c>
      <c r="K3883" s="72">
        <v>39.36</v>
      </c>
      <c r="L3883" s="97">
        <v>0</v>
      </c>
      <c r="M3883" s="103" t="s">
        <v>157</v>
      </c>
      <c r="N3883" s="99">
        <f t="shared" si="90"/>
        <v>0</v>
      </c>
    </row>
    <row r="3884" spans="1:14">
      <c r="A3884" s="12">
        <v>3883</v>
      </c>
      <c r="B3884" s="71" t="s">
        <v>5088</v>
      </c>
      <c r="C3884" s="42" t="s">
        <v>5089</v>
      </c>
      <c r="D3884" s="71" t="s">
        <v>5531</v>
      </c>
      <c r="E3884" s="72" t="s">
        <v>30</v>
      </c>
      <c r="F3884" s="72">
        <v>1626.05</v>
      </c>
      <c r="G3884" s="73" t="s">
        <v>64</v>
      </c>
      <c r="H3884" s="73">
        <v>997119</v>
      </c>
      <c r="I3884" s="72">
        <v>0</v>
      </c>
      <c r="J3884" s="72">
        <v>0</v>
      </c>
      <c r="K3884" s="72">
        <v>248.04</v>
      </c>
      <c r="L3884" s="97">
        <v>0</v>
      </c>
      <c r="M3884" s="73" t="s">
        <v>3925</v>
      </c>
      <c r="N3884" s="99">
        <f t="shared" ref="N3884:N3947" si="91">IF(M3884="YES", I3884+J3884+K3884, 0)</f>
        <v>248.04</v>
      </c>
    </row>
    <row r="3885" spans="1:14">
      <c r="A3885" s="12">
        <v>3884</v>
      </c>
      <c r="B3885" s="71" t="s">
        <v>5532</v>
      </c>
      <c r="C3885" s="42" t="s">
        <v>5533</v>
      </c>
      <c r="D3885" s="71" t="s">
        <v>5534</v>
      </c>
      <c r="E3885" s="72" t="s">
        <v>802</v>
      </c>
      <c r="F3885" s="72">
        <v>2360</v>
      </c>
      <c r="G3885" s="73" t="s">
        <v>64</v>
      </c>
      <c r="H3885" s="74">
        <v>9982</v>
      </c>
      <c r="I3885" s="72">
        <v>0</v>
      </c>
      <c r="J3885" s="72">
        <v>0</v>
      </c>
      <c r="K3885" s="72">
        <v>360</v>
      </c>
      <c r="L3885" s="97">
        <v>0</v>
      </c>
      <c r="M3885" s="73" t="s">
        <v>3925</v>
      </c>
      <c r="N3885" s="99">
        <f t="shared" si="91"/>
        <v>360</v>
      </c>
    </row>
    <row r="3886" spans="1:14">
      <c r="A3886" s="12">
        <v>3885</v>
      </c>
      <c r="B3886" s="71" t="s">
        <v>5535</v>
      </c>
      <c r="C3886" s="42" t="s">
        <v>5536</v>
      </c>
      <c r="D3886" s="71" t="s">
        <v>5537</v>
      </c>
      <c r="E3886" s="72" t="s">
        <v>773</v>
      </c>
      <c r="F3886" s="72">
        <v>3486</v>
      </c>
      <c r="G3886" s="74" t="s">
        <v>24</v>
      </c>
      <c r="H3886" s="74">
        <v>4421</v>
      </c>
      <c r="I3886" s="72">
        <v>0</v>
      </c>
      <c r="J3886" s="72">
        <v>0</v>
      </c>
      <c r="K3886" s="72">
        <v>373.5</v>
      </c>
      <c r="L3886" s="97">
        <v>0</v>
      </c>
      <c r="M3886" s="73" t="s">
        <v>3925</v>
      </c>
      <c r="N3886" s="99">
        <f t="shared" si="91"/>
        <v>373.5</v>
      </c>
    </row>
    <row r="3887" spans="1:14">
      <c r="A3887" s="12">
        <v>3886</v>
      </c>
      <c r="B3887" s="71" t="s">
        <v>805</v>
      </c>
      <c r="C3887" s="42" t="s">
        <v>806</v>
      </c>
      <c r="D3887" s="71" t="s">
        <v>5538</v>
      </c>
      <c r="E3887" s="72" t="s">
        <v>63</v>
      </c>
      <c r="F3887" s="72">
        <v>14881.26</v>
      </c>
      <c r="G3887" s="73" t="s">
        <v>64</v>
      </c>
      <c r="H3887" s="89" t="s">
        <v>847</v>
      </c>
      <c r="I3887" s="72">
        <v>0</v>
      </c>
      <c r="J3887" s="72">
        <v>0</v>
      </c>
      <c r="K3887" s="72">
        <v>2270.0300000000002</v>
      </c>
      <c r="L3887" s="97">
        <v>0</v>
      </c>
      <c r="M3887" s="73" t="s">
        <v>3925</v>
      </c>
      <c r="N3887" s="99">
        <f t="shared" si="91"/>
        <v>2270.0300000000002</v>
      </c>
    </row>
    <row r="3888" spans="1:14">
      <c r="A3888" s="12">
        <v>3887</v>
      </c>
      <c r="B3888" s="71" t="s">
        <v>3936</v>
      </c>
      <c r="C3888" s="42" t="s">
        <v>3937</v>
      </c>
      <c r="D3888" s="71" t="s">
        <v>5539</v>
      </c>
      <c r="E3888" s="72" t="s">
        <v>813</v>
      </c>
      <c r="F3888" s="72">
        <v>5.9</v>
      </c>
      <c r="G3888" s="73" t="s">
        <v>64</v>
      </c>
      <c r="H3888" s="73">
        <v>9971</v>
      </c>
      <c r="I3888" s="72">
        <v>0.45</v>
      </c>
      <c r="J3888" s="72">
        <v>0.45</v>
      </c>
      <c r="K3888" s="72">
        <v>0</v>
      </c>
      <c r="L3888" s="97">
        <v>0</v>
      </c>
      <c r="M3888" s="73" t="s">
        <v>3925</v>
      </c>
      <c r="N3888" s="99">
        <f t="shared" si="91"/>
        <v>0.9</v>
      </c>
    </row>
    <row r="3889" spans="1:14">
      <c r="A3889" s="12">
        <v>3888</v>
      </c>
      <c r="B3889" s="71" t="s">
        <v>3936</v>
      </c>
      <c r="C3889" s="42" t="s">
        <v>3937</v>
      </c>
      <c r="D3889" s="71" t="s">
        <v>5540</v>
      </c>
      <c r="E3889" s="72" t="s">
        <v>1530</v>
      </c>
      <c r="F3889" s="72">
        <v>295</v>
      </c>
      <c r="G3889" s="73" t="s">
        <v>64</v>
      </c>
      <c r="H3889" s="73">
        <v>9971</v>
      </c>
      <c r="I3889" s="72">
        <v>22.5</v>
      </c>
      <c r="J3889" s="72">
        <v>22.5</v>
      </c>
      <c r="K3889" s="72">
        <v>0</v>
      </c>
      <c r="L3889" s="97">
        <v>0</v>
      </c>
      <c r="M3889" s="73" t="s">
        <v>3925</v>
      </c>
      <c r="N3889" s="99">
        <f t="shared" si="91"/>
        <v>45</v>
      </c>
    </row>
    <row r="3890" spans="1:14">
      <c r="A3890" s="12">
        <v>3889</v>
      </c>
      <c r="B3890" s="71" t="s">
        <v>3936</v>
      </c>
      <c r="C3890" s="42" t="s">
        <v>3937</v>
      </c>
      <c r="D3890" s="71" t="s">
        <v>5541</v>
      </c>
      <c r="E3890" s="72" t="s">
        <v>785</v>
      </c>
      <c r="F3890" s="72">
        <v>5.9</v>
      </c>
      <c r="G3890" s="73" t="s">
        <v>64</v>
      </c>
      <c r="H3890" s="73">
        <v>9971</v>
      </c>
      <c r="I3890" s="72">
        <v>0.45</v>
      </c>
      <c r="J3890" s="72">
        <v>0.45</v>
      </c>
      <c r="K3890" s="72">
        <v>0</v>
      </c>
      <c r="L3890" s="97">
        <v>0</v>
      </c>
      <c r="M3890" s="73" t="s">
        <v>3925</v>
      </c>
      <c r="N3890" s="99">
        <f t="shared" si="91"/>
        <v>0.9</v>
      </c>
    </row>
    <row r="3891" spans="1:14">
      <c r="A3891" s="12">
        <v>3890</v>
      </c>
      <c r="B3891" s="71" t="s">
        <v>3936</v>
      </c>
      <c r="C3891" s="42" t="s">
        <v>3937</v>
      </c>
      <c r="D3891" s="71" t="s">
        <v>5542</v>
      </c>
      <c r="E3891" s="72" t="s">
        <v>463</v>
      </c>
      <c r="F3891" s="72">
        <v>5.9</v>
      </c>
      <c r="G3891" s="73" t="s">
        <v>64</v>
      </c>
      <c r="H3891" s="73">
        <v>9971</v>
      </c>
      <c r="I3891" s="72">
        <v>0.45</v>
      </c>
      <c r="J3891" s="72">
        <v>0.45</v>
      </c>
      <c r="K3891" s="72">
        <v>0</v>
      </c>
      <c r="L3891" s="97">
        <v>0</v>
      </c>
      <c r="M3891" s="73" t="s">
        <v>3925</v>
      </c>
      <c r="N3891" s="99">
        <f t="shared" si="91"/>
        <v>0.9</v>
      </c>
    </row>
    <row r="3892" spans="1:14">
      <c r="A3892" s="12">
        <v>3891</v>
      </c>
      <c r="B3892" s="71" t="s">
        <v>3936</v>
      </c>
      <c r="C3892" s="42" t="s">
        <v>3937</v>
      </c>
      <c r="D3892" s="71" t="s">
        <v>5543</v>
      </c>
      <c r="E3892" s="72" t="s">
        <v>1161</v>
      </c>
      <c r="F3892" s="72">
        <v>7894.2</v>
      </c>
      <c r="G3892" s="73" t="s">
        <v>64</v>
      </c>
      <c r="H3892" s="73">
        <v>9971</v>
      </c>
      <c r="I3892" s="72">
        <v>602.1</v>
      </c>
      <c r="J3892" s="72">
        <v>602.1</v>
      </c>
      <c r="K3892" s="72">
        <v>0</v>
      </c>
      <c r="L3892" s="97">
        <v>0</v>
      </c>
      <c r="M3892" s="73" t="s">
        <v>3925</v>
      </c>
      <c r="N3892" s="99">
        <f t="shared" si="91"/>
        <v>1204.2</v>
      </c>
    </row>
    <row r="3893" spans="1:14">
      <c r="A3893" s="12">
        <v>3892</v>
      </c>
      <c r="B3893" s="71" t="s">
        <v>3936</v>
      </c>
      <c r="C3893" s="42" t="s">
        <v>3937</v>
      </c>
      <c r="D3893" s="71" t="s">
        <v>5544</v>
      </c>
      <c r="E3893" s="72" t="s">
        <v>1428</v>
      </c>
      <c r="F3893" s="72">
        <v>5.9</v>
      </c>
      <c r="G3893" s="73" t="s">
        <v>64</v>
      </c>
      <c r="H3893" s="73">
        <v>9971</v>
      </c>
      <c r="I3893" s="72">
        <v>0.45</v>
      </c>
      <c r="J3893" s="72">
        <v>0.45</v>
      </c>
      <c r="K3893" s="72">
        <v>0</v>
      </c>
      <c r="L3893" s="97">
        <v>0</v>
      </c>
      <c r="M3893" s="73" t="s">
        <v>3925</v>
      </c>
      <c r="N3893" s="99">
        <f t="shared" si="91"/>
        <v>0.9</v>
      </c>
    </row>
    <row r="3894" spans="1:14">
      <c r="A3894" s="12">
        <v>3893</v>
      </c>
      <c r="B3894" s="71" t="s">
        <v>3936</v>
      </c>
      <c r="C3894" s="42" t="s">
        <v>3937</v>
      </c>
      <c r="D3894" s="71" t="s">
        <v>5545</v>
      </c>
      <c r="E3894" s="72" t="s">
        <v>483</v>
      </c>
      <c r="F3894" s="72">
        <v>5.9</v>
      </c>
      <c r="G3894" s="73" t="s">
        <v>64</v>
      </c>
      <c r="H3894" s="73">
        <v>9971</v>
      </c>
      <c r="I3894" s="72">
        <v>0.45</v>
      </c>
      <c r="J3894" s="72">
        <v>0.45</v>
      </c>
      <c r="K3894" s="72">
        <v>0</v>
      </c>
      <c r="L3894" s="97">
        <v>0</v>
      </c>
      <c r="M3894" s="73" t="s">
        <v>3925</v>
      </c>
      <c r="N3894" s="99">
        <f t="shared" si="91"/>
        <v>0.9</v>
      </c>
    </row>
    <row r="3895" spans="1:14">
      <c r="A3895" s="12">
        <v>3894</v>
      </c>
      <c r="B3895" s="71" t="s">
        <v>5546</v>
      </c>
      <c r="C3895" s="42" t="s">
        <v>5547</v>
      </c>
      <c r="D3895" s="71" t="s">
        <v>5548</v>
      </c>
      <c r="E3895" s="72" t="s">
        <v>34</v>
      </c>
      <c r="F3895" s="72">
        <v>276.20999999999998</v>
      </c>
      <c r="G3895" s="74" t="s">
        <v>24</v>
      </c>
      <c r="H3895" s="74">
        <v>9503</v>
      </c>
      <c r="I3895" s="72">
        <v>0</v>
      </c>
      <c r="J3895" s="72">
        <v>0</v>
      </c>
      <c r="K3895" s="72">
        <v>29.59</v>
      </c>
      <c r="L3895" s="97">
        <v>0</v>
      </c>
      <c r="M3895" s="73" t="s">
        <v>3925</v>
      </c>
      <c r="N3895" s="99">
        <f t="shared" si="91"/>
        <v>29.59</v>
      </c>
    </row>
    <row r="3896" spans="1:14">
      <c r="A3896" s="12">
        <v>3895</v>
      </c>
      <c r="B3896" s="71" t="s">
        <v>5549</v>
      </c>
      <c r="C3896" s="42" t="s">
        <v>5550</v>
      </c>
      <c r="D3896" s="71" t="s">
        <v>5551</v>
      </c>
      <c r="E3896" s="72" t="s">
        <v>438</v>
      </c>
      <c r="F3896" s="72">
        <v>20998.99</v>
      </c>
      <c r="G3896" s="73" t="s">
        <v>24</v>
      </c>
      <c r="H3896" s="73">
        <v>9403</v>
      </c>
      <c r="I3896" s="72">
        <v>0</v>
      </c>
      <c r="J3896" s="72">
        <v>0</v>
      </c>
      <c r="K3896" s="72">
        <v>3203.23</v>
      </c>
      <c r="L3896" s="97">
        <v>0</v>
      </c>
      <c r="M3896" s="73" t="s">
        <v>3925</v>
      </c>
      <c r="N3896" s="99">
        <f t="shared" si="91"/>
        <v>3203.23</v>
      </c>
    </row>
    <row r="3897" spans="1:14">
      <c r="A3897" s="12">
        <v>3896</v>
      </c>
      <c r="B3897" s="71" t="s">
        <v>5083</v>
      </c>
      <c r="C3897" s="42" t="s">
        <v>5084</v>
      </c>
      <c r="D3897" s="71" t="s">
        <v>5552</v>
      </c>
      <c r="E3897" s="72" t="s">
        <v>5553</v>
      </c>
      <c r="F3897" s="72">
        <v>674.1</v>
      </c>
      <c r="G3897" s="73" t="s">
        <v>64</v>
      </c>
      <c r="H3897" s="89" t="s">
        <v>5086</v>
      </c>
      <c r="I3897" s="72">
        <v>0</v>
      </c>
      <c r="J3897" s="72">
        <v>0</v>
      </c>
      <c r="K3897" s="72">
        <v>32.1</v>
      </c>
      <c r="L3897" s="97">
        <v>0</v>
      </c>
      <c r="M3897" s="73" t="s">
        <v>3925</v>
      </c>
      <c r="N3897" s="99">
        <f t="shared" si="91"/>
        <v>32.1</v>
      </c>
    </row>
    <row r="3898" spans="1:14">
      <c r="A3898" s="12">
        <v>3897</v>
      </c>
      <c r="B3898" s="71" t="s">
        <v>5248</v>
      </c>
      <c r="C3898" s="42" t="s">
        <v>5249</v>
      </c>
      <c r="D3898" s="71" t="s">
        <v>5554</v>
      </c>
      <c r="E3898" s="72" t="s">
        <v>754</v>
      </c>
      <c r="F3898" s="72">
        <v>81129.83</v>
      </c>
      <c r="G3898" s="73" t="s">
        <v>64</v>
      </c>
      <c r="H3898" s="89" t="s">
        <v>5131</v>
      </c>
      <c r="I3898" s="72">
        <v>0</v>
      </c>
      <c r="J3898" s="72">
        <v>0</v>
      </c>
      <c r="K3898" s="72">
        <v>12375.74</v>
      </c>
      <c r="L3898" s="97">
        <v>0</v>
      </c>
      <c r="M3898" s="73" t="s">
        <v>3925</v>
      </c>
      <c r="N3898" s="99">
        <f t="shared" si="91"/>
        <v>12375.74</v>
      </c>
    </row>
    <row r="3899" spans="1:14">
      <c r="A3899" s="12">
        <v>3898</v>
      </c>
      <c r="B3899" s="71" t="s">
        <v>805</v>
      </c>
      <c r="C3899" s="42" t="s">
        <v>806</v>
      </c>
      <c r="D3899" s="71" t="s">
        <v>5555</v>
      </c>
      <c r="E3899" s="72" t="s">
        <v>59</v>
      </c>
      <c r="F3899" s="72">
        <v>1899.39</v>
      </c>
      <c r="G3899" s="73" t="s">
        <v>64</v>
      </c>
      <c r="H3899" s="89" t="s">
        <v>847</v>
      </c>
      <c r="I3899" s="72">
        <v>0</v>
      </c>
      <c r="J3899" s="72">
        <v>0</v>
      </c>
      <c r="K3899" s="72">
        <v>289.74</v>
      </c>
      <c r="L3899" s="97">
        <v>0</v>
      </c>
      <c r="M3899" s="73" t="s">
        <v>3925</v>
      </c>
      <c r="N3899" s="99">
        <f t="shared" si="91"/>
        <v>289.74</v>
      </c>
    </row>
    <row r="3900" spans="1:14">
      <c r="A3900" s="12">
        <v>3899</v>
      </c>
      <c r="B3900" s="71" t="s">
        <v>3936</v>
      </c>
      <c r="C3900" s="42" t="s">
        <v>3937</v>
      </c>
      <c r="D3900" s="71" t="s">
        <v>5556</v>
      </c>
      <c r="E3900" s="72" t="s">
        <v>1340</v>
      </c>
      <c r="F3900" s="72">
        <v>5.9</v>
      </c>
      <c r="G3900" s="73" t="s">
        <v>64</v>
      </c>
      <c r="H3900" s="73">
        <v>9971</v>
      </c>
      <c r="I3900" s="72">
        <v>0.45</v>
      </c>
      <c r="J3900" s="72">
        <v>0.45</v>
      </c>
      <c r="K3900" s="72">
        <v>0</v>
      </c>
      <c r="L3900" s="97">
        <v>0</v>
      </c>
      <c r="M3900" s="73" t="s">
        <v>3925</v>
      </c>
      <c r="N3900" s="99">
        <f t="shared" si="91"/>
        <v>0.9</v>
      </c>
    </row>
    <row r="3901" spans="1:14">
      <c r="A3901" s="12">
        <v>3900</v>
      </c>
      <c r="B3901" s="71" t="s">
        <v>3936</v>
      </c>
      <c r="C3901" s="42" t="s">
        <v>3937</v>
      </c>
      <c r="D3901" s="71" t="s">
        <v>5557</v>
      </c>
      <c r="E3901" s="72" t="s">
        <v>5558</v>
      </c>
      <c r="F3901" s="72">
        <v>5.9</v>
      </c>
      <c r="G3901" s="73" t="s">
        <v>64</v>
      </c>
      <c r="H3901" s="73">
        <v>9971</v>
      </c>
      <c r="I3901" s="72">
        <v>0.45</v>
      </c>
      <c r="J3901" s="72">
        <v>0.45</v>
      </c>
      <c r="K3901" s="72">
        <v>0</v>
      </c>
      <c r="L3901" s="97">
        <v>0</v>
      </c>
      <c r="M3901" s="73" t="s">
        <v>3925</v>
      </c>
      <c r="N3901" s="99">
        <f t="shared" si="91"/>
        <v>0.9</v>
      </c>
    </row>
    <row r="3902" spans="1:14">
      <c r="A3902" s="12">
        <v>3901</v>
      </c>
      <c r="B3902" s="71" t="s">
        <v>3936</v>
      </c>
      <c r="C3902" s="42" t="s">
        <v>3937</v>
      </c>
      <c r="D3902" s="71" t="s">
        <v>5559</v>
      </c>
      <c r="E3902" s="72" t="s">
        <v>5560</v>
      </c>
      <c r="F3902" s="72">
        <v>177</v>
      </c>
      <c r="G3902" s="73" t="s">
        <v>64</v>
      </c>
      <c r="H3902" s="73">
        <v>9971</v>
      </c>
      <c r="I3902" s="72">
        <v>13.5</v>
      </c>
      <c r="J3902" s="72">
        <v>13.5</v>
      </c>
      <c r="K3902" s="72">
        <v>0</v>
      </c>
      <c r="L3902" s="97">
        <v>0</v>
      </c>
      <c r="M3902" s="73" t="s">
        <v>3925</v>
      </c>
      <c r="N3902" s="99">
        <f t="shared" si="91"/>
        <v>27</v>
      </c>
    </row>
    <row r="3903" spans="1:14">
      <c r="A3903" s="12">
        <v>3902</v>
      </c>
      <c r="B3903" s="71" t="s">
        <v>3936</v>
      </c>
      <c r="C3903" s="42" t="s">
        <v>3937</v>
      </c>
      <c r="D3903" s="71" t="s">
        <v>5561</v>
      </c>
      <c r="E3903" s="72" t="s">
        <v>927</v>
      </c>
      <c r="F3903" s="72">
        <v>5.9</v>
      </c>
      <c r="G3903" s="73" t="s">
        <v>64</v>
      </c>
      <c r="H3903" s="73">
        <v>9971</v>
      </c>
      <c r="I3903" s="72">
        <v>0.45</v>
      </c>
      <c r="J3903" s="72">
        <v>0.45</v>
      </c>
      <c r="K3903" s="72">
        <v>0</v>
      </c>
      <c r="L3903" s="97">
        <v>0</v>
      </c>
      <c r="M3903" s="73" t="s">
        <v>3925</v>
      </c>
      <c r="N3903" s="99">
        <f t="shared" si="91"/>
        <v>0.9</v>
      </c>
    </row>
    <row r="3904" spans="1:14">
      <c r="A3904" s="12">
        <v>3903</v>
      </c>
      <c r="B3904" s="71" t="s">
        <v>3936</v>
      </c>
      <c r="C3904" s="42" t="s">
        <v>3937</v>
      </c>
      <c r="D3904" s="71" t="s">
        <v>5562</v>
      </c>
      <c r="E3904" s="72" t="s">
        <v>5563</v>
      </c>
      <c r="F3904" s="72">
        <v>5.9</v>
      </c>
      <c r="G3904" s="73" t="s">
        <v>64</v>
      </c>
      <c r="H3904" s="73">
        <v>9971</v>
      </c>
      <c r="I3904" s="72">
        <v>0.45</v>
      </c>
      <c r="J3904" s="72">
        <v>0.45</v>
      </c>
      <c r="K3904" s="72">
        <v>0</v>
      </c>
      <c r="L3904" s="97">
        <v>0</v>
      </c>
      <c r="M3904" s="73" t="s">
        <v>3925</v>
      </c>
      <c r="N3904" s="99">
        <f t="shared" si="91"/>
        <v>0.9</v>
      </c>
    </row>
    <row r="3905" spans="1:14">
      <c r="A3905" s="12">
        <v>3904</v>
      </c>
      <c r="B3905" s="71" t="s">
        <v>2959</v>
      </c>
      <c r="C3905" s="42" t="s">
        <v>2939</v>
      </c>
      <c r="D3905" s="71" t="s">
        <v>5564</v>
      </c>
      <c r="E3905" s="72" t="s">
        <v>5565</v>
      </c>
      <c r="F3905" s="72">
        <v>8099</v>
      </c>
      <c r="G3905" s="74" t="s">
        <v>24</v>
      </c>
      <c r="H3905" s="74">
        <v>9506</v>
      </c>
      <c r="I3905" s="72">
        <v>0</v>
      </c>
      <c r="J3905" s="72">
        <v>0</v>
      </c>
      <c r="K3905" s="72">
        <v>1235.44</v>
      </c>
      <c r="L3905" s="97">
        <v>0</v>
      </c>
      <c r="M3905" s="73" t="s">
        <v>3925</v>
      </c>
      <c r="N3905" s="99">
        <f t="shared" si="91"/>
        <v>1235.44</v>
      </c>
    </row>
    <row r="3906" spans="1:14">
      <c r="A3906" s="12">
        <v>3905</v>
      </c>
      <c r="B3906" s="71" t="s">
        <v>5248</v>
      </c>
      <c r="C3906" s="42" t="s">
        <v>5249</v>
      </c>
      <c r="D3906" s="71" t="s">
        <v>5566</v>
      </c>
      <c r="E3906" s="72" t="s">
        <v>1289</v>
      </c>
      <c r="F3906" s="72">
        <v>19558.580000000002</v>
      </c>
      <c r="G3906" s="73" t="s">
        <v>64</v>
      </c>
      <c r="H3906" s="89" t="s">
        <v>5131</v>
      </c>
      <c r="I3906" s="72">
        <v>0</v>
      </c>
      <c r="J3906" s="72">
        <v>0</v>
      </c>
      <c r="K3906" s="72">
        <v>2983.51</v>
      </c>
      <c r="L3906" s="97">
        <v>0</v>
      </c>
      <c r="M3906" s="73" t="s">
        <v>3925</v>
      </c>
      <c r="N3906" s="99">
        <f t="shared" si="91"/>
        <v>2983.51</v>
      </c>
    </row>
    <row r="3907" spans="1:14">
      <c r="A3907" s="12">
        <v>3906</v>
      </c>
      <c r="B3907" s="71" t="s">
        <v>5248</v>
      </c>
      <c r="C3907" s="42" t="s">
        <v>5249</v>
      </c>
      <c r="D3907" s="71" t="s">
        <v>5567</v>
      </c>
      <c r="E3907" s="72" t="s">
        <v>991</v>
      </c>
      <c r="F3907" s="72">
        <v>160338.68</v>
      </c>
      <c r="G3907" s="73" t="s">
        <v>64</v>
      </c>
      <c r="H3907" s="89" t="s">
        <v>5131</v>
      </c>
      <c r="I3907" s="72">
        <v>0</v>
      </c>
      <c r="J3907" s="72">
        <v>0</v>
      </c>
      <c r="K3907" s="72">
        <v>24458.44</v>
      </c>
      <c r="L3907" s="97">
        <v>0</v>
      </c>
      <c r="M3907" s="73" t="s">
        <v>3925</v>
      </c>
      <c r="N3907" s="99">
        <f t="shared" si="91"/>
        <v>24458.44</v>
      </c>
    </row>
    <row r="3908" spans="1:14">
      <c r="A3908" s="12">
        <v>3907</v>
      </c>
      <c r="B3908" s="71" t="s">
        <v>5248</v>
      </c>
      <c r="C3908" s="42" t="s">
        <v>5249</v>
      </c>
      <c r="D3908" s="71" t="s">
        <v>5568</v>
      </c>
      <c r="E3908" s="72" t="s">
        <v>1437</v>
      </c>
      <c r="F3908" s="72">
        <v>23660.68</v>
      </c>
      <c r="G3908" s="73" t="s">
        <v>64</v>
      </c>
      <c r="H3908" s="89" t="s">
        <v>5131</v>
      </c>
      <c r="I3908" s="72">
        <v>0</v>
      </c>
      <c r="J3908" s="72">
        <v>0</v>
      </c>
      <c r="K3908" s="72">
        <v>3609.26</v>
      </c>
      <c r="L3908" s="97">
        <v>0</v>
      </c>
      <c r="M3908" s="73" t="s">
        <v>3925</v>
      </c>
      <c r="N3908" s="99">
        <f t="shared" si="91"/>
        <v>3609.26</v>
      </c>
    </row>
    <row r="3909" spans="1:14">
      <c r="A3909" s="12">
        <v>3908</v>
      </c>
      <c r="B3909" s="71" t="s">
        <v>5248</v>
      </c>
      <c r="C3909" s="42" t="s">
        <v>5249</v>
      </c>
      <c r="D3909" s="71" t="s">
        <v>5569</v>
      </c>
      <c r="E3909" s="72" t="s">
        <v>994</v>
      </c>
      <c r="F3909" s="72">
        <v>69778.289999999994</v>
      </c>
      <c r="G3909" s="73" t="s">
        <v>64</v>
      </c>
      <c r="H3909" s="89" t="s">
        <v>5131</v>
      </c>
      <c r="I3909" s="72">
        <v>0</v>
      </c>
      <c r="J3909" s="72">
        <v>0</v>
      </c>
      <c r="K3909" s="72">
        <v>10644.15</v>
      </c>
      <c r="L3909" s="97">
        <v>0</v>
      </c>
      <c r="M3909" s="73" t="s">
        <v>3925</v>
      </c>
      <c r="N3909" s="99">
        <f t="shared" si="91"/>
        <v>10644.15</v>
      </c>
    </row>
    <row r="3910" spans="1:14">
      <c r="A3910" s="12">
        <v>3909</v>
      </c>
      <c r="B3910" s="71" t="s">
        <v>5088</v>
      </c>
      <c r="C3910" s="42" t="s">
        <v>5570</v>
      </c>
      <c r="D3910" s="71" t="s">
        <v>5571</v>
      </c>
      <c r="E3910" s="72" t="s">
        <v>970</v>
      </c>
      <c r="F3910" s="72">
        <v>2963.44</v>
      </c>
      <c r="G3910" s="73" t="s">
        <v>64</v>
      </c>
      <c r="H3910" s="74">
        <v>997119</v>
      </c>
      <c r="I3910" s="72">
        <v>0</v>
      </c>
      <c r="J3910" s="72">
        <v>0</v>
      </c>
      <c r="K3910" s="72">
        <v>452.05</v>
      </c>
      <c r="L3910" s="97">
        <v>0</v>
      </c>
      <c r="M3910" s="73" t="s">
        <v>3925</v>
      </c>
      <c r="N3910" s="99">
        <f t="shared" si="91"/>
        <v>452.05</v>
      </c>
    </row>
    <row r="3911" spans="1:14">
      <c r="A3911" s="12">
        <v>3910</v>
      </c>
      <c r="B3911" s="71" t="s">
        <v>5572</v>
      </c>
      <c r="C3911" s="42" t="s">
        <v>5573</v>
      </c>
      <c r="D3911" s="71" t="s">
        <v>5574</v>
      </c>
      <c r="E3911" s="72" t="s">
        <v>779</v>
      </c>
      <c r="F3911" s="72">
        <v>949</v>
      </c>
      <c r="G3911" s="74" t="s">
        <v>24</v>
      </c>
      <c r="H3911" s="74">
        <v>9004</v>
      </c>
      <c r="I3911" s="72">
        <v>0</v>
      </c>
      <c r="J3911" s="72">
        <v>0</v>
      </c>
      <c r="K3911" s="72">
        <v>101.68</v>
      </c>
      <c r="L3911" s="97">
        <v>0</v>
      </c>
      <c r="M3911" s="73" t="s">
        <v>3925</v>
      </c>
      <c r="N3911" s="99">
        <f t="shared" si="91"/>
        <v>101.68</v>
      </c>
    </row>
    <row r="3912" spans="1:14">
      <c r="A3912" s="12">
        <v>3911</v>
      </c>
      <c r="B3912" s="71" t="s">
        <v>557</v>
      </c>
      <c r="C3912" s="42" t="s">
        <v>558</v>
      </c>
      <c r="D3912" s="71" t="s">
        <v>5575</v>
      </c>
      <c r="E3912" s="72" t="s">
        <v>871</v>
      </c>
      <c r="F3912" s="72">
        <v>266.55</v>
      </c>
      <c r="G3912" s="73" t="s">
        <v>64</v>
      </c>
      <c r="H3912" s="89" t="s">
        <v>847</v>
      </c>
      <c r="I3912" s="72">
        <v>0</v>
      </c>
      <c r="J3912" s="72">
        <v>0</v>
      </c>
      <c r="K3912" s="72">
        <v>40.659999999999997</v>
      </c>
      <c r="L3912" s="97">
        <v>0</v>
      </c>
      <c r="M3912" s="73" t="s">
        <v>3925</v>
      </c>
      <c r="N3912" s="99">
        <f t="shared" si="91"/>
        <v>40.659999999999997</v>
      </c>
    </row>
    <row r="3913" spans="1:14">
      <c r="A3913" s="12">
        <v>3912</v>
      </c>
      <c r="B3913" s="71" t="s">
        <v>557</v>
      </c>
      <c r="C3913" s="42" t="s">
        <v>558</v>
      </c>
      <c r="D3913" s="71" t="s">
        <v>5576</v>
      </c>
      <c r="E3913" s="72" t="s">
        <v>1084</v>
      </c>
      <c r="F3913" s="72">
        <v>1246.45</v>
      </c>
      <c r="G3913" s="73" t="s">
        <v>64</v>
      </c>
      <c r="H3913" s="89" t="s">
        <v>847</v>
      </c>
      <c r="I3913" s="72">
        <v>0</v>
      </c>
      <c r="J3913" s="72">
        <v>0</v>
      </c>
      <c r="K3913" s="72">
        <v>190.14</v>
      </c>
      <c r="L3913" s="97">
        <v>0</v>
      </c>
      <c r="M3913" s="73" t="s">
        <v>3925</v>
      </c>
      <c r="N3913" s="99">
        <f t="shared" si="91"/>
        <v>190.14</v>
      </c>
    </row>
    <row r="3914" spans="1:14">
      <c r="A3914" s="12">
        <v>3913</v>
      </c>
      <c r="B3914" s="71" t="s">
        <v>557</v>
      </c>
      <c r="C3914" s="42" t="s">
        <v>558</v>
      </c>
      <c r="D3914" s="71" t="s">
        <v>5577</v>
      </c>
      <c r="E3914" s="72" t="s">
        <v>1420</v>
      </c>
      <c r="F3914" s="72">
        <v>1009.36</v>
      </c>
      <c r="G3914" s="73" t="s">
        <v>64</v>
      </c>
      <c r="H3914" s="89" t="s">
        <v>847</v>
      </c>
      <c r="I3914" s="72">
        <v>0</v>
      </c>
      <c r="J3914" s="72">
        <v>0</v>
      </c>
      <c r="K3914" s="72">
        <v>153.97</v>
      </c>
      <c r="L3914" s="97">
        <v>0</v>
      </c>
      <c r="M3914" s="73" t="s">
        <v>3925</v>
      </c>
      <c r="N3914" s="99">
        <f t="shared" si="91"/>
        <v>153.97</v>
      </c>
    </row>
    <row r="3915" spans="1:14">
      <c r="A3915" s="12">
        <v>3914</v>
      </c>
      <c r="B3915" s="71" t="s">
        <v>557</v>
      </c>
      <c r="C3915" s="42" t="s">
        <v>558</v>
      </c>
      <c r="D3915" s="71" t="s">
        <v>5578</v>
      </c>
      <c r="E3915" s="72" t="s">
        <v>1111</v>
      </c>
      <c r="F3915" s="72">
        <v>742.9</v>
      </c>
      <c r="G3915" s="73" t="s">
        <v>64</v>
      </c>
      <c r="H3915" s="89" t="s">
        <v>847</v>
      </c>
      <c r="I3915" s="72">
        <v>0</v>
      </c>
      <c r="J3915" s="72">
        <v>0</v>
      </c>
      <c r="K3915" s="72">
        <v>113.32</v>
      </c>
      <c r="L3915" s="97">
        <v>0</v>
      </c>
      <c r="M3915" s="73" t="s">
        <v>3925</v>
      </c>
      <c r="N3915" s="99">
        <f t="shared" si="91"/>
        <v>113.32</v>
      </c>
    </row>
    <row r="3916" spans="1:14">
      <c r="A3916" s="12">
        <v>3915</v>
      </c>
      <c r="B3916" s="71" t="s">
        <v>557</v>
      </c>
      <c r="C3916" s="42" t="s">
        <v>558</v>
      </c>
      <c r="D3916" s="71" t="s">
        <v>5579</v>
      </c>
      <c r="E3916" s="72" t="s">
        <v>5580</v>
      </c>
      <c r="F3916" s="72">
        <v>1202.67</v>
      </c>
      <c r="G3916" s="73" t="s">
        <v>64</v>
      </c>
      <c r="H3916" s="89" t="s">
        <v>847</v>
      </c>
      <c r="I3916" s="72">
        <v>0</v>
      </c>
      <c r="J3916" s="72">
        <v>0</v>
      </c>
      <c r="K3916" s="72">
        <v>183.46</v>
      </c>
      <c r="L3916" s="97">
        <v>0</v>
      </c>
      <c r="M3916" s="73" t="s">
        <v>3925</v>
      </c>
      <c r="N3916" s="99">
        <f t="shared" si="91"/>
        <v>183.46</v>
      </c>
    </row>
    <row r="3917" spans="1:14">
      <c r="A3917" s="12">
        <v>3916</v>
      </c>
      <c r="B3917" s="71" t="s">
        <v>557</v>
      </c>
      <c r="C3917" s="42" t="s">
        <v>558</v>
      </c>
      <c r="D3917" s="71" t="s">
        <v>5581</v>
      </c>
      <c r="E3917" s="72" t="s">
        <v>93</v>
      </c>
      <c r="F3917" s="72">
        <v>532.07000000000005</v>
      </c>
      <c r="G3917" s="73" t="s">
        <v>64</v>
      </c>
      <c r="H3917" s="89" t="s">
        <v>847</v>
      </c>
      <c r="I3917" s="72">
        <v>0</v>
      </c>
      <c r="J3917" s="72">
        <v>0</v>
      </c>
      <c r="K3917" s="72">
        <v>81.16</v>
      </c>
      <c r="L3917" s="97">
        <v>0</v>
      </c>
      <c r="M3917" s="73" t="s">
        <v>3925</v>
      </c>
      <c r="N3917" s="99">
        <f t="shared" si="91"/>
        <v>81.16</v>
      </c>
    </row>
    <row r="3918" spans="1:14">
      <c r="A3918" s="12">
        <v>3917</v>
      </c>
      <c r="B3918" s="71" t="s">
        <v>557</v>
      </c>
      <c r="C3918" s="42" t="s">
        <v>558</v>
      </c>
      <c r="D3918" s="71" t="s">
        <v>5582</v>
      </c>
      <c r="E3918" s="72" t="s">
        <v>88</v>
      </c>
      <c r="F3918" s="72">
        <v>842.96</v>
      </c>
      <c r="G3918" s="73" t="s">
        <v>64</v>
      </c>
      <c r="H3918" s="89" t="s">
        <v>847</v>
      </c>
      <c r="I3918" s="72">
        <v>0</v>
      </c>
      <c r="J3918" s="72">
        <v>0</v>
      </c>
      <c r="K3918" s="72">
        <v>128.59</v>
      </c>
      <c r="L3918" s="97">
        <v>0</v>
      </c>
      <c r="M3918" s="73" t="s">
        <v>3925</v>
      </c>
      <c r="N3918" s="99">
        <f t="shared" si="91"/>
        <v>128.59</v>
      </c>
    </row>
    <row r="3919" spans="1:14">
      <c r="A3919" s="12">
        <v>3918</v>
      </c>
      <c r="B3919" s="71" t="s">
        <v>557</v>
      </c>
      <c r="C3919" s="42" t="s">
        <v>558</v>
      </c>
      <c r="D3919" s="71" t="s">
        <v>5583</v>
      </c>
      <c r="E3919" s="72" t="s">
        <v>1116</v>
      </c>
      <c r="F3919" s="72">
        <v>1024.17</v>
      </c>
      <c r="G3919" s="73" t="s">
        <v>64</v>
      </c>
      <c r="H3919" s="89" t="s">
        <v>847</v>
      </c>
      <c r="I3919" s="72">
        <v>0</v>
      </c>
      <c r="J3919" s="72">
        <v>0</v>
      </c>
      <c r="K3919" s="72">
        <v>156.22999999999999</v>
      </c>
      <c r="L3919" s="97">
        <v>0</v>
      </c>
      <c r="M3919" s="73" t="s">
        <v>3925</v>
      </c>
      <c r="N3919" s="99">
        <f t="shared" si="91"/>
        <v>156.22999999999999</v>
      </c>
    </row>
    <row r="3920" spans="1:14">
      <c r="A3920" s="12">
        <v>3919</v>
      </c>
      <c r="B3920" s="71" t="s">
        <v>557</v>
      </c>
      <c r="C3920" s="42" t="s">
        <v>558</v>
      </c>
      <c r="D3920" s="71" t="s">
        <v>5584</v>
      </c>
      <c r="E3920" s="72" t="s">
        <v>5585</v>
      </c>
      <c r="F3920" s="72">
        <v>1094.75</v>
      </c>
      <c r="G3920" s="73" t="s">
        <v>64</v>
      </c>
      <c r="H3920" s="89" t="s">
        <v>847</v>
      </c>
      <c r="I3920" s="72">
        <v>0</v>
      </c>
      <c r="J3920" s="72">
        <v>0</v>
      </c>
      <c r="K3920" s="72">
        <v>167</v>
      </c>
      <c r="L3920" s="97">
        <v>0</v>
      </c>
      <c r="M3920" s="73" t="s">
        <v>3925</v>
      </c>
      <c r="N3920" s="99">
        <f t="shared" si="91"/>
        <v>167</v>
      </c>
    </row>
    <row r="3921" spans="1:14">
      <c r="A3921" s="12">
        <v>3920</v>
      </c>
      <c r="B3921" s="71" t="s">
        <v>557</v>
      </c>
      <c r="C3921" s="42" t="s">
        <v>558</v>
      </c>
      <c r="D3921" s="71" t="s">
        <v>5586</v>
      </c>
      <c r="E3921" s="72" t="s">
        <v>5558</v>
      </c>
      <c r="F3921" s="72">
        <v>970.42</v>
      </c>
      <c r="G3921" s="73" t="s">
        <v>64</v>
      </c>
      <c r="H3921" s="89" t="s">
        <v>847</v>
      </c>
      <c r="I3921" s="72">
        <v>0</v>
      </c>
      <c r="J3921" s="72">
        <v>0</v>
      </c>
      <c r="K3921" s="72">
        <v>148.03</v>
      </c>
      <c r="L3921" s="97">
        <v>0</v>
      </c>
      <c r="M3921" s="73" t="s">
        <v>3925</v>
      </c>
      <c r="N3921" s="99">
        <f t="shared" si="91"/>
        <v>148.03</v>
      </c>
    </row>
    <row r="3922" spans="1:14">
      <c r="A3922" s="12">
        <v>3921</v>
      </c>
      <c r="B3922" s="71" t="s">
        <v>557</v>
      </c>
      <c r="C3922" s="42" t="s">
        <v>558</v>
      </c>
      <c r="D3922" s="71" t="s">
        <v>5587</v>
      </c>
      <c r="E3922" s="72" t="s">
        <v>5565</v>
      </c>
      <c r="F3922" s="72">
        <v>920.85</v>
      </c>
      <c r="G3922" s="73" t="s">
        <v>64</v>
      </c>
      <c r="H3922" s="89" t="s">
        <v>847</v>
      </c>
      <c r="I3922" s="72">
        <v>0</v>
      </c>
      <c r="J3922" s="72">
        <v>0</v>
      </c>
      <c r="K3922" s="72">
        <v>140.47</v>
      </c>
      <c r="L3922" s="97">
        <v>0</v>
      </c>
      <c r="M3922" s="73" t="s">
        <v>3925</v>
      </c>
      <c r="N3922" s="99">
        <f t="shared" si="91"/>
        <v>140.47</v>
      </c>
    </row>
    <row r="3923" spans="1:14">
      <c r="A3923" s="12">
        <v>3922</v>
      </c>
      <c r="B3923" s="71" t="s">
        <v>557</v>
      </c>
      <c r="C3923" s="42" t="s">
        <v>558</v>
      </c>
      <c r="D3923" s="71" t="s">
        <v>5588</v>
      </c>
      <c r="E3923" s="72" t="s">
        <v>5589</v>
      </c>
      <c r="F3923" s="72">
        <v>146.86000000000001</v>
      </c>
      <c r="G3923" s="73" t="s">
        <v>64</v>
      </c>
      <c r="H3923" s="89" t="s">
        <v>847</v>
      </c>
      <c r="I3923" s="72">
        <v>0</v>
      </c>
      <c r="J3923" s="72">
        <v>0</v>
      </c>
      <c r="K3923" s="72">
        <v>22.4</v>
      </c>
      <c r="L3923" s="97">
        <v>0</v>
      </c>
      <c r="M3923" s="73" t="s">
        <v>3925</v>
      </c>
      <c r="N3923" s="99">
        <f t="shared" si="91"/>
        <v>22.4</v>
      </c>
    </row>
    <row r="3924" spans="1:14">
      <c r="A3924" s="12">
        <v>3923</v>
      </c>
      <c r="B3924" s="71" t="s">
        <v>557</v>
      </c>
      <c r="C3924" s="42" t="s">
        <v>558</v>
      </c>
      <c r="D3924" s="71" t="s">
        <v>5590</v>
      </c>
      <c r="E3924" s="72" t="s">
        <v>95</v>
      </c>
      <c r="F3924" s="72">
        <v>1924.6</v>
      </c>
      <c r="G3924" s="73" t="s">
        <v>64</v>
      </c>
      <c r="H3924" s="89" t="s">
        <v>847</v>
      </c>
      <c r="I3924" s="72">
        <v>0</v>
      </c>
      <c r="J3924" s="72">
        <v>0</v>
      </c>
      <c r="K3924" s="72">
        <v>293.58</v>
      </c>
      <c r="L3924" s="97">
        <v>0</v>
      </c>
      <c r="M3924" s="73" t="s">
        <v>3925</v>
      </c>
      <c r="N3924" s="99">
        <f t="shared" si="91"/>
        <v>293.58</v>
      </c>
    </row>
    <row r="3925" spans="1:14">
      <c r="A3925" s="12">
        <v>3924</v>
      </c>
      <c r="B3925" s="71" t="s">
        <v>557</v>
      </c>
      <c r="C3925" s="42" t="s">
        <v>558</v>
      </c>
      <c r="D3925" s="71" t="s">
        <v>5591</v>
      </c>
      <c r="E3925" s="72" t="s">
        <v>5560</v>
      </c>
      <c r="F3925" s="72">
        <v>1762.75</v>
      </c>
      <c r="G3925" s="73" t="s">
        <v>64</v>
      </c>
      <c r="H3925" s="89" t="s">
        <v>847</v>
      </c>
      <c r="I3925" s="72">
        <v>0</v>
      </c>
      <c r="J3925" s="72">
        <v>0</v>
      </c>
      <c r="K3925" s="72">
        <v>268.89</v>
      </c>
      <c r="L3925" s="97">
        <v>0</v>
      </c>
      <c r="M3925" s="73" t="s">
        <v>3925</v>
      </c>
      <c r="N3925" s="99">
        <f t="shared" si="91"/>
        <v>268.89</v>
      </c>
    </row>
    <row r="3926" spans="1:14">
      <c r="A3926" s="12">
        <v>3925</v>
      </c>
      <c r="B3926" s="71" t="s">
        <v>557</v>
      </c>
      <c r="C3926" s="42" t="s">
        <v>558</v>
      </c>
      <c r="D3926" s="71" t="s">
        <v>5592</v>
      </c>
      <c r="E3926" s="72" t="s">
        <v>1130</v>
      </c>
      <c r="F3926" s="72">
        <v>1420.17</v>
      </c>
      <c r="G3926" s="73" t="s">
        <v>64</v>
      </c>
      <c r="H3926" s="89" t="s">
        <v>847</v>
      </c>
      <c r="I3926" s="72">
        <v>0</v>
      </c>
      <c r="J3926" s="72">
        <v>0</v>
      </c>
      <c r="K3926" s="72">
        <v>216.64</v>
      </c>
      <c r="L3926" s="97">
        <v>0</v>
      </c>
      <c r="M3926" s="73" t="s">
        <v>3925</v>
      </c>
      <c r="N3926" s="99">
        <f t="shared" si="91"/>
        <v>216.64</v>
      </c>
    </row>
    <row r="3927" spans="1:14">
      <c r="A3927" s="12">
        <v>3926</v>
      </c>
      <c r="B3927" s="71" t="s">
        <v>557</v>
      </c>
      <c r="C3927" s="42" t="s">
        <v>558</v>
      </c>
      <c r="D3927" s="71" t="s">
        <v>5593</v>
      </c>
      <c r="E3927" s="72" t="s">
        <v>927</v>
      </c>
      <c r="F3927" s="72">
        <v>892.47</v>
      </c>
      <c r="G3927" s="73" t="s">
        <v>64</v>
      </c>
      <c r="H3927" s="89" t="s">
        <v>847</v>
      </c>
      <c r="I3927" s="72">
        <v>0</v>
      </c>
      <c r="J3927" s="72">
        <v>0</v>
      </c>
      <c r="K3927" s="72">
        <v>136.13999999999999</v>
      </c>
      <c r="L3927" s="97">
        <v>0</v>
      </c>
      <c r="M3927" s="73" t="s">
        <v>3925</v>
      </c>
      <c r="N3927" s="99">
        <f t="shared" si="91"/>
        <v>136.13999999999999</v>
      </c>
    </row>
    <row r="3928" spans="1:14">
      <c r="A3928" s="12">
        <v>3927</v>
      </c>
      <c r="B3928" s="71" t="s">
        <v>557</v>
      </c>
      <c r="C3928" s="42" t="s">
        <v>558</v>
      </c>
      <c r="D3928" s="71" t="s">
        <v>5594</v>
      </c>
      <c r="E3928" s="72" t="s">
        <v>5595</v>
      </c>
      <c r="F3928" s="72">
        <v>752.1</v>
      </c>
      <c r="G3928" s="73" t="s">
        <v>64</v>
      </c>
      <c r="H3928" s="89" t="s">
        <v>847</v>
      </c>
      <c r="I3928" s="72">
        <v>0</v>
      </c>
      <c r="J3928" s="72">
        <v>0</v>
      </c>
      <c r="K3928" s="72">
        <v>114.73</v>
      </c>
      <c r="L3928" s="97">
        <v>0</v>
      </c>
      <c r="M3928" s="73" t="s">
        <v>3925</v>
      </c>
      <c r="N3928" s="99">
        <f t="shared" si="91"/>
        <v>114.73</v>
      </c>
    </row>
    <row r="3929" spans="1:14">
      <c r="A3929" s="12">
        <v>3928</v>
      </c>
      <c r="B3929" s="71" t="s">
        <v>557</v>
      </c>
      <c r="C3929" s="42" t="s">
        <v>558</v>
      </c>
      <c r="D3929" s="71" t="s">
        <v>5596</v>
      </c>
      <c r="E3929" s="72" t="s">
        <v>5597</v>
      </c>
      <c r="F3929" s="72">
        <v>1197.1300000000001</v>
      </c>
      <c r="G3929" s="73" t="s">
        <v>64</v>
      </c>
      <c r="H3929" s="89" t="s">
        <v>847</v>
      </c>
      <c r="I3929" s="72">
        <v>0</v>
      </c>
      <c r="J3929" s="72">
        <v>0</v>
      </c>
      <c r="K3929" s="72">
        <v>182.61</v>
      </c>
      <c r="L3929" s="97">
        <v>0</v>
      </c>
      <c r="M3929" s="73" t="s">
        <v>3925</v>
      </c>
      <c r="N3929" s="99">
        <f t="shared" si="91"/>
        <v>182.61</v>
      </c>
    </row>
    <row r="3930" spans="1:14">
      <c r="A3930" s="12">
        <v>3929</v>
      </c>
      <c r="B3930" s="71" t="s">
        <v>557</v>
      </c>
      <c r="C3930" s="42" t="s">
        <v>558</v>
      </c>
      <c r="D3930" s="71" t="s">
        <v>5598</v>
      </c>
      <c r="E3930" s="72" t="s">
        <v>1497</v>
      </c>
      <c r="F3930" s="72">
        <v>1236.17</v>
      </c>
      <c r="G3930" s="73" t="s">
        <v>64</v>
      </c>
      <c r="H3930" s="89" t="s">
        <v>847</v>
      </c>
      <c r="I3930" s="72">
        <v>0</v>
      </c>
      <c r="J3930" s="72">
        <v>0</v>
      </c>
      <c r="K3930" s="72">
        <v>188.57</v>
      </c>
      <c r="L3930" s="97">
        <v>0</v>
      </c>
      <c r="M3930" s="73" t="s">
        <v>3925</v>
      </c>
      <c r="N3930" s="99">
        <f t="shared" si="91"/>
        <v>188.57</v>
      </c>
    </row>
    <row r="3931" spans="1:14">
      <c r="A3931" s="12">
        <v>3930</v>
      </c>
      <c r="B3931" s="71" t="s">
        <v>805</v>
      </c>
      <c r="C3931" s="42" t="s">
        <v>806</v>
      </c>
      <c r="D3931" s="71" t="s">
        <v>5599</v>
      </c>
      <c r="E3931" s="72" t="s">
        <v>1472</v>
      </c>
      <c r="F3931" s="72">
        <v>19640.54</v>
      </c>
      <c r="G3931" s="73" t="s">
        <v>64</v>
      </c>
      <c r="H3931" s="89" t="s">
        <v>847</v>
      </c>
      <c r="I3931" s="72">
        <v>0</v>
      </c>
      <c r="J3931" s="72">
        <v>0</v>
      </c>
      <c r="K3931" s="72">
        <v>2996.02</v>
      </c>
      <c r="L3931" s="97">
        <v>0</v>
      </c>
      <c r="M3931" s="73" t="s">
        <v>3925</v>
      </c>
      <c r="N3931" s="99">
        <f t="shared" si="91"/>
        <v>2996.02</v>
      </c>
    </row>
    <row r="3932" spans="1:14">
      <c r="A3932" s="12">
        <v>3931</v>
      </c>
      <c r="B3932" s="71" t="s">
        <v>5600</v>
      </c>
      <c r="C3932" s="42" t="s">
        <v>5601</v>
      </c>
      <c r="D3932" s="71" t="s">
        <v>5602</v>
      </c>
      <c r="E3932" s="72" t="s">
        <v>1116</v>
      </c>
      <c r="F3932" s="72">
        <v>152012.29999999999</v>
      </c>
      <c r="G3932" s="73" t="s">
        <v>64</v>
      </c>
      <c r="H3932" s="101" t="s">
        <v>1839</v>
      </c>
      <c r="I3932" s="72">
        <v>0</v>
      </c>
      <c r="J3932" s="72">
        <v>0</v>
      </c>
      <c r="K3932" s="72">
        <v>23188.3</v>
      </c>
      <c r="L3932" s="97">
        <v>0</v>
      </c>
      <c r="M3932" s="73" t="s">
        <v>3925</v>
      </c>
      <c r="N3932" s="99">
        <f t="shared" si="91"/>
        <v>23188.3</v>
      </c>
    </row>
    <row r="3933" spans="1:14">
      <c r="A3933" s="12">
        <v>3932</v>
      </c>
      <c r="B3933" s="71" t="s">
        <v>5600</v>
      </c>
      <c r="C3933" s="42" t="s">
        <v>5601</v>
      </c>
      <c r="D3933" s="71" t="s">
        <v>5603</v>
      </c>
      <c r="E3933" s="72" t="s">
        <v>1019</v>
      </c>
      <c r="F3933" s="72">
        <v>140154.1</v>
      </c>
      <c r="G3933" s="73" t="s">
        <v>64</v>
      </c>
      <c r="H3933" s="101" t="s">
        <v>1839</v>
      </c>
      <c r="I3933" s="72">
        <v>0</v>
      </c>
      <c r="J3933" s="72">
        <v>0</v>
      </c>
      <c r="K3933" s="72">
        <v>21379.4</v>
      </c>
      <c r="L3933" s="97">
        <v>0</v>
      </c>
      <c r="M3933" s="73" t="s">
        <v>3925</v>
      </c>
      <c r="N3933" s="99">
        <f t="shared" si="91"/>
        <v>21379.4</v>
      </c>
    </row>
    <row r="3934" spans="1:14">
      <c r="A3934" s="12">
        <v>3933</v>
      </c>
      <c r="B3934" s="71" t="s">
        <v>5600</v>
      </c>
      <c r="C3934" s="42" t="s">
        <v>5601</v>
      </c>
      <c r="D3934" s="71" t="s">
        <v>5604</v>
      </c>
      <c r="E3934" s="72" t="s">
        <v>1475</v>
      </c>
      <c r="F3934" s="72">
        <v>67030.100000000006</v>
      </c>
      <c r="G3934" s="73" t="s">
        <v>64</v>
      </c>
      <c r="H3934" s="101" t="s">
        <v>1839</v>
      </c>
      <c r="I3934" s="72">
        <v>0</v>
      </c>
      <c r="J3934" s="72">
        <v>0</v>
      </c>
      <c r="K3934" s="72">
        <v>10224.9</v>
      </c>
      <c r="L3934" s="97">
        <v>0</v>
      </c>
      <c r="M3934" s="73" t="s">
        <v>3925</v>
      </c>
      <c r="N3934" s="99">
        <f t="shared" si="91"/>
        <v>10224.9</v>
      </c>
    </row>
    <row r="3935" spans="1:14">
      <c r="A3935" s="12">
        <v>3934</v>
      </c>
      <c r="B3935" s="71" t="s">
        <v>5605</v>
      </c>
      <c r="C3935" s="42" t="s">
        <v>5606</v>
      </c>
      <c r="D3935" s="71" t="s">
        <v>5607</v>
      </c>
      <c r="E3935" s="72" t="s">
        <v>101</v>
      </c>
      <c r="F3935" s="72">
        <v>18746.64</v>
      </c>
      <c r="G3935" s="74" t="s">
        <v>64</v>
      </c>
      <c r="H3935" s="74">
        <v>96311</v>
      </c>
      <c r="I3935" s="72">
        <v>1330.47</v>
      </c>
      <c r="J3935" s="72">
        <v>1330.47</v>
      </c>
      <c r="K3935" s="72">
        <v>0</v>
      </c>
      <c r="L3935" s="97">
        <v>0</v>
      </c>
      <c r="M3935" s="74" t="s">
        <v>157</v>
      </c>
      <c r="N3935" s="99">
        <f t="shared" si="91"/>
        <v>0</v>
      </c>
    </row>
    <row r="3936" spans="1:14">
      <c r="A3936" s="12">
        <v>3935</v>
      </c>
      <c r="B3936" s="71" t="s">
        <v>5083</v>
      </c>
      <c r="C3936" s="42" t="s">
        <v>5084</v>
      </c>
      <c r="D3936" s="71" t="s">
        <v>5608</v>
      </c>
      <c r="E3936" s="72" t="s">
        <v>1437</v>
      </c>
      <c r="F3936" s="72">
        <v>337.05</v>
      </c>
      <c r="G3936" s="73" t="s">
        <v>64</v>
      </c>
      <c r="H3936" s="89" t="s">
        <v>5086</v>
      </c>
      <c r="I3936" s="72">
        <v>0</v>
      </c>
      <c r="J3936" s="72">
        <v>0</v>
      </c>
      <c r="K3936" s="72">
        <v>16.05</v>
      </c>
      <c r="L3936" s="97">
        <v>0</v>
      </c>
      <c r="M3936" s="73" t="s">
        <v>3925</v>
      </c>
      <c r="N3936" s="99">
        <f t="shared" si="91"/>
        <v>16.05</v>
      </c>
    </row>
    <row r="3937" spans="1:14">
      <c r="A3937" s="12">
        <v>3936</v>
      </c>
      <c r="B3937" s="71" t="s">
        <v>5094</v>
      </c>
      <c r="C3937" s="42" t="s">
        <v>5095</v>
      </c>
      <c r="D3937" s="71" t="s">
        <v>5609</v>
      </c>
      <c r="E3937" s="72" t="s">
        <v>101</v>
      </c>
      <c r="F3937" s="72">
        <v>28560</v>
      </c>
      <c r="G3937" s="73" t="s">
        <v>182</v>
      </c>
      <c r="H3937" s="73">
        <v>9403</v>
      </c>
      <c r="I3937" s="72">
        <v>0</v>
      </c>
      <c r="J3937" s="72">
        <v>0</v>
      </c>
      <c r="K3937" s="72">
        <v>3060</v>
      </c>
      <c r="L3937" s="97">
        <v>0</v>
      </c>
      <c r="M3937" s="73" t="s">
        <v>3925</v>
      </c>
      <c r="N3937" s="99">
        <f t="shared" si="91"/>
        <v>3060</v>
      </c>
    </row>
    <row r="3938" spans="1:14">
      <c r="A3938" s="12">
        <v>3937</v>
      </c>
      <c r="B3938" s="71" t="s">
        <v>5094</v>
      </c>
      <c r="C3938" s="42" t="s">
        <v>5095</v>
      </c>
      <c r="D3938" s="71" t="s">
        <v>5610</v>
      </c>
      <c r="E3938" s="72" t="s">
        <v>84</v>
      </c>
      <c r="F3938" s="72">
        <v>19600</v>
      </c>
      <c r="G3938" s="73" t="s">
        <v>182</v>
      </c>
      <c r="H3938" s="73">
        <v>9403</v>
      </c>
      <c r="I3938" s="72">
        <v>0</v>
      </c>
      <c r="J3938" s="72">
        <v>0</v>
      </c>
      <c r="K3938" s="72">
        <v>2100</v>
      </c>
      <c r="L3938" s="97">
        <v>0</v>
      </c>
      <c r="M3938" s="73" t="s">
        <v>3925</v>
      </c>
      <c r="N3938" s="99">
        <f t="shared" si="91"/>
        <v>2100</v>
      </c>
    </row>
    <row r="3939" spans="1:14">
      <c r="A3939" s="12">
        <v>3938</v>
      </c>
      <c r="B3939" s="71" t="s">
        <v>5094</v>
      </c>
      <c r="C3939" s="42" t="s">
        <v>5095</v>
      </c>
      <c r="D3939" s="71" t="s">
        <v>5611</v>
      </c>
      <c r="E3939" s="72" t="s">
        <v>5589</v>
      </c>
      <c r="F3939" s="72">
        <v>9440</v>
      </c>
      <c r="G3939" s="73" t="s">
        <v>182</v>
      </c>
      <c r="H3939" s="73">
        <v>9403</v>
      </c>
      <c r="I3939" s="72">
        <v>0</v>
      </c>
      <c r="J3939" s="72">
        <v>0</v>
      </c>
      <c r="K3939" s="72">
        <v>1440</v>
      </c>
      <c r="L3939" s="97">
        <v>0</v>
      </c>
      <c r="M3939" s="73" t="s">
        <v>3925</v>
      </c>
      <c r="N3939" s="99">
        <f t="shared" si="91"/>
        <v>1440</v>
      </c>
    </row>
    <row r="3940" spans="1:14">
      <c r="A3940" s="12">
        <v>3939</v>
      </c>
      <c r="B3940" s="71" t="s">
        <v>5094</v>
      </c>
      <c r="C3940" s="42" t="s">
        <v>5095</v>
      </c>
      <c r="D3940" s="71" t="s">
        <v>5612</v>
      </c>
      <c r="E3940" s="72" t="s">
        <v>869</v>
      </c>
      <c r="F3940" s="72">
        <v>17920</v>
      </c>
      <c r="G3940" s="73" t="s">
        <v>182</v>
      </c>
      <c r="H3940" s="73">
        <v>9403</v>
      </c>
      <c r="I3940" s="72">
        <v>0</v>
      </c>
      <c r="J3940" s="72">
        <v>0</v>
      </c>
      <c r="K3940" s="72">
        <v>1920</v>
      </c>
      <c r="L3940" s="97">
        <v>0</v>
      </c>
      <c r="M3940" s="73" t="s">
        <v>3925</v>
      </c>
      <c r="N3940" s="99">
        <f t="shared" si="91"/>
        <v>1920</v>
      </c>
    </row>
    <row r="3941" spans="1:14">
      <c r="A3941" s="12">
        <v>3940</v>
      </c>
      <c r="B3941" s="71" t="s">
        <v>5094</v>
      </c>
      <c r="C3941" s="42" t="s">
        <v>5095</v>
      </c>
      <c r="D3941" s="71" t="s">
        <v>5613</v>
      </c>
      <c r="E3941" s="72" t="s">
        <v>5595</v>
      </c>
      <c r="F3941" s="72">
        <v>456960</v>
      </c>
      <c r="G3941" s="73" t="s">
        <v>182</v>
      </c>
      <c r="H3941" s="73">
        <v>9403</v>
      </c>
      <c r="I3941" s="72">
        <v>0</v>
      </c>
      <c r="J3941" s="72">
        <v>0</v>
      </c>
      <c r="K3941" s="72">
        <v>48960</v>
      </c>
      <c r="L3941" s="97">
        <v>0</v>
      </c>
      <c r="M3941" s="73" t="s">
        <v>3925</v>
      </c>
      <c r="N3941" s="99">
        <f t="shared" si="91"/>
        <v>48960</v>
      </c>
    </row>
    <row r="3942" spans="1:14">
      <c r="A3942" s="12">
        <v>3941</v>
      </c>
      <c r="B3942" s="71" t="s">
        <v>2573</v>
      </c>
      <c r="C3942" s="42" t="s">
        <v>2574</v>
      </c>
      <c r="D3942" s="71" t="s">
        <v>5614</v>
      </c>
      <c r="E3942" s="72" t="s">
        <v>5597</v>
      </c>
      <c r="F3942" s="72">
        <v>1948.99</v>
      </c>
      <c r="G3942" s="73" t="s">
        <v>632</v>
      </c>
      <c r="H3942" s="74">
        <v>85287217</v>
      </c>
      <c r="I3942" s="72">
        <v>148.65</v>
      </c>
      <c r="J3942" s="72">
        <v>148.65</v>
      </c>
      <c r="K3942" s="72">
        <v>0</v>
      </c>
      <c r="L3942" s="97">
        <v>0</v>
      </c>
      <c r="M3942" s="73" t="s">
        <v>4847</v>
      </c>
      <c r="N3942" s="99">
        <f t="shared" si="91"/>
        <v>0</v>
      </c>
    </row>
    <row r="3943" spans="1:14">
      <c r="A3943" s="12">
        <v>3942</v>
      </c>
      <c r="B3943" s="71" t="s">
        <v>2573</v>
      </c>
      <c r="C3943" s="42" t="s">
        <v>2574</v>
      </c>
      <c r="D3943" s="71" t="s">
        <v>5615</v>
      </c>
      <c r="E3943" s="72" t="s">
        <v>5597</v>
      </c>
      <c r="F3943" s="72">
        <v>28404.99</v>
      </c>
      <c r="G3943" s="73" t="s">
        <v>632</v>
      </c>
      <c r="H3943" s="74">
        <v>85287217</v>
      </c>
      <c r="I3943" s="72">
        <v>2166.48</v>
      </c>
      <c r="J3943" s="72">
        <v>2166.48</v>
      </c>
      <c r="K3943" s="72">
        <v>0</v>
      </c>
      <c r="L3943" s="97">
        <v>0</v>
      </c>
      <c r="M3943" s="73" t="s">
        <v>4847</v>
      </c>
      <c r="N3943" s="99">
        <f t="shared" si="91"/>
        <v>0</v>
      </c>
    </row>
    <row r="3944" spans="1:14">
      <c r="A3944" s="12">
        <v>3943</v>
      </c>
      <c r="B3944" s="71" t="s">
        <v>1759</v>
      </c>
      <c r="C3944" s="42" t="s">
        <v>1760</v>
      </c>
      <c r="D3944" s="71" t="s">
        <v>5616</v>
      </c>
      <c r="E3944" s="72" t="s">
        <v>1497</v>
      </c>
      <c r="F3944" s="72">
        <v>1433.65</v>
      </c>
      <c r="G3944" s="73" t="s">
        <v>64</v>
      </c>
      <c r="H3944" s="89" t="s">
        <v>561</v>
      </c>
      <c r="I3944" s="72">
        <v>0</v>
      </c>
      <c r="J3944" s="72">
        <v>0</v>
      </c>
      <c r="K3944" s="72">
        <v>218.69</v>
      </c>
      <c r="L3944" s="97">
        <v>0</v>
      </c>
      <c r="M3944" s="73" t="s">
        <v>3925</v>
      </c>
      <c r="N3944" s="99">
        <f t="shared" si="91"/>
        <v>218.69</v>
      </c>
    </row>
    <row r="3945" spans="1:14">
      <c r="A3945" s="12">
        <v>3944</v>
      </c>
      <c r="B3945" s="71" t="s">
        <v>5617</v>
      </c>
      <c r="C3945" s="42" t="s">
        <v>5618</v>
      </c>
      <c r="D3945" s="71" t="s">
        <v>5619</v>
      </c>
      <c r="E3945" s="72" t="s">
        <v>868</v>
      </c>
      <c r="F3945" s="72">
        <v>7504.02</v>
      </c>
      <c r="G3945" s="74" t="s">
        <v>64</v>
      </c>
      <c r="H3945" s="101" t="s">
        <v>3235</v>
      </c>
      <c r="I3945" s="72">
        <v>402</v>
      </c>
      <c r="J3945" s="72">
        <v>402</v>
      </c>
      <c r="K3945" s="72">
        <v>0</v>
      </c>
      <c r="L3945" s="97">
        <v>0</v>
      </c>
      <c r="M3945" s="74" t="s">
        <v>157</v>
      </c>
      <c r="N3945" s="99">
        <f t="shared" si="91"/>
        <v>0</v>
      </c>
    </row>
    <row r="3946" spans="1:14">
      <c r="A3946" s="12">
        <v>3945</v>
      </c>
      <c r="B3946" s="71" t="s">
        <v>5600</v>
      </c>
      <c r="C3946" s="42" t="s">
        <v>5601</v>
      </c>
      <c r="D3946" s="71" t="s">
        <v>5620</v>
      </c>
      <c r="E3946" s="72" t="s">
        <v>1257</v>
      </c>
      <c r="F3946" s="72">
        <v>79318.399999999994</v>
      </c>
      <c r="G3946" s="73" t="s">
        <v>64</v>
      </c>
      <c r="H3946" s="101" t="s">
        <v>1839</v>
      </c>
      <c r="I3946" s="72">
        <v>0</v>
      </c>
      <c r="J3946" s="72">
        <v>0</v>
      </c>
      <c r="K3946" s="72">
        <v>12099.4</v>
      </c>
      <c r="L3946" s="97">
        <v>0</v>
      </c>
      <c r="M3946" s="73" t="s">
        <v>3925</v>
      </c>
      <c r="N3946" s="99">
        <f t="shared" si="91"/>
        <v>12099.4</v>
      </c>
    </row>
    <row r="3947" spans="1:14">
      <c r="A3947" s="12">
        <v>3946</v>
      </c>
      <c r="B3947" s="71" t="s">
        <v>5621</v>
      </c>
      <c r="C3947" s="42" t="s">
        <v>5622</v>
      </c>
      <c r="D3947" s="71" t="s">
        <v>5623</v>
      </c>
      <c r="E3947" s="72" t="s">
        <v>93</v>
      </c>
      <c r="F3947" s="72">
        <v>40000</v>
      </c>
      <c r="G3947" s="73" t="s">
        <v>632</v>
      </c>
      <c r="H3947" s="74">
        <v>8501</v>
      </c>
      <c r="I3947" s="72">
        <v>4375</v>
      </c>
      <c r="J3947" s="72">
        <v>4375</v>
      </c>
      <c r="K3947" s="72">
        <v>0</v>
      </c>
      <c r="L3947" s="97">
        <v>0</v>
      </c>
      <c r="M3947" s="74" t="s">
        <v>157</v>
      </c>
      <c r="N3947" s="99">
        <f t="shared" si="91"/>
        <v>0</v>
      </c>
    </row>
    <row r="3948" spans="1:14">
      <c r="A3948" s="12">
        <v>3947</v>
      </c>
      <c r="B3948" s="71" t="s">
        <v>5621</v>
      </c>
      <c r="C3948" s="42" t="s">
        <v>5622</v>
      </c>
      <c r="D3948" s="71" t="s">
        <v>5624</v>
      </c>
      <c r="E3948" s="72" t="s">
        <v>93</v>
      </c>
      <c r="F3948" s="72">
        <v>40000</v>
      </c>
      <c r="G3948" s="73" t="s">
        <v>632</v>
      </c>
      <c r="H3948" s="74">
        <v>85287217</v>
      </c>
      <c r="I3948" s="72">
        <v>4375</v>
      </c>
      <c r="J3948" s="72">
        <v>4375</v>
      </c>
      <c r="K3948" s="72">
        <v>0</v>
      </c>
      <c r="L3948" s="97">
        <v>0</v>
      </c>
      <c r="M3948" s="74" t="s">
        <v>157</v>
      </c>
      <c r="N3948" s="99">
        <f t="shared" ref="N3948:N4011" si="92">IF(M3948="YES", I3948+J3948+K3948, 0)</f>
        <v>0</v>
      </c>
    </row>
    <row r="3949" spans="1:14">
      <c r="A3949" s="12">
        <v>3948</v>
      </c>
      <c r="B3949" s="71" t="s">
        <v>5143</v>
      </c>
      <c r="C3949" s="42" t="s">
        <v>5625</v>
      </c>
      <c r="D3949" s="71" t="s">
        <v>5626</v>
      </c>
      <c r="E3949" s="72" t="s">
        <v>75</v>
      </c>
      <c r="F3949" s="72">
        <v>1397.92</v>
      </c>
      <c r="G3949" s="73" t="s">
        <v>64</v>
      </c>
      <c r="H3949" s="74">
        <v>996812</v>
      </c>
      <c r="I3949" s="72">
        <v>0</v>
      </c>
      <c r="J3949" s="72">
        <v>0</v>
      </c>
      <c r="K3949" s="72">
        <v>213.24</v>
      </c>
      <c r="L3949" s="97">
        <v>0</v>
      </c>
      <c r="M3949" s="73" t="s">
        <v>3925</v>
      </c>
      <c r="N3949" s="99">
        <f t="shared" si="92"/>
        <v>213.24</v>
      </c>
    </row>
    <row r="3950" spans="1:14">
      <c r="A3950" s="12">
        <v>3949</v>
      </c>
      <c r="B3950" s="71" t="s">
        <v>5094</v>
      </c>
      <c r="C3950" s="42" t="s">
        <v>5095</v>
      </c>
      <c r="D3950" s="71" t="s">
        <v>5627</v>
      </c>
      <c r="E3950" s="72" t="s">
        <v>866</v>
      </c>
      <c r="F3950" s="72">
        <v>33630</v>
      </c>
      <c r="G3950" s="73" t="s">
        <v>182</v>
      </c>
      <c r="H3950" s="73">
        <v>9403</v>
      </c>
      <c r="I3950" s="72">
        <v>0</v>
      </c>
      <c r="J3950" s="72">
        <v>0</v>
      </c>
      <c r="K3950" s="72">
        <v>5130</v>
      </c>
      <c r="L3950" s="97">
        <v>0</v>
      </c>
      <c r="M3950" s="73" t="s">
        <v>3925</v>
      </c>
      <c r="N3950" s="99">
        <f t="shared" si="92"/>
        <v>5130</v>
      </c>
    </row>
    <row r="3951" spans="1:14">
      <c r="A3951" s="12">
        <v>3950</v>
      </c>
      <c r="B3951" s="71" t="s">
        <v>5094</v>
      </c>
      <c r="C3951" s="42" t="s">
        <v>5095</v>
      </c>
      <c r="D3951" s="71" t="s">
        <v>5628</v>
      </c>
      <c r="E3951" s="72" t="s">
        <v>846</v>
      </c>
      <c r="F3951" s="72">
        <v>18480</v>
      </c>
      <c r="G3951" s="73" t="s">
        <v>182</v>
      </c>
      <c r="H3951" s="73">
        <v>9403</v>
      </c>
      <c r="I3951" s="72">
        <v>0</v>
      </c>
      <c r="J3951" s="72">
        <v>0</v>
      </c>
      <c r="K3951" s="72">
        <v>1980</v>
      </c>
      <c r="L3951" s="97">
        <v>0</v>
      </c>
      <c r="M3951" s="73" t="s">
        <v>3925</v>
      </c>
      <c r="N3951" s="99">
        <f t="shared" si="92"/>
        <v>1980</v>
      </c>
    </row>
    <row r="3952" spans="1:14">
      <c r="A3952" s="12">
        <v>3951</v>
      </c>
      <c r="B3952" s="71" t="s">
        <v>5094</v>
      </c>
      <c r="C3952" s="42" t="s">
        <v>5095</v>
      </c>
      <c r="D3952" s="71" t="s">
        <v>5629</v>
      </c>
      <c r="E3952" s="72" t="s">
        <v>831</v>
      </c>
      <c r="F3952" s="72">
        <v>33630</v>
      </c>
      <c r="G3952" s="73" t="s">
        <v>182</v>
      </c>
      <c r="H3952" s="73">
        <v>9403</v>
      </c>
      <c r="I3952" s="72">
        <v>0</v>
      </c>
      <c r="J3952" s="72">
        <v>0</v>
      </c>
      <c r="K3952" s="72">
        <v>5130</v>
      </c>
      <c r="L3952" s="97">
        <v>0</v>
      </c>
      <c r="M3952" s="73" t="s">
        <v>3925</v>
      </c>
      <c r="N3952" s="99">
        <f t="shared" si="92"/>
        <v>5130</v>
      </c>
    </row>
    <row r="3953" spans="1:14">
      <c r="A3953" s="12">
        <v>3952</v>
      </c>
      <c r="B3953" s="71" t="s">
        <v>5094</v>
      </c>
      <c r="C3953" s="42" t="s">
        <v>5095</v>
      </c>
      <c r="D3953" s="71" t="s">
        <v>5630</v>
      </c>
      <c r="E3953" s="72" t="s">
        <v>139</v>
      </c>
      <c r="F3953" s="72">
        <v>30240</v>
      </c>
      <c r="G3953" s="73" t="s">
        <v>182</v>
      </c>
      <c r="H3953" s="73">
        <v>9403</v>
      </c>
      <c r="I3953" s="72">
        <v>0</v>
      </c>
      <c r="J3953" s="72">
        <v>0</v>
      </c>
      <c r="K3953" s="72">
        <v>3240</v>
      </c>
      <c r="L3953" s="97">
        <v>0</v>
      </c>
      <c r="M3953" s="73" t="s">
        <v>3925</v>
      </c>
      <c r="N3953" s="99">
        <f t="shared" si="92"/>
        <v>3240</v>
      </c>
    </row>
    <row r="3954" spans="1:14">
      <c r="A3954" s="12">
        <v>3953</v>
      </c>
      <c r="B3954" s="71" t="s">
        <v>5094</v>
      </c>
      <c r="C3954" s="42" t="s">
        <v>5095</v>
      </c>
      <c r="D3954" s="71" t="s">
        <v>5631</v>
      </c>
      <c r="E3954" s="72" t="s">
        <v>5632</v>
      </c>
      <c r="F3954" s="72">
        <v>33630</v>
      </c>
      <c r="G3954" s="73" t="s">
        <v>182</v>
      </c>
      <c r="H3954" s="73">
        <v>9403</v>
      </c>
      <c r="I3954" s="72">
        <v>0</v>
      </c>
      <c r="J3954" s="72">
        <v>0</v>
      </c>
      <c r="K3954" s="72">
        <v>5130</v>
      </c>
      <c r="L3954" s="97">
        <v>0</v>
      </c>
      <c r="M3954" s="73" t="s">
        <v>3925</v>
      </c>
      <c r="N3954" s="99">
        <f t="shared" si="92"/>
        <v>5130</v>
      </c>
    </row>
    <row r="3955" spans="1:14">
      <c r="A3955" s="12">
        <v>3954</v>
      </c>
      <c r="B3955" s="71" t="s">
        <v>5094</v>
      </c>
      <c r="C3955" s="42" t="s">
        <v>5095</v>
      </c>
      <c r="D3955" s="71" t="s">
        <v>5633</v>
      </c>
      <c r="E3955" s="72" t="s">
        <v>931</v>
      </c>
      <c r="F3955" s="72">
        <v>33630</v>
      </c>
      <c r="G3955" s="73" t="s">
        <v>182</v>
      </c>
      <c r="H3955" s="73">
        <v>9403</v>
      </c>
      <c r="I3955" s="72">
        <v>0</v>
      </c>
      <c r="J3955" s="72">
        <v>0</v>
      </c>
      <c r="K3955" s="72">
        <v>5130</v>
      </c>
      <c r="L3955" s="97">
        <v>0</v>
      </c>
      <c r="M3955" s="73" t="s">
        <v>3925</v>
      </c>
      <c r="N3955" s="99">
        <f t="shared" si="92"/>
        <v>5130</v>
      </c>
    </row>
    <row r="3956" spans="1:14">
      <c r="A3956" s="12">
        <v>3955</v>
      </c>
      <c r="B3956" s="71" t="s">
        <v>5094</v>
      </c>
      <c r="C3956" s="42" t="s">
        <v>5095</v>
      </c>
      <c r="D3956" s="71" t="s">
        <v>5634</v>
      </c>
      <c r="E3956" s="72" t="s">
        <v>934</v>
      </c>
      <c r="F3956" s="72">
        <v>22960</v>
      </c>
      <c r="G3956" s="73" t="s">
        <v>182</v>
      </c>
      <c r="H3956" s="73">
        <v>9403</v>
      </c>
      <c r="I3956" s="72">
        <v>0</v>
      </c>
      <c r="J3956" s="72">
        <v>0</v>
      </c>
      <c r="K3956" s="72">
        <v>2460</v>
      </c>
      <c r="L3956" s="97">
        <v>0</v>
      </c>
      <c r="M3956" s="73" t="s">
        <v>3925</v>
      </c>
      <c r="N3956" s="99">
        <f t="shared" si="92"/>
        <v>2460</v>
      </c>
    </row>
    <row r="3957" spans="1:14">
      <c r="A3957" s="12">
        <v>3956</v>
      </c>
      <c r="B3957" s="71" t="s">
        <v>5094</v>
      </c>
      <c r="C3957" s="42" t="s">
        <v>5095</v>
      </c>
      <c r="D3957" s="71" t="s">
        <v>5635</v>
      </c>
      <c r="E3957" s="72" t="s">
        <v>1301</v>
      </c>
      <c r="F3957" s="72">
        <v>36960</v>
      </c>
      <c r="G3957" s="73" t="s">
        <v>182</v>
      </c>
      <c r="H3957" s="73">
        <v>9403</v>
      </c>
      <c r="I3957" s="72">
        <v>0</v>
      </c>
      <c r="J3957" s="72">
        <v>0</v>
      </c>
      <c r="K3957" s="72">
        <v>3960</v>
      </c>
      <c r="L3957" s="97">
        <v>0</v>
      </c>
      <c r="M3957" s="73" t="s">
        <v>3925</v>
      </c>
      <c r="N3957" s="99">
        <f t="shared" si="92"/>
        <v>3960</v>
      </c>
    </row>
    <row r="3958" spans="1:14">
      <c r="A3958" s="12">
        <v>3957</v>
      </c>
      <c r="B3958" s="71" t="s">
        <v>5094</v>
      </c>
      <c r="C3958" s="42" t="s">
        <v>5095</v>
      </c>
      <c r="D3958" s="71" t="s">
        <v>5636</v>
      </c>
      <c r="E3958" s="72" t="s">
        <v>835</v>
      </c>
      <c r="F3958" s="72">
        <v>12320</v>
      </c>
      <c r="G3958" s="73" t="s">
        <v>182</v>
      </c>
      <c r="H3958" s="73">
        <v>9403</v>
      </c>
      <c r="I3958" s="72">
        <v>0</v>
      </c>
      <c r="J3958" s="72">
        <v>0</v>
      </c>
      <c r="K3958" s="72">
        <v>1320</v>
      </c>
      <c r="L3958" s="97">
        <v>0</v>
      </c>
      <c r="M3958" s="73" t="s">
        <v>3925</v>
      </c>
      <c r="N3958" s="99">
        <f t="shared" si="92"/>
        <v>1320</v>
      </c>
    </row>
    <row r="3959" spans="1:14">
      <c r="A3959" s="12">
        <v>3958</v>
      </c>
      <c r="B3959" s="71" t="s">
        <v>5094</v>
      </c>
      <c r="C3959" s="42" t="s">
        <v>5095</v>
      </c>
      <c r="D3959" s="71" t="s">
        <v>5637</v>
      </c>
      <c r="E3959" s="72" t="s">
        <v>839</v>
      </c>
      <c r="F3959" s="72">
        <v>17360</v>
      </c>
      <c r="G3959" s="73" t="s">
        <v>182</v>
      </c>
      <c r="H3959" s="73">
        <v>9403</v>
      </c>
      <c r="I3959" s="72">
        <v>0</v>
      </c>
      <c r="J3959" s="72">
        <v>0</v>
      </c>
      <c r="K3959" s="72">
        <v>1860</v>
      </c>
      <c r="L3959" s="97">
        <v>0</v>
      </c>
      <c r="M3959" s="73" t="s">
        <v>3925</v>
      </c>
      <c r="N3959" s="99">
        <f t="shared" si="92"/>
        <v>1860</v>
      </c>
    </row>
    <row r="3960" spans="1:14">
      <c r="A3960" s="12">
        <v>3959</v>
      </c>
      <c r="B3960" s="71" t="s">
        <v>5094</v>
      </c>
      <c r="C3960" s="42" t="s">
        <v>5095</v>
      </c>
      <c r="D3960" s="71" t="s">
        <v>5638</v>
      </c>
      <c r="E3960" s="72" t="s">
        <v>1472</v>
      </c>
      <c r="F3960" s="72">
        <v>11800</v>
      </c>
      <c r="G3960" s="73" t="s">
        <v>182</v>
      </c>
      <c r="H3960" s="73">
        <v>9403</v>
      </c>
      <c r="I3960" s="72">
        <v>0</v>
      </c>
      <c r="J3960" s="72">
        <v>0</v>
      </c>
      <c r="K3960" s="72">
        <v>1800</v>
      </c>
      <c r="L3960" s="97">
        <v>0</v>
      </c>
      <c r="M3960" s="73" t="s">
        <v>3925</v>
      </c>
      <c r="N3960" s="99">
        <f t="shared" si="92"/>
        <v>1800</v>
      </c>
    </row>
    <row r="3961" spans="1:14">
      <c r="A3961" s="12">
        <v>3960</v>
      </c>
      <c r="B3961" s="71" t="s">
        <v>557</v>
      </c>
      <c r="C3961" s="42" t="s">
        <v>558</v>
      </c>
      <c r="D3961" s="71" t="s">
        <v>5639</v>
      </c>
      <c r="E3961" s="72" t="s">
        <v>1289</v>
      </c>
      <c r="F3961" s="72">
        <v>2162.67</v>
      </c>
      <c r="G3961" s="73" t="s">
        <v>64</v>
      </c>
      <c r="H3961" s="89" t="s">
        <v>847</v>
      </c>
      <c r="I3961" s="72">
        <v>0</v>
      </c>
      <c r="J3961" s="72">
        <v>0</v>
      </c>
      <c r="K3961" s="72">
        <v>329.9</v>
      </c>
      <c r="L3961" s="97">
        <v>0</v>
      </c>
      <c r="M3961" s="73" t="s">
        <v>3925</v>
      </c>
      <c r="N3961" s="99">
        <f t="shared" si="92"/>
        <v>329.9</v>
      </c>
    </row>
    <row r="3962" spans="1:14">
      <c r="A3962" s="12">
        <v>3961</v>
      </c>
      <c r="B3962" s="71" t="s">
        <v>557</v>
      </c>
      <c r="C3962" s="42" t="s">
        <v>558</v>
      </c>
      <c r="D3962" s="71" t="s">
        <v>5640</v>
      </c>
      <c r="E3962" s="72" t="s">
        <v>1492</v>
      </c>
      <c r="F3962" s="72">
        <v>1984.05</v>
      </c>
      <c r="G3962" s="73" t="s">
        <v>64</v>
      </c>
      <c r="H3962" s="89" t="s">
        <v>847</v>
      </c>
      <c r="I3962" s="72">
        <v>0</v>
      </c>
      <c r="J3962" s="72">
        <v>0</v>
      </c>
      <c r="K3962" s="72">
        <v>302.64999999999998</v>
      </c>
      <c r="L3962" s="97">
        <v>0</v>
      </c>
      <c r="M3962" s="73" t="s">
        <v>3925</v>
      </c>
      <c r="N3962" s="99">
        <f t="shared" si="92"/>
        <v>302.64999999999998</v>
      </c>
    </row>
    <row r="3963" spans="1:14">
      <c r="A3963" s="12">
        <v>3962</v>
      </c>
      <c r="B3963" s="71" t="s">
        <v>557</v>
      </c>
      <c r="C3963" s="42" t="s">
        <v>558</v>
      </c>
      <c r="D3963" s="71" t="s">
        <v>5641</v>
      </c>
      <c r="E3963" s="72" t="s">
        <v>5642</v>
      </c>
      <c r="F3963" s="72">
        <v>53.29</v>
      </c>
      <c r="G3963" s="73" t="s">
        <v>64</v>
      </c>
      <c r="H3963" s="89" t="s">
        <v>847</v>
      </c>
      <c r="I3963" s="72">
        <v>0</v>
      </c>
      <c r="J3963" s="72">
        <v>0</v>
      </c>
      <c r="K3963" s="72">
        <v>8.1300000000000008</v>
      </c>
      <c r="L3963" s="97">
        <v>0</v>
      </c>
      <c r="M3963" s="73" t="s">
        <v>3925</v>
      </c>
      <c r="N3963" s="99">
        <f t="shared" si="92"/>
        <v>8.1300000000000008</v>
      </c>
    </row>
    <row r="3964" spans="1:14">
      <c r="A3964" s="12">
        <v>3963</v>
      </c>
      <c r="B3964" s="71" t="s">
        <v>557</v>
      </c>
      <c r="C3964" s="42" t="s">
        <v>558</v>
      </c>
      <c r="D3964" s="71" t="s">
        <v>5643</v>
      </c>
      <c r="E3964" s="72" t="s">
        <v>1374</v>
      </c>
      <c r="F3964" s="72">
        <v>1332.07</v>
      </c>
      <c r="G3964" s="73" t="s">
        <v>64</v>
      </c>
      <c r="H3964" s="89" t="s">
        <v>847</v>
      </c>
      <c r="I3964" s="72">
        <v>0</v>
      </c>
      <c r="J3964" s="72">
        <v>0</v>
      </c>
      <c r="K3964" s="72">
        <v>203.2</v>
      </c>
      <c r="L3964" s="97">
        <v>0</v>
      </c>
      <c r="M3964" s="73" t="s">
        <v>3925</v>
      </c>
      <c r="N3964" s="99">
        <f t="shared" si="92"/>
        <v>203.2</v>
      </c>
    </row>
    <row r="3965" spans="1:14">
      <c r="A3965" s="12">
        <v>3964</v>
      </c>
      <c r="B3965" s="71" t="s">
        <v>557</v>
      </c>
      <c r="C3965" s="42" t="s">
        <v>558</v>
      </c>
      <c r="D3965" s="71" t="s">
        <v>5644</v>
      </c>
      <c r="E3965" s="72" t="s">
        <v>924</v>
      </c>
      <c r="F3965" s="72">
        <v>1932.85</v>
      </c>
      <c r="G3965" s="73" t="s">
        <v>64</v>
      </c>
      <c r="H3965" s="89" t="s">
        <v>847</v>
      </c>
      <c r="I3965" s="72">
        <v>0</v>
      </c>
      <c r="J3965" s="72">
        <v>0</v>
      </c>
      <c r="K3965" s="72">
        <v>294.83999999999997</v>
      </c>
      <c r="L3965" s="97">
        <v>0</v>
      </c>
      <c r="M3965" s="73" t="s">
        <v>3925</v>
      </c>
      <c r="N3965" s="99">
        <f t="shared" si="92"/>
        <v>294.83999999999997</v>
      </c>
    </row>
    <row r="3966" spans="1:14">
      <c r="A3966" s="12">
        <v>3965</v>
      </c>
      <c r="B3966" s="71" t="s">
        <v>557</v>
      </c>
      <c r="C3966" s="42" t="s">
        <v>558</v>
      </c>
      <c r="D3966" s="71" t="s">
        <v>5645</v>
      </c>
      <c r="E3966" s="72" t="s">
        <v>825</v>
      </c>
      <c r="F3966" s="72">
        <v>735.06</v>
      </c>
      <c r="G3966" s="73" t="s">
        <v>64</v>
      </c>
      <c r="H3966" s="89" t="s">
        <v>847</v>
      </c>
      <c r="I3966" s="72">
        <v>0</v>
      </c>
      <c r="J3966" s="72">
        <v>0</v>
      </c>
      <c r="K3966" s="72">
        <v>112.13</v>
      </c>
      <c r="L3966" s="97">
        <v>0</v>
      </c>
      <c r="M3966" s="73" t="s">
        <v>3925</v>
      </c>
      <c r="N3966" s="99">
        <f t="shared" si="92"/>
        <v>112.13</v>
      </c>
    </row>
    <row r="3967" spans="1:14">
      <c r="A3967" s="12">
        <v>3966</v>
      </c>
      <c r="B3967" s="71" t="s">
        <v>557</v>
      </c>
      <c r="C3967" s="42" t="s">
        <v>558</v>
      </c>
      <c r="D3967" s="71" t="s">
        <v>5646</v>
      </c>
      <c r="E3967" s="72" t="s">
        <v>1599</v>
      </c>
      <c r="F3967" s="72">
        <v>2677.55</v>
      </c>
      <c r="G3967" s="73" t="s">
        <v>64</v>
      </c>
      <c r="H3967" s="89" t="s">
        <v>847</v>
      </c>
      <c r="I3967" s="72">
        <v>0</v>
      </c>
      <c r="J3967" s="72">
        <v>0</v>
      </c>
      <c r="K3967" s="72">
        <v>408.44</v>
      </c>
      <c r="L3967" s="97">
        <v>0</v>
      </c>
      <c r="M3967" s="73" t="s">
        <v>3925</v>
      </c>
      <c r="N3967" s="99">
        <f t="shared" si="92"/>
        <v>408.44</v>
      </c>
    </row>
    <row r="3968" spans="1:14">
      <c r="A3968" s="12">
        <v>3967</v>
      </c>
      <c r="B3968" s="71" t="s">
        <v>557</v>
      </c>
      <c r="C3968" s="42" t="s">
        <v>558</v>
      </c>
      <c r="D3968" s="71" t="s">
        <v>5647</v>
      </c>
      <c r="E3968" s="72" t="s">
        <v>1379</v>
      </c>
      <c r="F3968" s="72">
        <v>1264.54</v>
      </c>
      <c r="G3968" s="73" t="s">
        <v>64</v>
      </c>
      <c r="H3968" s="89" t="s">
        <v>847</v>
      </c>
      <c r="I3968" s="72">
        <v>0</v>
      </c>
      <c r="J3968" s="72">
        <v>0</v>
      </c>
      <c r="K3968" s="72">
        <v>192.9</v>
      </c>
      <c r="L3968" s="97">
        <v>0</v>
      </c>
      <c r="M3968" s="73" t="s">
        <v>3925</v>
      </c>
      <c r="N3968" s="99">
        <f t="shared" si="92"/>
        <v>192.9</v>
      </c>
    </row>
    <row r="3969" spans="1:14">
      <c r="A3969" s="12">
        <v>3968</v>
      </c>
      <c r="B3969" s="71" t="s">
        <v>557</v>
      </c>
      <c r="C3969" s="42" t="s">
        <v>558</v>
      </c>
      <c r="D3969" s="71" t="s">
        <v>5648</v>
      </c>
      <c r="E3969" s="72" t="s">
        <v>1181</v>
      </c>
      <c r="F3969" s="72">
        <v>257.91000000000003</v>
      </c>
      <c r="G3969" s="73" t="s">
        <v>64</v>
      </c>
      <c r="H3969" s="89" t="s">
        <v>847</v>
      </c>
      <c r="I3969" s="72">
        <v>0</v>
      </c>
      <c r="J3969" s="72">
        <v>0</v>
      </c>
      <c r="K3969" s="72">
        <v>39.340000000000003</v>
      </c>
      <c r="L3969" s="97">
        <v>0</v>
      </c>
      <c r="M3969" s="73" t="s">
        <v>3925</v>
      </c>
      <c r="N3969" s="99">
        <f t="shared" si="92"/>
        <v>39.340000000000003</v>
      </c>
    </row>
    <row r="3970" spans="1:14">
      <c r="A3970" s="12">
        <v>3969</v>
      </c>
      <c r="B3970" s="71" t="s">
        <v>557</v>
      </c>
      <c r="C3970" s="42" t="s">
        <v>558</v>
      </c>
      <c r="D3970" s="71" t="s">
        <v>5649</v>
      </c>
      <c r="E3970" s="72" t="s">
        <v>1437</v>
      </c>
      <c r="F3970" s="72">
        <v>2037.6</v>
      </c>
      <c r="G3970" s="73" t="s">
        <v>64</v>
      </c>
      <c r="H3970" s="89" t="s">
        <v>847</v>
      </c>
      <c r="I3970" s="72">
        <v>0</v>
      </c>
      <c r="J3970" s="72">
        <v>0</v>
      </c>
      <c r="K3970" s="72">
        <v>310.82</v>
      </c>
      <c r="L3970" s="97">
        <v>0</v>
      </c>
      <c r="M3970" s="73" t="s">
        <v>3925</v>
      </c>
      <c r="N3970" s="99">
        <f t="shared" si="92"/>
        <v>310.82</v>
      </c>
    </row>
    <row r="3971" spans="1:14">
      <c r="A3971" s="12">
        <v>3970</v>
      </c>
      <c r="B3971" s="71" t="s">
        <v>557</v>
      </c>
      <c r="C3971" s="42" t="s">
        <v>558</v>
      </c>
      <c r="D3971" s="71" t="s">
        <v>5650</v>
      </c>
      <c r="E3971" s="72" t="s">
        <v>5651</v>
      </c>
      <c r="F3971" s="72">
        <v>1945.21</v>
      </c>
      <c r="G3971" s="73" t="s">
        <v>64</v>
      </c>
      <c r="H3971" s="89" t="s">
        <v>847</v>
      </c>
      <c r="I3971" s="72">
        <v>0</v>
      </c>
      <c r="J3971" s="72">
        <v>0</v>
      </c>
      <c r="K3971" s="72">
        <v>296.73</v>
      </c>
      <c r="L3971" s="97">
        <v>0</v>
      </c>
      <c r="M3971" s="73" t="s">
        <v>3925</v>
      </c>
      <c r="N3971" s="99">
        <f t="shared" si="92"/>
        <v>296.73</v>
      </c>
    </row>
    <row r="3972" spans="1:14">
      <c r="A3972" s="12">
        <v>3971</v>
      </c>
      <c r="B3972" s="71" t="s">
        <v>557</v>
      </c>
      <c r="C3972" s="42" t="s">
        <v>558</v>
      </c>
      <c r="D3972" s="71" t="s">
        <v>5652</v>
      </c>
      <c r="E3972" s="72" t="s">
        <v>5653</v>
      </c>
      <c r="F3972" s="72">
        <v>1281.6099999999999</v>
      </c>
      <c r="G3972" s="73" t="s">
        <v>64</v>
      </c>
      <c r="H3972" s="89" t="s">
        <v>847</v>
      </c>
      <c r="I3972" s="72">
        <v>0</v>
      </c>
      <c r="J3972" s="72">
        <v>0</v>
      </c>
      <c r="K3972" s="72">
        <v>195.5</v>
      </c>
      <c r="L3972" s="97">
        <v>0</v>
      </c>
      <c r="M3972" s="73" t="s">
        <v>3925</v>
      </c>
      <c r="N3972" s="99">
        <f t="shared" si="92"/>
        <v>195.5</v>
      </c>
    </row>
    <row r="3973" spans="1:14">
      <c r="A3973" s="12">
        <v>3972</v>
      </c>
      <c r="B3973" s="71" t="s">
        <v>557</v>
      </c>
      <c r="C3973" s="42" t="s">
        <v>558</v>
      </c>
      <c r="D3973" s="71" t="s">
        <v>5654</v>
      </c>
      <c r="E3973" s="72" t="s">
        <v>1014</v>
      </c>
      <c r="F3973" s="72">
        <v>1722.47</v>
      </c>
      <c r="G3973" s="73" t="s">
        <v>64</v>
      </c>
      <c r="H3973" s="89" t="s">
        <v>847</v>
      </c>
      <c r="I3973" s="72">
        <v>0</v>
      </c>
      <c r="J3973" s="72">
        <v>0</v>
      </c>
      <c r="K3973" s="72">
        <v>262.75</v>
      </c>
      <c r="L3973" s="97">
        <v>0</v>
      </c>
      <c r="M3973" s="73" t="s">
        <v>3925</v>
      </c>
      <c r="N3973" s="99">
        <f t="shared" si="92"/>
        <v>262.75</v>
      </c>
    </row>
    <row r="3974" spans="1:14">
      <c r="A3974" s="12">
        <v>3973</v>
      </c>
      <c r="B3974" s="71" t="s">
        <v>557</v>
      </c>
      <c r="C3974" s="42" t="s">
        <v>558</v>
      </c>
      <c r="D3974" s="71" t="s">
        <v>5655</v>
      </c>
      <c r="E3974" s="72" t="s">
        <v>843</v>
      </c>
      <c r="F3974" s="72">
        <v>890.61</v>
      </c>
      <c r="G3974" s="73" t="s">
        <v>64</v>
      </c>
      <c r="H3974" s="89" t="s">
        <v>847</v>
      </c>
      <c r="I3974" s="72">
        <v>0</v>
      </c>
      <c r="J3974" s="72">
        <v>0</v>
      </c>
      <c r="K3974" s="72">
        <v>135.86000000000001</v>
      </c>
      <c r="L3974" s="97">
        <v>0</v>
      </c>
      <c r="M3974" s="73" t="s">
        <v>3925</v>
      </c>
      <c r="N3974" s="99">
        <f t="shared" si="92"/>
        <v>135.86000000000001</v>
      </c>
    </row>
    <row r="3975" spans="1:14">
      <c r="A3975" s="12">
        <v>3974</v>
      </c>
      <c r="B3975" s="71" t="s">
        <v>557</v>
      </c>
      <c r="C3975" s="42" t="s">
        <v>558</v>
      </c>
      <c r="D3975" s="71" t="s">
        <v>5656</v>
      </c>
      <c r="E3975" s="72" t="s">
        <v>827</v>
      </c>
      <c r="F3975" s="72">
        <v>967.62</v>
      </c>
      <c r="G3975" s="73" t="s">
        <v>64</v>
      </c>
      <c r="H3975" s="89" t="s">
        <v>847</v>
      </c>
      <c r="I3975" s="72">
        <v>0</v>
      </c>
      <c r="J3975" s="72">
        <v>0</v>
      </c>
      <c r="K3975" s="72">
        <v>147.6</v>
      </c>
      <c r="L3975" s="97">
        <v>0</v>
      </c>
      <c r="M3975" s="73" t="s">
        <v>3925</v>
      </c>
      <c r="N3975" s="99">
        <f t="shared" si="92"/>
        <v>147.6</v>
      </c>
    </row>
    <row r="3976" spans="1:14">
      <c r="A3976" s="12">
        <v>3975</v>
      </c>
      <c r="B3976" s="71" t="s">
        <v>557</v>
      </c>
      <c r="C3976" s="42" t="s">
        <v>558</v>
      </c>
      <c r="D3976" s="71" t="s">
        <v>5657</v>
      </c>
      <c r="E3976" s="72" t="s">
        <v>829</v>
      </c>
      <c r="F3976" s="72">
        <v>154.88999999999999</v>
      </c>
      <c r="G3976" s="73" t="s">
        <v>64</v>
      </c>
      <c r="H3976" s="89" t="s">
        <v>847</v>
      </c>
      <c r="I3976" s="72">
        <v>0</v>
      </c>
      <c r="J3976" s="72">
        <v>0</v>
      </c>
      <c r="K3976" s="72">
        <v>23.63</v>
      </c>
      <c r="L3976" s="97">
        <v>0</v>
      </c>
      <c r="M3976" s="73" t="s">
        <v>3925</v>
      </c>
      <c r="N3976" s="99">
        <f t="shared" si="92"/>
        <v>23.63</v>
      </c>
    </row>
    <row r="3977" spans="1:14">
      <c r="A3977" s="12">
        <v>3976</v>
      </c>
      <c r="B3977" s="71" t="s">
        <v>557</v>
      </c>
      <c r="C3977" s="42" t="s">
        <v>558</v>
      </c>
      <c r="D3977" s="71" t="s">
        <v>5658</v>
      </c>
      <c r="E3977" s="72" t="s">
        <v>5659</v>
      </c>
      <c r="F3977" s="72">
        <v>1182.74</v>
      </c>
      <c r="G3977" s="73" t="s">
        <v>64</v>
      </c>
      <c r="H3977" s="89" t="s">
        <v>847</v>
      </c>
      <c r="I3977" s="72">
        <v>0</v>
      </c>
      <c r="J3977" s="72">
        <v>0</v>
      </c>
      <c r="K3977" s="72">
        <v>180.42</v>
      </c>
      <c r="L3977" s="97">
        <v>0</v>
      </c>
      <c r="M3977" s="73" t="s">
        <v>3925</v>
      </c>
      <c r="N3977" s="99">
        <f t="shared" si="92"/>
        <v>180.42</v>
      </c>
    </row>
    <row r="3978" spans="1:14">
      <c r="A3978" s="12">
        <v>3977</v>
      </c>
      <c r="B3978" s="71" t="s">
        <v>557</v>
      </c>
      <c r="C3978" s="42" t="s">
        <v>558</v>
      </c>
      <c r="D3978" s="71" t="s">
        <v>5660</v>
      </c>
      <c r="E3978" s="72" t="s">
        <v>1306</v>
      </c>
      <c r="F3978" s="72">
        <v>1543.88</v>
      </c>
      <c r="G3978" s="73" t="s">
        <v>64</v>
      </c>
      <c r="H3978" s="89" t="s">
        <v>847</v>
      </c>
      <c r="I3978" s="72">
        <v>0</v>
      </c>
      <c r="J3978" s="72">
        <v>0</v>
      </c>
      <c r="K3978" s="72">
        <v>235.51</v>
      </c>
      <c r="L3978" s="97">
        <v>0</v>
      </c>
      <c r="M3978" s="73" t="s">
        <v>3925</v>
      </c>
      <c r="N3978" s="99">
        <f t="shared" si="92"/>
        <v>235.51</v>
      </c>
    </row>
    <row r="3979" spans="1:14">
      <c r="A3979" s="12">
        <v>3978</v>
      </c>
      <c r="B3979" s="71" t="s">
        <v>557</v>
      </c>
      <c r="C3979" s="42" t="s">
        <v>558</v>
      </c>
      <c r="D3979" s="71" t="s">
        <v>5661</v>
      </c>
      <c r="E3979" s="72" t="s">
        <v>5662</v>
      </c>
      <c r="F3979" s="72">
        <v>1263.98</v>
      </c>
      <c r="G3979" s="73" t="s">
        <v>64</v>
      </c>
      <c r="H3979" s="89" t="s">
        <v>847</v>
      </c>
      <c r="I3979" s="72">
        <v>0</v>
      </c>
      <c r="J3979" s="72">
        <v>0</v>
      </c>
      <c r="K3979" s="72">
        <v>192.81</v>
      </c>
      <c r="L3979" s="97">
        <v>0</v>
      </c>
      <c r="M3979" s="73" t="s">
        <v>3925</v>
      </c>
      <c r="N3979" s="99">
        <f t="shared" si="92"/>
        <v>192.81</v>
      </c>
    </row>
    <row r="3980" spans="1:14">
      <c r="A3980" s="12">
        <v>3979</v>
      </c>
      <c r="B3980" s="71" t="s">
        <v>557</v>
      </c>
      <c r="C3980" s="42" t="s">
        <v>558</v>
      </c>
      <c r="D3980" s="71" t="s">
        <v>5663</v>
      </c>
      <c r="E3980" s="72" t="s">
        <v>970</v>
      </c>
      <c r="F3980" s="72">
        <v>9.3800000000000008</v>
      </c>
      <c r="G3980" s="73" t="s">
        <v>64</v>
      </c>
      <c r="H3980" s="89" t="s">
        <v>847</v>
      </c>
      <c r="I3980" s="72">
        <v>0</v>
      </c>
      <c r="J3980" s="72">
        <v>0</v>
      </c>
      <c r="K3980" s="72">
        <v>1.43</v>
      </c>
      <c r="L3980" s="97">
        <v>0</v>
      </c>
      <c r="M3980" s="73" t="s">
        <v>3925</v>
      </c>
      <c r="N3980" s="99">
        <f t="shared" si="92"/>
        <v>1.43</v>
      </c>
    </row>
    <row r="3981" spans="1:14">
      <c r="A3981" s="12">
        <v>3980</v>
      </c>
      <c r="B3981" s="71" t="s">
        <v>524</v>
      </c>
      <c r="C3981" s="42" t="s">
        <v>525</v>
      </c>
      <c r="D3981" s="71" t="s">
        <v>5664</v>
      </c>
      <c r="E3981" s="72" t="s">
        <v>139</v>
      </c>
      <c r="F3981" s="72">
        <v>2000</v>
      </c>
      <c r="G3981" s="73" t="s">
        <v>64</v>
      </c>
      <c r="H3981" s="74">
        <v>998551</v>
      </c>
      <c r="I3981" s="72">
        <v>0</v>
      </c>
      <c r="J3981" s="72">
        <v>0</v>
      </c>
      <c r="K3981" s="72">
        <v>305.08</v>
      </c>
      <c r="L3981" s="97">
        <v>0</v>
      </c>
      <c r="M3981" s="73" t="s">
        <v>3925</v>
      </c>
      <c r="N3981" s="99">
        <f t="shared" si="92"/>
        <v>305.08</v>
      </c>
    </row>
    <row r="3982" spans="1:14">
      <c r="A3982" s="12">
        <v>3981</v>
      </c>
      <c r="B3982" s="71" t="s">
        <v>1166</v>
      </c>
      <c r="C3982" s="42" t="s">
        <v>1167</v>
      </c>
      <c r="D3982" s="71" t="s">
        <v>5665</v>
      </c>
      <c r="E3982" s="72" t="s">
        <v>866</v>
      </c>
      <c r="F3982" s="72">
        <v>5409.14</v>
      </c>
      <c r="G3982" s="73" t="s">
        <v>64</v>
      </c>
      <c r="H3982" s="74">
        <v>9971</v>
      </c>
      <c r="I3982" s="72">
        <v>412.56</v>
      </c>
      <c r="J3982" s="72">
        <v>412.56</v>
      </c>
      <c r="K3982" s="72">
        <v>0</v>
      </c>
      <c r="L3982" s="97">
        <v>0</v>
      </c>
      <c r="M3982" s="73" t="s">
        <v>3925</v>
      </c>
      <c r="N3982" s="99">
        <f t="shared" si="92"/>
        <v>825.12</v>
      </c>
    </row>
    <row r="3983" spans="1:14">
      <c r="A3983" s="12">
        <v>3982</v>
      </c>
      <c r="B3983" s="71" t="s">
        <v>1759</v>
      </c>
      <c r="C3983" s="42" t="s">
        <v>1760</v>
      </c>
      <c r="D3983" s="71" t="s">
        <v>5666</v>
      </c>
      <c r="E3983" s="72" t="s">
        <v>1472</v>
      </c>
      <c r="F3983" s="72">
        <v>6000.05</v>
      </c>
      <c r="G3983" s="73" t="s">
        <v>64</v>
      </c>
      <c r="H3983" s="89" t="s">
        <v>561</v>
      </c>
      <c r="I3983" s="72">
        <v>0</v>
      </c>
      <c r="J3983" s="72">
        <v>0</v>
      </c>
      <c r="K3983" s="72">
        <v>915.26</v>
      </c>
      <c r="L3983" s="97">
        <v>0</v>
      </c>
      <c r="M3983" s="73" t="s">
        <v>3925</v>
      </c>
      <c r="N3983" s="99">
        <f t="shared" si="92"/>
        <v>915.26</v>
      </c>
    </row>
    <row r="3984" spans="1:14">
      <c r="A3984" s="12">
        <v>3983</v>
      </c>
      <c r="B3984" s="71" t="s">
        <v>5088</v>
      </c>
      <c r="C3984" s="42" t="s">
        <v>5570</v>
      </c>
      <c r="D3984" s="71" t="s">
        <v>5667</v>
      </c>
      <c r="E3984" s="72" t="s">
        <v>1497</v>
      </c>
      <c r="F3984" s="72">
        <v>2426.33</v>
      </c>
      <c r="G3984" s="73" t="s">
        <v>64</v>
      </c>
      <c r="H3984" s="74">
        <v>997119</v>
      </c>
      <c r="I3984" s="72">
        <v>0</v>
      </c>
      <c r="J3984" s="72">
        <v>0</v>
      </c>
      <c r="K3984" s="72">
        <v>370.12</v>
      </c>
      <c r="L3984" s="97">
        <v>0</v>
      </c>
      <c r="M3984" s="73" t="s">
        <v>3925</v>
      </c>
      <c r="N3984" s="99">
        <f t="shared" si="92"/>
        <v>370.12</v>
      </c>
    </row>
    <row r="3985" spans="1:14">
      <c r="A3985" s="12">
        <v>3984</v>
      </c>
      <c r="B3985" s="71" t="s">
        <v>3936</v>
      </c>
      <c r="C3985" s="42" t="s">
        <v>3937</v>
      </c>
      <c r="D3985" s="71" t="s">
        <v>5668</v>
      </c>
      <c r="E3985" s="72" t="s">
        <v>866</v>
      </c>
      <c r="F3985" s="72">
        <v>1475</v>
      </c>
      <c r="G3985" s="73" t="s">
        <v>64</v>
      </c>
      <c r="H3985" s="73">
        <v>9971</v>
      </c>
      <c r="I3985" s="72">
        <v>112.5</v>
      </c>
      <c r="J3985" s="72">
        <v>112.5</v>
      </c>
      <c r="K3985" s="72">
        <v>0</v>
      </c>
      <c r="L3985" s="97">
        <v>0</v>
      </c>
      <c r="M3985" s="73" t="s">
        <v>3925</v>
      </c>
      <c r="N3985" s="99">
        <f t="shared" si="92"/>
        <v>225</v>
      </c>
    </row>
    <row r="3986" spans="1:14">
      <c r="A3986" s="12">
        <v>3985</v>
      </c>
      <c r="B3986" s="71" t="s">
        <v>3936</v>
      </c>
      <c r="C3986" s="42" t="s">
        <v>3937</v>
      </c>
      <c r="D3986" s="71" t="s">
        <v>5669</v>
      </c>
      <c r="E3986" s="72" t="s">
        <v>866</v>
      </c>
      <c r="F3986" s="72">
        <v>1475</v>
      </c>
      <c r="G3986" s="73" t="s">
        <v>64</v>
      </c>
      <c r="H3986" s="73">
        <v>9971</v>
      </c>
      <c r="I3986" s="72">
        <v>112.5</v>
      </c>
      <c r="J3986" s="72">
        <v>112.5</v>
      </c>
      <c r="K3986" s="72">
        <v>0</v>
      </c>
      <c r="L3986" s="97">
        <v>0</v>
      </c>
      <c r="M3986" s="73" t="s">
        <v>3925</v>
      </c>
      <c r="N3986" s="99">
        <f t="shared" si="92"/>
        <v>225</v>
      </c>
    </row>
    <row r="3987" spans="1:14">
      <c r="A3987" s="12">
        <v>3986</v>
      </c>
      <c r="B3987" s="71" t="s">
        <v>3936</v>
      </c>
      <c r="C3987" s="42" t="s">
        <v>3937</v>
      </c>
      <c r="D3987" s="71" t="s">
        <v>5670</v>
      </c>
      <c r="E3987" s="72" t="s">
        <v>866</v>
      </c>
      <c r="F3987" s="72">
        <v>50.68</v>
      </c>
      <c r="G3987" s="73" t="s">
        <v>64</v>
      </c>
      <c r="H3987" s="73">
        <v>9971</v>
      </c>
      <c r="I3987" s="72">
        <v>3.87</v>
      </c>
      <c r="J3987" s="72">
        <v>3.87</v>
      </c>
      <c r="K3987" s="72">
        <v>0</v>
      </c>
      <c r="L3987" s="97">
        <v>0</v>
      </c>
      <c r="M3987" s="73" t="s">
        <v>3925</v>
      </c>
      <c r="N3987" s="99">
        <f t="shared" si="92"/>
        <v>7.74</v>
      </c>
    </row>
    <row r="3988" spans="1:14">
      <c r="A3988" s="12">
        <v>3987</v>
      </c>
      <c r="B3988" s="71" t="s">
        <v>3936</v>
      </c>
      <c r="C3988" s="42" t="s">
        <v>3937</v>
      </c>
      <c r="D3988" s="71" t="s">
        <v>5671</v>
      </c>
      <c r="E3988" s="72" t="s">
        <v>866</v>
      </c>
      <c r="F3988" s="72">
        <v>1475</v>
      </c>
      <c r="G3988" s="73" t="s">
        <v>64</v>
      </c>
      <c r="H3988" s="73">
        <v>9971</v>
      </c>
      <c r="I3988" s="72">
        <v>112.5</v>
      </c>
      <c r="J3988" s="72">
        <v>112.5</v>
      </c>
      <c r="K3988" s="72">
        <v>0</v>
      </c>
      <c r="L3988" s="97">
        <v>0</v>
      </c>
      <c r="M3988" s="73" t="s">
        <v>3925</v>
      </c>
      <c r="N3988" s="99">
        <f t="shared" si="92"/>
        <v>225</v>
      </c>
    </row>
    <row r="3989" spans="1:14">
      <c r="A3989" s="12">
        <v>3988</v>
      </c>
      <c r="B3989" s="71" t="s">
        <v>3936</v>
      </c>
      <c r="C3989" s="42" t="s">
        <v>3937</v>
      </c>
      <c r="D3989" s="71" t="s">
        <v>5672</v>
      </c>
      <c r="E3989" s="72" t="s">
        <v>866</v>
      </c>
      <c r="F3989" s="72">
        <v>1475</v>
      </c>
      <c r="G3989" s="73" t="s">
        <v>64</v>
      </c>
      <c r="H3989" s="73">
        <v>9971</v>
      </c>
      <c r="I3989" s="72">
        <v>112.5</v>
      </c>
      <c r="J3989" s="72">
        <v>112.5</v>
      </c>
      <c r="K3989" s="72">
        <v>0</v>
      </c>
      <c r="L3989" s="97">
        <v>0</v>
      </c>
      <c r="M3989" s="73" t="s">
        <v>3925</v>
      </c>
      <c r="N3989" s="99">
        <f t="shared" si="92"/>
        <v>225</v>
      </c>
    </row>
    <row r="3990" spans="1:14">
      <c r="A3990" s="12">
        <v>3989</v>
      </c>
      <c r="B3990" s="71" t="s">
        <v>3936</v>
      </c>
      <c r="C3990" s="42" t="s">
        <v>3937</v>
      </c>
      <c r="D3990" s="71" t="s">
        <v>5673</v>
      </c>
      <c r="E3990" s="72" t="s">
        <v>866</v>
      </c>
      <c r="F3990" s="72">
        <v>1475</v>
      </c>
      <c r="G3990" s="73" t="s">
        <v>64</v>
      </c>
      <c r="H3990" s="73">
        <v>9971</v>
      </c>
      <c r="I3990" s="72">
        <v>112.5</v>
      </c>
      <c r="J3990" s="72">
        <v>112.5</v>
      </c>
      <c r="K3990" s="72">
        <v>0</v>
      </c>
      <c r="L3990" s="97">
        <v>0</v>
      </c>
      <c r="M3990" s="73" t="s">
        <v>3925</v>
      </c>
      <c r="N3990" s="99">
        <f t="shared" si="92"/>
        <v>225</v>
      </c>
    </row>
    <row r="3991" spans="1:14">
      <c r="A3991" s="12">
        <v>3990</v>
      </c>
      <c r="B3991" s="71" t="s">
        <v>3936</v>
      </c>
      <c r="C3991" s="42" t="s">
        <v>3937</v>
      </c>
      <c r="D3991" s="71" t="s">
        <v>5674</v>
      </c>
      <c r="E3991" s="72" t="s">
        <v>866</v>
      </c>
      <c r="F3991" s="72">
        <v>88.02</v>
      </c>
      <c r="G3991" s="73" t="s">
        <v>64</v>
      </c>
      <c r="H3991" s="73">
        <v>9971</v>
      </c>
      <c r="I3991" s="72">
        <v>6.71</v>
      </c>
      <c r="J3991" s="72">
        <v>6.71</v>
      </c>
      <c r="K3991" s="72">
        <v>0</v>
      </c>
      <c r="L3991" s="97">
        <v>0</v>
      </c>
      <c r="M3991" s="73" t="s">
        <v>3925</v>
      </c>
      <c r="N3991" s="99">
        <f t="shared" si="92"/>
        <v>13.42</v>
      </c>
    </row>
    <row r="3992" spans="1:14">
      <c r="A3992" s="12">
        <v>3991</v>
      </c>
      <c r="B3992" s="71" t="s">
        <v>3936</v>
      </c>
      <c r="C3992" s="42" t="s">
        <v>3937</v>
      </c>
      <c r="D3992" s="71" t="s">
        <v>5675</v>
      </c>
      <c r="E3992" s="72" t="s">
        <v>866</v>
      </c>
      <c r="F3992" s="72">
        <v>1475</v>
      </c>
      <c r="G3992" s="73" t="s">
        <v>64</v>
      </c>
      <c r="H3992" s="73">
        <v>9971</v>
      </c>
      <c r="I3992" s="72">
        <v>112.5</v>
      </c>
      <c r="J3992" s="72">
        <v>112.5</v>
      </c>
      <c r="K3992" s="72">
        <v>0</v>
      </c>
      <c r="L3992" s="97">
        <v>0</v>
      </c>
      <c r="M3992" s="73" t="s">
        <v>3925</v>
      </c>
      <c r="N3992" s="99">
        <f t="shared" si="92"/>
        <v>225</v>
      </c>
    </row>
    <row r="3993" spans="1:14">
      <c r="A3993" s="12">
        <v>3992</v>
      </c>
      <c r="B3993" s="71" t="s">
        <v>3936</v>
      </c>
      <c r="C3993" s="42" t="s">
        <v>3937</v>
      </c>
      <c r="D3993" s="71" t="s">
        <v>5676</v>
      </c>
      <c r="E3993" s="72" t="s">
        <v>866</v>
      </c>
      <c r="F3993" s="72">
        <v>1475</v>
      </c>
      <c r="G3993" s="73" t="s">
        <v>64</v>
      </c>
      <c r="H3993" s="73">
        <v>9971</v>
      </c>
      <c r="I3993" s="72">
        <v>112.5</v>
      </c>
      <c r="J3993" s="72">
        <v>112.5</v>
      </c>
      <c r="K3993" s="72">
        <v>0</v>
      </c>
      <c r="L3993" s="97">
        <v>0</v>
      </c>
      <c r="M3993" s="73" t="s">
        <v>3925</v>
      </c>
      <c r="N3993" s="99">
        <f t="shared" si="92"/>
        <v>225</v>
      </c>
    </row>
    <row r="3994" spans="1:14">
      <c r="A3994" s="12">
        <v>3993</v>
      </c>
      <c r="B3994" s="71" t="s">
        <v>3936</v>
      </c>
      <c r="C3994" s="42" t="s">
        <v>3937</v>
      </c>
      <c r="D3994" s="71" t="s">
        <v>5677</v>
      </c>
      <c r="E3994" s="72" t="s">
        <v>866</v>
      </c>
      <c r="F3994" s="72">
        <v>1475</v>
      </c>
      <c r="G3994" s="73" t="s">
        <v>64</v>
      </c>
      <c r="H3994" s="73">
        <v>9971</v>
      </c>
      <c r="I3994" s="72">
        <v>112.5</v>
      </c>
      <c r="J3994" s="72">
        <v>112.5</v>
      </c>
      <c r="K3994" s="72">
        <v>0</v>
      </c>
      <c r="L3994" s="97">
        <v>0</v>
      </c>
      <c r="M3994" s="73" t="s">
        <v>3925</v>
      </c>
      <c r="N3994" s="99">
        <f t="shared" si="92"/>
        <v>225</v>
      </c>
    </row>
    <row r="3995" spans="1:14">
      <c r="A3995" s="12">
        <v>3994</v>
      </c>
      <c r="B3995" s="71" t="s">
        <v>3936</v>
      </c>
      <c r="C3995" s="42" t="s">
        <v>3937</v>
      </c>
      <c r="D3995" s="71" t="s">
        <v>5678</v>
      </c>
      <c r="E3995" s="72" t="s">
        <v>866</v>
      </c>
      <c r="F3995" s="72">
        <v>104.02</v>
      </c>
      <c r="G3995" s="73" t="s">
        <v>64</v>
      </c>
      <c r="H3995" s="73">
        <v>9971</v>
      </c>
      <c r="I3995" s="72">
        <v>7.93</v>
      </c>
      <c r="J3995" s="72">
        <v>7.93</v>
      </c>
      <c r="K3995" s="72">
        <v>0</v>
      </c>
      <c r="L3995" s="97">
        <v>0</v>
      </c>
      <c r="M3995" s="73" t="s">
        <v>3925</v>
      </c>
      <c r="N3995" s="99">
        <f t="shared" si="92"/>
        <v>15.86</v>
      </c>
    </row>
    <row r="3996" spans="1:14">
      <c r="A3996" s="12">
        <v>3995</v>
      </c>
      <c r="B3996" s="71" t="s">
        <v>3936</v>
      </c>
      <c r="C3996" s="42" t="s">
        <v>3937</v>
      </c>
      <c r="D3996" s="71" t="s">
        <v>5679</v>
      </c>
      <c r="E3996" s="72" t="s">
        <v>866</v>
      </c>
      <c r="F3996" s="72">
        <v>1475</v>
      </c>
      <c r="G3996" s="73" t="s">
        <v>64</v>
      </c>
      <c r="H3996" s="73">
        <v>9971</v>
      </c>
      <c r="I3996" s="72">
        <v>112.5</v>
      </c>
      <c r="J3996" s="72">
        <v>112.5</v>
      </c>
      <c r="K3996" s="72">
        <v>0</v>
      </c>
      <c r="L3996" s="97">
        <v>0</v>
      </c>
      <c r="M3996" s="73" t="s">
        <v>3925</v>
      </c>
      <c r="N3996" s="99">
        <f t="shared" si="92"/>
        <v>225</v>
      </c>
    </row>
    <row r="3997" spans="1:14">
      <c r="A3997" s="12">
        <v>3996</v>
      </c>
      <c r="B3997" s="71" t="s">
        <v>3936</v>
      </c>
      <c r="C3997" s="42" t="s">
        <v>3937</v>
      </c>
      <c r="D3997" s="71" t="s">
        <v>5680</v>
      </c>
      <c r="E3997" s="72" t="s">
        <v>866</v>
      </c>
      <c r="F3997" s="72">
        <v>1475</v>
      </c>
      <c r="G3997" s="73" t="s">
        <v>64</v>
      </c>
      <c r="H3997" s="73">
        <v>9971</v>
      </c>
      <c r="I3997" s="72">
        <v>112.5</v>
      </c>
      <c r="J3997" s="72">
        <v>112.5</v>
      </c>
      <c r="K3997" s="72">
        <v>0</v>
      </c>
      <c r="L3997" s="97">
        <v>0</v>
      </c>
      <c r="M3997" s="73" t="s">
        <v>3925</v>
      </c>
      <c r="N3997" s="99">
        <f t="shared" si="92"/>
        <v>225</v>
      </c>
    </row>
    <row r="3998" spans="1:14">
      <c r="A3998" s="12">
        <v>3997</v>
      </c>
      <c r="B3998" s="71" t="s">
        <v>3936</v>
      </c>
      <c r="C3998" s="42" t="s">
        <v>3937</v>
      </c>
      <c r="D3998" s="71" t="s">
        <v>5681</v>
      </c>
      <c r="E3998" s="72" t="s">
        <v>866</v>
      </c>
      <c r="F3998" s="72">
        <v>67.44</v>
      </c>
      <c r="G3998" s="73" t="s">
        <v>64</v>
      </c>
      <c r="H3998" s="73">
        <v>9971</v>
      </c>
      <c r="I3998" s="72">
        <v>5.14</v>
      </c>
      <c r="J3998" s="72">
        <v>5.14</v>
      </c>
      <c r="K3998" s="72">
        <v>0</v>
      </c>
      <c r="L3998" s="97">
        <v>0</v>
      </c>
      <c r="M3998" s="73" t="s">
        <v>3925</v>
      </c>
      <c r="N3998" s="99">
        <f t="shared" si="92"/>
        <v>10.28</v>
      </c>
    </row>
    <row r="3999" spans="1:14">
      <c r="A3999" s="12">
        <v>3998</v>
      </c>
      <c r="B3999" s="71" t="s">
        <v>3936</v>
      </c>
      <c r="C3999" s="42" t="s">
        <v>3937</v>
      </c>
      <c r="D3999" s="71" t="s">
        <v>5682</v>
      </c>
      <c r="E3999" s="72" t="s">
        <v>866</v>
      </c>
      <c r="F3999" s="72">
        <v>1475</v>
      </c>
      <c r="G3999" s="73" t="s">
        <v>64</v>
      </c>
      <c r="H3999" s="73">
        <v>9971</v>
      </c>
      <c r="I3999" s="72">
        <v>112.5</v>
      </c>
      <c r="J3999" s="72">
        <v>112.5</v>
      </c>
      <c r="K3999" s="72">
        <v>0</v>
      </c>
      <c r="L3999" s="97">
        <v>0</v>
      </c>
      <c r="M3999" s="73" t="s">
        <v>3925</v>
      </c>
      <c r="N3999" s="99">
        <f t="shared" si="92"/>
        <v>225</v>
      </c>
    </row>
    <row r="4000" spans="1:14">
      <c r="A4000" s="12">
        <v>3999</v>
      </c>
      <c r="B4000" s="71" t="s">
        <v>3936</v>
      </c>
      <c r="C4000" s="42" t="s">
        <v>3937</v>
      </c>
      <c r="D4000" s="71" t="s">
        <v>5683</v>
      </c>
      <c r="E4000" s="72" t="s">
        <v>866</v>
      </c>
      <c r="F4000" s="72">
        <v>1475</v>
      </c>
      <c r="G4000" s="73" t="s">
        <v>64</v>
      </c>
      <c r="H4000" s="73">
        <v>9971</v>
      </c>
      <c r="I4000" s="72">
        <v>112.5</v>
      </c>
      <c r="J4000" s="72">
        <v>112.5</v>
      </c>
      <c r="K4000" s="72">
        <v>0</v>
      </c>
      <c r="L4000" s="97">
        <v>0</v>
      </c>
      <c r="M4000" s="73" t="s">
        <v>3925</v>
      </c>
      <c r="N4000" s="99">
        <f t="shared" si="92"/>
        <v>225</v>
      </c>
    </row>
    <row r="4001" spans="1:14">
      <c r="A4001" s="12">
        <v>4000</v>
      </c>
      <c r="B4001" s="71" t="s">
        <v>3936</v>
      </c>
      <c r="C4001" s="42" t="s">
        <v>3937</v>
      </c>
      <c r="D4001" s="71" t="s">
        <v>5684</v>
      </c>
      <c r="E4001" s="72" t="s">
        <v>866</v>
      </c>
      <c r="F4001" s="72">
        <v>4.43</v>
      </c>
      <c r="G4001" s="73" t="s">
        <v>64</v>
      </c>
      <c r="H4001" s="73">
        <v>9971</v>
      </c>
      <c r="I4001" s="72">
        <v>0.34</v>
      </c>
      <c r="J4001" s="72">
        <v>0.34</v>
      </c>
      <c r="K4001" s="72">
        <v>0</v>
      </c>
      <c r="L4001" s="97">
        <v>0</v>
      </c>
      <c r="M4001" s="73" t="s">
        <v>3925</v>
      </c>
      <c r="N4001" s="99">
        <f t="shared" si="92"/>
        <v>0.68</v>
      </c>
    </row>
    <row r="4002" spans="1:14">
      <c r="A4002" s="12">
        <v>4001</v>
      </c>
      <c r="B4002" s="71" t="s">
        <v>3936</v>
      </c>
      <c r="C4002" s="42" t="s">
        <v>3937</v>
      </c>
      <c r="D4002" s="71" t="s">
        <v>5685</v>
      </c>
      <c r="E4002" s="72" t="s">
        <v>866</v>
      </c>
      <c r="F4002" s="72">
        <v>1475</v>
      </c>
      <c r="G4002" s="73" t="s">
        <v>64</v>
      </c>
      <c r="H4002" s="73">
        <v>9971</v>
      </c>
      <c r="I4002" s="72">
        <v>112.5</v>
      </c>
      <c r="J4002" s="72">
        <v>112.5</v>
      </c>
      <c r="K4002" s="72">
        <v>0</v>
      </c>
      <c r="L4002" s="97">
        <v>0</v>
      </c>
      <c r="M4002" s="73" t="s">
        <v>3925</v>
      </c>
      <c r="N4002" s="99">
        <f t="shared" si="92"/>
        <v>225</v>
      </c>
    </row>
    <row r="4003" spans="1:14">
      <c r="A4003" s="12">
        <v>4002</v>
      </c>
      <c r="B4003" s="71" t="s">
        <v>3936</v>
      </c>
      <c r="C4003" s="42" t="s">
        <v>3937</v>
      </c>
      <c r="D4003" s="71" t="s">
        <v>5686</v>
      </c>
      <c r="E4003" s="72" t="s">
        <v>866</v>
      </c>
      <c r="F4003" s="72">
        <v>1475</v>
      </c>
      <c r="G4003" s="73" t="s">
        <v>64</v>
      </c>
      <c r="H4003" s="73">
        <v>9971</v>
      </c>
      <c r="I4003" s="72">
        <v>112.5</v>
      </c>
      <c r="J4003" s="72">
        <v>112.5</v>
      </c>
      <c r="K4003" s="72">
        <v>0</v>
      </c>
      <c r="L4003" s="97">
        <v>0</v>
      </c>
      <c r="M4003" s="73" t="s">
        <v>3925</v>
      </c>
      <c r="N4003" s="99">
        <f t="shared" si="92"/>
        <v>225</v>
      </c>
    </row>
    <row r="4004" spans="1:14">
      <c r="A4004" s="12">
        <v>4003</v>
      </c>
      <c r="B4004" s="71" t="s">
        <v>3936</v>
      </c>
      <c r="C4004" s="42" t="s">
        <v>3937</v>
      </c>
      <c r="D4004" s="71" t="s">
        <v>5687</v>
      </c>
      <c r="E4004" s="72" t="s">
        <v>866</v>
      </c>
      <c r="F4004" s="72">
        <v>1475</v>
      </c>
      <c r="G4004" s="73" t="s">
        <v>64</v>
      </c>
      <c r="H4004" s="73">
        <v>9971</v>
      </c>
      <c r="I4004" s="72">
        <v>112.5</v>
      </c>
      <c r="J4004" s="72">
        <v>112.5</v>
      </c>
      <c r="K4004" s="72">
        <v>0</v>
      </c>
      <c r="L4004" s="97">
        <v>0</v>
      </c>
      <c r="M4004" s="73" t="s">
        <v>3925</v>
      </c>
      <c r="N4004" s="99">
        <f t="shared" si="92"/>
        <v>225</v>
      </c>
    </row>
    <row r="4005" spans="1:14">
      <c r="A4005" s="12">
        <v>4004</v>
      </c>
      <c r="B4005" s="71" t="s">
        <v>3936</v>
      </c>
      <c r="C4005" s="42" t="s">
        <v>3937</v>
      </c>
      <c r="D4005" s="71" t="s">
        <v>5688</v>
      </c>
      <c r="E4005" s="72" t="s">
        <v>866</v>
      </c>
      <c r="F4005" s="72">
        <v>79.17</v>
      </c>
      <c r="G4005" s="73" t="s">
        <v>64</v>
      </c>
      <c r="H4005" s="73">
        <v>9971</v>
      </c>
      <c r="I4005" s="72">
        <v>6.04</v>
      </c>
      <c r="J4005" s="72">
        <v>6.04</v>
      </c>
      <c r="K4005" s="72">
        <v>0</v>
      </c>
      <c r="L4005" s="97">
        <v>0</v>
      </c>
      <c r="M4005" s="73" t="s">
        <v>3925</v>
      </c>
      <c r="N4005" s="99">
        <f t="shared" si="92"/>
        <v>12.08</v>
      </c>
    </row>
    <row r="4006" spans="1:14">
      <c r="A4006" s="12">
        <v>4005</v>
      </c>
      <c r="B4006" s="71" t="s">
        <v>3936</v>
      </c>
      <c r="C4006" s="42" t="s">
        <v>3937</v>
      </c>
      <c r="D4006" s="71" t="s">
        <v>5689</v>
      </c>
      <c r="E4006" s="72" t="s">
        <v>866</v>
      </c>
      <c r="F4006" s="72">
        <v>66.58</v>
      </c>
      <c r="G4006" s="73" t="s">
        <v>64</v>
      </c>
      <c r="H4006" s="73">
        <v>9971</v>
      </c>
      <c r="I4006" s="72">
        <v>5.08</v>
      </c>
      <c r="J4006" s="72">
        <v>5.08</v>
      </c>
      <c r="K4006" s="72">
        <v>0</v>
      </c>
      <c r="L4006" s="97">
        <v>0</v>
      </c>
      <c r="M4006" s="73" t="s">
        <v>3925</v>
      </c>
      <c r="N4006" s="99">
        <f t="shared" si="92"/>
        <v>10.16</v>
      </c>
    </row>
    <row r="4007" spans="1:14">
      <c r="A4007" s="12">
        <v>4006</v>
      </c>
      <c r="B4007" s="71" t="s">
        <v>3936</v>
      </c>
      <c r="C4007" s="42" t="s">
        <v>3937</v>
      </c>
      <c r="D4007" s="71" t="s">
        <v>5690</v>
      </c>
      <c r="E4007" s="72" t="s">
        <v>866</v>
      </c>
      <c r="F4007" s="72">
        <v>1475</v>
      </c>
      <c r="G4007" s="73" t="s">
        <v>64</v>
      </c>
      <c r="H4007" s="73">
        <v>9971</v>
      </c>
      <c r="I4007" s="72">
        <v>112.5</v>
      </c>
      <c r="J4007" s="72">
        <v>112.5</v>
      </c>
      <c r="K4007" s="72">
        <v>0</v>
      </c>
      <c r="L4007" s="97">
        <v>0</v>
      </c>
      <c r="M4007" s="73" t="s">
        <v>3925</v>
      </c>
      <c r="N4007" s="99">
        <f t="shared" si="92"/>
        <v>225</v>
      </c>
    </row>
    <row r="4008" spans="1:14">
      <c r="A4008" s="12">
        <v>4007</v>
      </c>
      <c r="B4008" s="71" t="s">
        <v>3936</v>
      </c>
      <c r="C4008" s="42" t="s">
        <v>3937</v>
      </c>
      <c r="D4008" s="71" t="s">
        <v>5691</v>
      </c>
      <c r="E4008" s="72" t="s">
        <v>866</v>
      </c>
      <c r="F4008" s="72">
        <v>1475</v>
      </c>
      <c r="G4008" s="73" t="s">
        <v>64</v>
      </c>
      <c r="H4008" s="73">
        <v>9971</v>
      </c>
      <c r="I4008" s="72">
        <v>112.5</v>
      </c>
      <c r="J4008" s="72">
        <v>112.5</v>
      </c>
      <c r="K4008" s="72">
        <v>0</v>
      </c>
      <c r="L4008" s="97">
        <v>0</v>
      </c>
      <c r="M4008" s="73" t="s">
        <v>3925</v>
      </c>
      <c r="N4008" s="99">
        <f t="shared" si="92"/>
        <v>225</v>
      </c>
    </row>
    <row r="4009" spans="1:14">
      <c r="A4009" s="12">
        <v>4008</v>
      </c>
      <c r="B4009" s="71" t="s">
        <v>3936</v>
      </c>
      <c r="C4009" s="42" t="s">
        <v>3937</v>
      </c>
      <c r="D4009" s="71" t="s">
        <v>5692</v>
      </c>
      <c r="E4009" s="72" t="s">
        <v>866</v>
      </c>
      <c r="F4009" s="72">
        <v>46.3</v>
      </c>
      <c r="G4009" s="73" t="s">
        <v>64</v>
      </c>
      <c r="H4009" s="73">
        <v>9971</v>
      </c>
      <c r="I4009" s="72">
        <v>3.53</v>
      </c>
      <c r="J4009" s="72">
        <v>3.53</v>
      </c>
      <c r="K4009" s="72">
        <v>0</v>
      </c>
      <c r="L4009" s="97">
        <v>0</v>
      </c>
      <c r="M4009" s="73" t="s">
        <v>3925</v>
      </c>
      <c r="N4009" s="99">
        <f t="shared" si="92"/>
        <v>7.06</v>
      </c>
    </row>
    <row r="4010" spans="1:14">
      <c r="A4010" s="12">
        <v>4009</v>
      </c>
      <c r="B4010" s="71" t="s">
        <v>3936</v>
      </c>
      <c r="C4010" s="42" t="s">
        <v>3937</v>
      </c>
      <c r="D4010" s="71" t="s">
        <v>5693</v>
      </c>
      <c r="E4010" s="72" t="s">
        <v>866</v>
      </c>
      <c r="F4010" s="72">
        <v>8.64</v>
      </c>
      <c r="G4010" s="73" t="s">
        <v>64</v>
      </c>
      <c r="H4010" s="73">
        <v>9971</v>
      </c>
      <c r="I4010" s="72">
        <v>0.66</v>
      </c>
      <c r="J4010" s="72">
        <v>0.66</v>
      </c>
      <c r="K4010" s="72">
        <v>0</v>
      </c>
      <c r="L4010" s="97">
        <v>0</v>
      </c>
      <c r="M4010" s="73" t="s">
        <v>3925</v>
      </c>
      <c r="N4010" s="99">
        <f t="shared" si="92"/>
        <v>1.32</v>
      </c>
    </row>
    <row r="4011" spans="1:14">
      <c r="A4011" s="12">
        <v>4010</v>
      </c>
      <c r="B4011" s="71" t="s">
        <v>3936</v>
      </c>
      <c r="C4011" s="42" t="s">
        <v>3937</v>
      </c>
      <c r="D4011" s="71" t="s">
        <v>5694</v>
      </c>
      <c r="E4011" s="72" t="s">
        <v>866</v>
      </c>
      <c r="F4011" s="72">
        <v>1475</v>
      </c>
      <c r="G4011" s="73" t="s">
        <v>64</v>
      </c>
      <c r="H4011" s="73">
        <v>9971</v>
      </c>
      <c r="I4011" s="72">
        <v>112.5</v>
      </c>
      <c r="J4011" s="72">
        <v>112.5</v>
      </c>
      <c r="K4011" s="72">
        <v>0</v>
      </c>
      <c r="L4011" s="97">
        <v>0</v>
      </c>
      <c r="M4011" s="73" t="s">
        <v>3925</v>
      </c>
      <c r="N4011" s="99">
        <f t="shared" si="92"/>
        <v>225</v>
      </c>
    </row>
    <row r="4012" spans="1:14">
      <c r="A4012" s="12">
        <v>4011</v>
      </c>
      <c r="B4012" s="71" t="s">
        <v>3936</v>
      </c>
      <c r="C4012" s="42" t="s">
        <v>3937</v>
      </c>
      <c r="D4012" s="71" t="s">
        <v>5695</v>
      </c>
      <c r="E4012" s="72" t="s">
        <v>866</v>
      </c>
      <c r="F4012" s="72">
        <v>1475</v>
      </c>
      <c r="G4012" s="73" t="s">
        <v>64</v>
      </c>
      <c r="H4012" s="73">
        <v>9971</v>
      </c>
      <c r="I4012" s="72">
        <v>112.5</v>
      </c>
      <c r="J4012" s="72">
        <v>112.5</v>
      </c>
      <c r="K4012" s="72">
        <v>0</v>
      </c>
      <c r="L4012" s="97">
        <v>0</v>
      </c>
      <c r="M4012" s="73" t="s">
        <v>3925</v>
      </c>
      <c r="N4012" s="99">
        <f t="shared" ref="N4012:N4075" si="93">IF(M4012="YES", I4012+J4012+K4012, 0)</f>
        <v>225</v>
      </c>
    </row>
    <row r="4013" spans="1:14">
      <c r="A4013" s="12">
        <v>4012</v>
      </c>
      <c r="B4013" s="71" t="s">
        <v>3936</v>
      </c>
      <c r="C4013" s="42" t="s">
        <v>3937</v>
      </c>
      <c r="D4013" s="71" t="s">
        <v>5696</v>
      </c>
      <c r="E4013" s="72" t="s">
        <v>866</v>
      </c>
      <c r="F4013" s="72">
        <v>66.63</v>
      </c>
      <c r="G4013" s="73" t="s">
        <v>64</v>
      </c>
      <c r="H4013" s="73">
        <v>9971</v>
      </c>
      <c r="I4013" s="72">
        <v>5.08</v>
      </c>
      <c r="J4013" s="72">
        <v>5.08</v>
      </c>
      <c r="K4013" s="72">
        <v>0</v>
      </c>
      <c r="L4013" s="97">
        <v>0</v>
      </c>
      <c r="M4013" s="73" t="s">
        <v>3925</v>
      </c>
      <c r="N4013" s="99">
        <f t="shared" si="93"/>
        <v>10.16</v>
      </c>
    </row>
    <row r="4014" spans="1:14">
      <c r="A4014" s="12">
        <v>4013</v>
      </c>
      <c r="B4014" s="71" t="s">
        <v>3936</v>
      </c>
      <c r="C4014" s="42" t="s">
        <v>3937</v>
      </c>
      <c r="D4014" s="71" t="s">
        <v>5697</v>
      </c>
      <c r="E4014" s="72" t="s">
        <v>866</v>
      </c>
      <c r="F4014" s="72">
        <v>43.7</v>
      </c>
      <c r="G4014" s="73" t="s">
        <v>64</v>
      </c>
      <c r="H4014" s="73">
        <v>9971</v>
      </c>
      <c r="I4014" s="72">
        <v>3.33</v>
      </c>
      <c r="J4014" s="72">
        <v>3.33</v>
      </c>
      <c r="K4014" s="72">
        <v>0</v>
      </c>
      <c r="L4014" s="97">
        <v>0</v>
      </c>
      <c r="M4014" s="73" t="s">
        <v>3925</v>
      </c>
      <c r="N4014" s="99">
        <f t="shared" si="93"/>
        <v>6.66</v>
      </c>
    </row>
    <row r="4015" spans="1:14">
      <c r="A4015" s="12">
        <v>4014</v>
      </c>
      <c r="B4015" s="71" t="s">
        <v>3936</v>
      </c>
      <c r="C4015" s="42" t="s">
        <v>3937</v>
      </c>
      <c r="D4015" s="71" t="s">
        <v>5698</v>
      </c>
      <c r="E4015" s="72" t="s">
        <v>866</v>
      </c>
      <c r="F4015" s="72">
        <v>106.92</v>
      </c>
      <c r="G4015" s="73" t="s">
        <v>64</v>
      </c>
      <c r="H4015" s="73">
        <v>9971</v>
      </c>
      <c r="I4015" s="72">
        <v>8.15</v>
      </c>
      <c r="J4015" s="72">
        <v>8.15</v>
      </c>
      <c r="K4015" s="72">
        <v>0</v>
      </c>
      <c r="L4015" s="97">
        <v>0</v>
      </c>
      <c r="M4015" s="73" t="s">
        <v>3925</v>
      </c>
      <c r="N4015" s="99">
        <f t="shared" si="93"/>
        <v>16.3</v>
      </c>
    </row>
    <row r="4016" spans="1:14">
      <c r="A4016" s="12">
        <v>4015</v>
      </c>
      <c r="B4016" s="71" t="s">
        <v>3936</v>
      </c>
      <c r="C4016" s="42" t="s">
        <v>3937</v>
      </c>
      <c r="D4016" s="71" t="s">
        <v>5699</v>
      </c>
      <c r="E4016" s="72" t="s">
        <v>866</v>
      </c>
      <c r="F4016" s="72">
        <v>1475</v>
      </c>
      <c r="G4016" s="73" t="s">
        <v>64</v>
      </c>
      <c r="H4016" s="73">
        <v>9971</v>
      </c>
      <c r="I4016" s="72">
        <v>112.5</v>
      </c>
      <c r="J4016" s="72">
        <v>112.5</v>
      </c>
      <c r="K4016" s="72">
        <v>0</v>
      </c>
      <c r="L4016" s="97">
        <v>0</v>
      </c>
      <c r="M4016" s="73" t="s">
        <v>3925</v>
      </c>
      <c r="N4016" s="99">
        <f t="shared" si="93"/>
        <v>225</v>
      </c>
    </row>
    <row r="4017" spans="1:14">
      <c r="A4017" s="12">
        <v>4016</v>
      </c>
      <c r="B4017" s="71" t="s">
        <v>3936</v>
      </c>
      <c r="C4017" s="42" t="s">
        <v>3937</v>
      </c>
      <c r="D4017" s="71" t="s">
        <v>5700</v>
      </c>
      <c r="E4017" s="72" t="s">
        <v>866</v>
      </c>
      <c r="F4017" s="72">
        <v>109.74</v>
      </c>
      <c r="G4017" s="73" t="s">
        <v>64</v>
      </c>
      <c r="H4017" s="73">
        <v>9971</v>
      </c>
      <c r="I4017" s="72">
        <v>8.3699999999999992</v>
      </c>
      <c r="J4017" s="72">
        <v>8.3699999999999992</v>
      </c>
      <c r="K4017" s="72">
        <v>0</v>
      </c>
      <c r="L4017" s="97">
        <v>0</v>
      </c>
      <c r="M4017" s="73" t="s">
        <v>3925</v>
      </c>
      <c r="N4017" s="99">
        <f t="shared" si="93"/>
        <v>16.739999999999998</v>
      </c>
    </row>
    <row r="4018" spans="1:14">
      <c r="A4018" s="12">
        <v>4017</v>
      </c>
      <c r="B4018" s="71" t="s">
        <v>3936</v>
      </c>
      <c r="C4018" s="42" t="s">
        <v>3937</v>
      </c>
      <c r="D4018" s="71" t="s">
        <v>5701</v>
      </c>
      <c r="E4018" s="72" t="s">
        <v>866</v>
      </c>
      <c r="F4018" s="72">
        <v>97.82</v>
      </c>
      <c r="G4018" s="73" t="s">
        <v>64</v>
      </c>
      <c r="H4018" s="73">
        <v>9971</v>
      </c>
      <c r="I4018" s="72">
        <v>7.46</v>
      </c>
      <c r="J4018" s="72">
        <v>7.46</v>
      </c>
      <c r="K4018" s="72">
        <v>0</v>
      </c>
      <c r="L4018" s="97">
        <v>0</v>
      </c>
      <c r="M4018" s="73" t="s">
        <v>3925</v>
      </c>
      <c r="N4018" s="99">
        <f t="shared" si="93"/>
        <v>14.92</v>
      </c>
    </row>
    <row r="4019" spans="1:14">
      <c r="A4019" s="12">
        <v>4018</v>
      </c>
      <c r="B4019" s="71" t="s">
        <v>3936</v>
      </c>
      <c r="C4019" s="42" t="s">
        <v>3937</v>
      </c>
      <c r="D4019" s="71" t="s">
        <v>5702</v>
      </c>
      <c r="E4019" s="72" t="s">
        <v>866</v>
      </c>
      <c r="F4019" s="72">
        <v>1475</v>
      </c>
      <c r="G4019" s="73" t="s">
        <v>64</v>
      </c>
      <c r="H4019" s="73">
        <v>9971</v>
      </c>
      <c r="I4019" s="72">
        <v>112.5</v>
      </c>
      <c r="J4019" s="72">
        <v>112.5</v>
      </c>
      <c r="K4019" s="72">
        <v>0</v>
      </c>
      <c r="L4019" s="97">
        <v>0</v>
      </c>
      <c r="M4019" s="73" t="s">
        <v>3925</v>
      </c>
      <c r="N4019" s="99">
        <f t="shared" si="93"/>
        <v>225</v>
      </c>
    </row>
    <row r="4020" spans="1:14">
      <c r="A4020" s="12">
        <v>4019</v>
      </c>
      <c r="B4020" s="71" t="s">
        <v>3936</v>
      </c>
      <c r="C4020" s="42" t="s">
        <v>3937</v>
      </c>
      <c r="D4020" s="71" t="s">
        <v>5703</v>
      </c>
      <c r="E4020" s="72" t="s">
        <v>866</v>
      </c>
      <c r="F4020" s="72">
        <v>1475</v>
      </c>
      <c r="G4020" s="73" t="s">
        <v>64</v>
      </c>
      <c r="H4020" s="73">
        <v>9971</v>
      </c>
      <c r="I4020" s="72">
        <v>112.5</v>
      </c>
      <c r="J4020" s="72">
        <v>112.5</v>
      </c>
      <c r="K4020" s="72">
        <v>0</v>
      </c>
      <c r="L4020" s="97">
        <v>0</v>
      </c>
      <c r="M4020" s="73" t="s">
        <v>3925</v>
      </c>
      <c r="N4020" s="99">
        <f t="shared" si="93"/>
        <v>225</v>
      </c>
    </row>
    <row r="4021" spans="1:14">
      <c r="A4021" s="12">
        <v>4020</v>
      </c>
      <c r="B4021" s="71" t="s">
        <v>3936</v>
      </c>
      <c r="C4021" s="42" t="s">
        <v>3937</v>
      </c>
      <c r="D4021" s="71" t="s">
        <v>5704</v>
      </c>
      <c r="E4021" s="72" t="s">
        <v>866</v>
      </c>
      <c r="F4021" s="72">
        <v>110.06</v>
      </c>
      <c r="G4021" s="73" t="s">
        <v>64</v>
      </c>
      <c r="H4021" s="73">
        <v>9971</v>
      </c>
      <c r="I4021" s="72">
        <v>8.39</v>
      </c>
      <c r="J4021" s="72">
        <v>8.39</v>
      </c>
      <c r="K4021" s="72">
        <v>0</v>
      </c>
      <c r="L4021" s="97">
        <v>0</v>
      </c>
      <c r="M4021" s="73" t="s">
        <v>3925</v>
      </c>
      <c r="N4021" s="99">
        <f t="shared" si="93"/>
        <v>16.78</v>
      </c>
    </row>
    <row r="4022" spans="1:14">
      <c r="A4022" s="12">
        <v>4021</v>
      </c>
      <c r="B4022" s="71" t="s">
        <v>3936</v>
      </c>
      <c r="C4022" s="42" t="s">
        <v>3937</v>
      </c>
      <c r="D4022" s="71" t="s">
        <v>5705</v>
      </c>
      <c r="E4022" s="72" t="s">
        <v>866</v>
      </c>
      <c r="F4022" s="72">
        <v>1475</v>
      </c>
      <c r="G4022" s="73" t="s">
        <v>64</v>
      </c>
      <c r="H4022" s="73">
        <v>9971</v>
      </c>
      <c r="I4022" s="72">
        <v>112.5</v>
      </c>
      <c r="J4022" s="72">
        <v>112.5</v>
      </c>
      <c r="K4022" s="72">
        <v>0</v>
      </c>
      <c r="L4022" s="97">
        <v>0</v>
      </c>
      <c r="M4022" s="73" t="s">
        <v>3925</v>
      </c>
      <c r="N4022" s="99">
        <f t="shared" si="93"/>
        <v>225</v>
      </c>
    </row>
    <row r="4023" spans="1:14">
      <c r="A4023" s="12">
        <v>4022</v>
      </c>
      <c r="B4023" s="71" t="s">
        <v>3936</v>
      </c>
      <c r="C4023" s="42" t="s">
        <v>3937</v>
      </c>
      <c r="D4023" s="71" t="s">
        <v>5706</v>
      </c>
      <c r="E4023" s="72" t="s">
        <v>866</v>
      </c>
      <c r="F4023" s="72">
        <v>97.82</v>
      </c>
      <c r="G4023" s="73" t="s">
        <v>64</v>
      </c>
      <c r="H4023" s="73">
        <v>9971</v>
      </c>
      <c r="I4023" s="72">
        <v>7.46</v>
      </c>
      <c r="J4023" s="72">
        <v>7.46</v>
      </c>
      <c r="K4023" s="72">
        <v>0</v>
      </c>
      <c r="L4023" s="97">
        <v>0</v>
      </c>
      <c r="M4023" s="73" t="s">
        <v>3925</v>
      </c>
      <c r="N4023" s="99">
        <f t="shared" si="93"/>
        <v>14.92</v>
      </c>
    </row>
    <row r="4024" spans="1:14">
      <c r="A4024" s="12">
        <v>4023</v>
      </c>
      <c r="B4024" s="71" t="s">
        <v>3936</v>
      </c>
      <c r="C4024" s="42" t="s">
        <v>3937</v>
      </c>
      <c r="D4024" s="71" t="s">
        <v>5707</v>
      </c>
      <c r="E4024" s="72" t="s">
        <v>866</v>
      </c>
      <c r="F4024" s="72">
        <v>1.07</v>
      </c>
      <c r="G4024" s="73" t="s">
        <v>64</v>
      </c>
      <c r="H4024" s="73">
        <v>9971</v>
      </c>
      <c r="I4024" s="72">
        <v>0.08</v>
      </c>
      <c r="J4024" s="72">
        <v>0.08</v>
      </c>
      <c r="K4024" s="72">
        <v>0</v>
      </c>
      <c r="L4024" s="97">
        <v>0</v>
      </c>
      <c r="M4024" s="73" t="s">
        <v>3925</v>
      </c>
      <c r="N4024" s="99">
        <f t="shared" si="93"/>
        <v>0.16</v>
      </c>
    </row>
    <row r="4025" spans="1:14">
      <c r="A4025" s="12">
        <v>4024</v>
      </c>
      <c r="B4025" s="71" t="s">
        <v>3936</v>
      </c>
      <c r="C4025" s="42" t="s">
        <v>3937</v>
      </c>
      <c r="D4025" s="71" t="s">
        <v>5708</v>
      </c>
      <c r="E4025" s="72" t="s">
        <v>866</v>
      </c>
      <c r="F4025" s="72">
        <v>95.67</v>
      </c>
      <c r="G4025" s="73" t="s">
        <v>64</v>
      </c>
      <c r="H4025" s="73">
        <v>9971</v>
      </c>
      <c r="I4025" s="72">
        <v>7.3</v>
      </c>
      <c r="J4025" s="72">
        <v>7.3</v>
      </c>
      <c r="K4025" s="72">
        <v>0</v>
      </c>
      <c r="L4025" s="97">
        <v>0</v>
      </c>
      <c r="M4025" s="73" t="s">
        <v>3925</v>
      </c>
      <c r="N4025" s="99">
        <f t="shared" si="93"/>
        <v>14.6</v>
      </c>
    </row>
    <row r="4026" spans="1:14">
      <c r="A4026" s="12">
        <v>4025</v>
      </c>
      <c r="B4026" s="71" t="s">
        <v>3936</v>
      </c>
      <c r="C4026" s="42" t="s">
        <v>3937</v>
      </c>
      <c r="D4026" s="71" t="s">
        <v>5709</v>
      </c>
      <c r="E4026" s="72" t="s">
        <v>866</v>
      </c>
      <c r="F4026" s="72">
        <v>107.84</v>
      </c>
      <c r="G4026" s="73" t="s">
        <v>64</v>
      </c>
      <c r="H4026" s="73">
        <v>9971</v>
      </c>
      <c r="I4026" s="72">
        <v>8.23</v>
      </c>
      <c r="J4026" s="72">
        <v>8.23</v>
      </c>
      <c r="K4026" s="72">
        <v>0</v>
      </c>
      <c r="L4026" s="97">
        <v>0</v>
      </c>
      <c r="M4026" s="73" t="s">
        <v>3925</v>
      </c>
      <c r="N4026" s="99">
        <f t="shared" si="93"/>
        <v>16.46</v>
      </c>
    </row>
    <row r="4027" spans="1:14">
      <c r="A4027" s="12">
        <v>4026</v>
      </c>
      <c r="B4027" s="71" t="s">
        <v>3936</v>
      </c>
      <c r="C4027" s="42" t="s">
        <v>3937</v>
      </c>
      <c r="D4027" s="71" t="s">
        <v>5710</v>
      </c>
      <c r="E4027" s="72" t="s">
        <v>866</v>
      </c>
      <c r="F4027" s="72">
        <v>121.08</v>
      </c>
      <c r="G4027" s="73" t="s">
        <v>64</v>
      </c>
      <c r="H4027" s="73">
        <v>9971</v>
      </c>
      <c r="I4027" s="72">
        <v>9.23</v>
      </c>
      <c r="J4027" s="72">
        <v>9.23</v>
      </c>
      <c r="K4027" s="72">
        <v>0</v>
      </c>
      <c r="L4027" s="97">
        <v>0</v>
      </c>
      <c r="M4027" s="73" t="s">
        <v>3925</v>
      </c>
      <c r="N4027" s="99">
        <f t="shared" si="93"/>
        <v>18.46</v>
      </c>
    </row>
    <row r="4028" spans="1:14">
      <c r="A4028" s="12">
        <v>4027</v>
      </c>
      <c r="B4028" s="71" t="s">
        <v>3936</v>
      </c>
      <c r="C4028" s="42" t="s">
        <v>3937</v>
      </c>
      <c r="D4028" s="71" t="s">
        <v>5711</v>
      </c>
      <c r="E4028" s="72" t="s">
        <v>866</v>
      </c>
      <c r="F4028" s="72">
        <v>1475</v>
      </c>
      <c r="G4028" s="73" t="s">
        <v>64</v>
      </c>
      <c r="H4028" s="73">
        <v>9971</v>
      </c>
      <c r="I4028" s="72">
        <v>112.5</v>
      </c>
      <c r="J4028" s="72">
        <v>112.5</v>
      </c>
      <c r="K4028" s="72">
        <v>0</v>
      </c>
      <c r="L4028" s="97">
        <v>0</v>
      </c>
      <c r="M4028" s="73" t="s">
        <v>3925</v>
      </c>
      <c r="N4028" s="99">
        <f t="shared" si="93"/>
        <v>225</v>
      </c>
    </row>
    <row r="4029" spans="1:14">
      <c r="A4029" s="12">
        <v>4028</v>
      </c>
      <c r="B4029" s="71" t="s">
        <v>3936</v>
      </c>
      <c r="C4029" s="42" t="s">
        <v>3937</v>
      </c>
      <c r="D4029" s="71" t="s">
        <v>5712</v>
      </c>
      <c r="E4029" s="72" t="s">
        <v>866</v>
      </c>
      <c r="F4029" s="72">
        <v>85.58</v>
      </c>
      <c r="G4029" s="73" t="s">
        <v>64</v>
      </c>
      <c r="H4029" s="73">
        <v>9971</v>
      </c>
      <c r="I4029" s="72">
        <v>6.53</v>
      </c>
      <c r="J4029" s="72">
        <v>6.53</v>
      </c>
      <c r="K4029" s="72">
        <v>0</v>
      </c>
      <c r="L4029" s="97">
        <v>0</v>
      </c>
      <c r="M4029" s="73" t="s">
        <v>3925</v>
      </c>
      <c r="N4029" s="99">
        <f t="shared" si="93"/>
        <v>13.06</v>
      </c>
    </row>
    <row r="4030" spans="1:14">
      <c r="A4030" s="12">
        <v>4029</v>
      </c>
      <c r="B4030" s="71" t="s">
        <v>3936</v>
      </c>
      <c r="C4030" s="42" t="s">
        <v>3937</v>
      </c>
      <c r="D4030" s="71" t="s">
        <v>5713</v>
      </c>
      <c r="E4030" s="72" t="s">
        <v>866</v>
      </c>
      <c r="F4030" s="72">
        <v>9.59</v>
      </c>
      <c r="G4030" s="73" t="s">
        <v>64</v>
      </c>
      <c r="H4030" s="73">
        <v>9971</v>
      </c>
      <c r="I4030" s="72">
        <v>0.73</v>
      </c>
      <c r="J4030" s="72">
        <v>0.73</v>
      </c>
      <c r="K4030" s="72">
        <v>0</v>
      </c>
      <c r="L4030" s="97">
        <v>0</v>
      </c>
      <c r="M4030" s="73" t="s">
        <v>3925</v>
      </c>
      <c r="N4030" s="99">
        <f t="shared" si="93"/>
        <v>1.46</v>
      </c>
    </row>
    <row r="4031" spans="1:14">
      <c r="A4031" s="12">
        <v>4030</v>
      </c>
      <c r="B4031" s="71" t="s">
        <v>3936</v>
      </c>
      <c r="C4031" s="42" t="s">
        <v>3937</v>
      </c>
      <c r="D4031" s="71" t="s">
        <v>5714</v>
      </c>
      <c r="E4031" s="72" t="s">
        <v>866</v>
      </c>
      <c r="F4031" s="72">
        <v>10.050000000000001</v>
      </c>
      <c r="G4031" s="73" t="s">
        <v>64</v>
      </c>
      <c r="H4031" s="73">
        <v>9971</v>
      </c>
      <c r="I4031" s="72">
        <v>0.77</v>
      </c>
      <c r="J4031" s="72">
        <v>0.77</v>
      </c>
      <c r="K4031" s="72">
        <v>0</v>
      </c>
      <c r="L4031" s="97">
        <v>0</v>
      </c>
      <c r="M4031" s="73" t="s">
        <v>3925</v>
      </c>
      <c r="N4031" s="99">
        <f t="shared" si="93"/>
        <v>1.54</v>
      </c>
    </row>
    <row r="4032" spans="1:14">
      <c r="A4032" s="12">
        <v>4031</v>
      </c>
      <c r="B4032" s="71" t="s">
        <v>3936</v>
      </c>
      <c r="C4032" s="42" t="s">
        <v>3937</v>
      </c>
      <c r="D4032" s="71" t="s">
        <v>5715</v>
      </c>
      <c r="E4032" s="72" t="s">
        <v>866</v>
      </c>
      <c r="F4032" s="72">
        <v>1475</v>
      </c>
      <c r="G4032" s="73" t="s">
        <v>64</v>
      </c>
      <c r="H4032" s="73">
        <v>9971</v>
      </c>
      <c r="I4032" s="72">
        <v>112.5</v>
      </c>
      <c r="J4032" s="72">
        <v>112.5</v>
      </c>
      <c r="K4032" s="72">
        <v>0</v>
      </c>
      <c r="L4032" s="97">
        <v>0</v>
      </c>
      <c r="M4032" s="73" t="s">
        <v>3925</v>
      </c>
      <c r="N4032" s="99">
        <f t="shared" si="93"/>
        <v>225</v>
      </c>
    </row>
    <row r="4033" spans="1:14">
      <c r="A4033" s="12">
        <v>4032</v>
      </c>
      <c r="B4033" s="71" t="s">
        <v>3936</v>
      </c>
      <c r="C4033" s="42" t="s">
        <v>3937</v>
      </c>
      <c r="D4033" s="71" t="s">
        <v>5716</v>
      </c>
      <c r="E4033" s="72" t="s">
        <v>866</v>
      </c>
      <c r="F4033" s="72">
        <v>107.13</v>
      </c>
      <c r="G4033" s="73" t="s">
        <v>64</v>
      </c>
      <c r="H4033" s="73">
        <v>9971</v>
      </c>
      <c r="I4033" s="72">
        <v>8.17</v>
      </c>
      <c r="J4033" s="72">
        <v>8.17</v>
      </c>
      <c r="K4033" s="72">
        <v>0</v>
      </c>
      <c r="L4033" s="97">
        <v>0</v>
      </c>
      <c r="M4033" s="73" t="s">
        <v>3925</v>
      </c>
      <c r="N4033" s="99">
        <f t="shared" si="93"/>
        <v>16.34</v>
      </c>
    </row>
    <row r="4034" spans="1:14">
      <c r="A4034" s="12">
        <v>4033</v>
      </c>
      <c r="B4034" s="71" t="s">
        <v>3936</v>
      </c>
      <c r="C4034" s="42" t="s">
        <v>3937</v>
      </c>
      <c r="D4034" s="71" t="s">
        <v>5717</v>
      </c>
      <c r="E4034" s="72" t="s">
        <v>866</v>
      </c>
      <c r="F4034" s="72">
        <v>72.180000000000007</v>
      </c>
      <c r="G4034" s="73" t="s">
        <v>64</v>
      </c>
      <c r="H4034" s="73">
        <v>9971</v>
      </c>
      <c r="I4034" s="72">
        <v>5.51</v>
      </c>
      <c r="J4034" s="72">
        <v>5.51</v>
      </c>
      <c r="K4034" s="72">
        <v>0</v>
      </c>
      <c r="L4034" s="97">
        <v>0</v>
      </c>
      <c r="M4034" s="73" t="s">
        <v>3925</v>
      </c>
      <c r="N4034" s="99">
        <f t="shared" si="93"/>
        <v>11.02</v>
      </c>
    </row>
    <row r="4035" spans="1:14">
      <c r="A4035" s="12">
        <v>4034</v>
      </c>
      <c r="B4035" s="71" t="s">
        <v>3936</v>
      </c>
      <c r="C4035" s="42" t="s">
        <v>3937</v>
      </c>
      <c r="D4035" s="71" t="s">
        <v>5718</v>
      </c>
      <c r="E4035" s="72" t="s">
        <v>849</v>
      </c>
      <c r="F4035" s="72">
        <v>5.9</v>
      </c>
      <c r="G4035" s="73" t="s">
        <v>64</v>
      </c>
      <c r="H4035" s="73">
        <v>9971</v>
      </c>
      <c r="I4035" s="72">
        <v>0.45</v>
      </c>
      <c r="J4035" s="72">
        <v>0.45</v>
      </c>
      <c r="K4035" s="72">
        <v>0</v>
      </c>
      <c r="L4035" s="97">
        <v>0</v>
      </c>
      <c r="M4035" s="73" t="s">
        <v>3925</v>
      </c>
      <c r="N4035" s="99">
        <f t="shared" si="93"/>
        <v>0.9</v>
      </c>
    </row>
    <row r="4036" spans="1:14">
      <c r="A4036" s="12">
        <v>4035</v>
      </c>
      <c r="B4036" s="71" t="s">
        <v>3936</v>
      </c>
      <c r="C4036" s="42" t="s">
        <v>3937</v>
      </c>
      <c r="D4036" s="71" t="s">
        <v>5719</v>
      </c>
      <c r="E4036" s="72" t="s">
        <v>997</v>
      </c>
      <c r="F4036" s="72">
        <v>177</v>
      </c>
      <c r="G4036" s="73" t="s">
        <v>64</v>
      </c>
      <c r="H4036" s="73">
        <v>9971</v>
      </c>
      <c r="I4036" s="72">
        <v>13.5</v>
      </c>
      <c r="J4036" s="72">
        <v>13.5</v>
      </c>
      <c r="K4036" s="72">
        <v>0</v>
      </c>
      <c r="L4036" s="97">
        <v>0</v>
      </c>
      <c r="M4036" s="73" t="s">
        <v>3925</v>
      </c>
      <c r="N4036" s="99">
        <f t="shared" si="93"/>
        <v>27</v>
      </c>
    </row>
    <row r="4037" spans="1:14">
      <c r="A4037" s="12">
        <v>4036</v>
      </c>
      <c r="B4037" s="71" t="s">
        <v>3936</v>
      </c>
      <c r="C4037" s="42" t="s">
        <v>3937</v>
      </c>
      <c r="D4037" s="71" t="s">
        <v>5720</v>
      </c>
      <c r="E4037" s="72" t="s">
        <v>1301</v>
      </c>
      <c r="F4037" s="72">
        <v>5.9</v>
      </c>
      <c r="G4037" s="73" t="s">
        <v>64</v>
      </c>
      <c r="H4037" s="73">
        <v>9971</v>
      </c>
      <c r="I4037" s="72">
        <v>0.45</v>
      </c>
      <c r="J4037" s="72">
        <v>0.45</v>
      </c>
      <c r="K4037" s="72">
        <v>0</v>
      </c>
      <c r="L4037" s="97">
        <v>0</v>
      </c>
      <c r="M4037" s="73" t="s">
        <v>3925</v>
      </c>
      <c r="N4037" s="99">
        <f t="shared" si="93"/>
        <v>0.9</v>
      </c>
    </row>
    <row r="4038" spans="1:14">
      <c r="A4038" s="12">
        <v>4037</v>
      </c>
      <c r="B4038" s="71" t="s">
        <v>3936</v>
      </c>
      <c r="C4038" s="42" t="s">
        <v>3937</v>
      </c>
      <c r="D4038" s="71" t="s">
        <v>5721</v>
      </c>
      <c r="E4038" s="72" t="s">
        <v>835</v>
      </c>
      <c r="F4038" s="72">
        <v>5.9</v>
      </c>
      <c r="G4038" s="73" t="s">
        <v>64</v>
      </c>
      <c r="H4038" s="73">
        <v>9971</v>
      </c>
      <c r="I4038" s="72">
        <v>0.45</v>
      </c>
      <c r="J4038" s="72">
        <v>0.45</v>
      </c>
      <c r="K4038" s="72">
        <v>0</v>
      </c>
      <c r="L4038" s="97">
        <v>0</v>
      </c>
      <c r="M4038" s="73" t="s">
        <v>3925</v>
      </c>
      <c r="N4038" s="99">
        <f t="shared" si="93"/>
        <v>0.9</v>
      </c>
    </row>
    <row r="4039" spans="1:14">
      <c r="A4039" s="12">
        <v>4038</v>
      </c>
      <c r="B4039" s="71" t="s">
        <v>5088</v>
      </c>
      <c r="C4039" s="42" t="s">
        <v>5570</v>
      </c>
      <c r="D4039" s="71" t="s">
        <v>5722</v>
      </c>
      <c r="E4039" s="72" t="s">
        <v>1472</v>
      </c>
      <c r="F4039" s="72">
        <v>8655.7900000000009</v>
      </c>
      <c r="G4039" s="73" t="s">
        <v>64</v>
      </c>
      <c r="H4039" s="74">
        <v>997119</v>
      </c>
      <c r="I4039" s="72">
        <v>0</v>
      </c>
      <c r="J4039" s="72">
        <v>0</v>
      </c>
      <c r="K4039" s="72">
        <v>1320.37</v>
      </c>
      <c r="L4039" s="97">
        <v>0</v>
      </c>
      <c r="M4039" s="73" t="s">
        <v>3925</v>
      </c>
      <c r="N4039" s="99">
        <f t="shared" si="93"/>
        <v>1320.37</v>
      </c>
    </row>
    <row r="4040" spans="1:14">
      <c r="A4040" s="12">
        <v>4039</v>
      </c>
      <c r="B4040" s="71" t="s">
        <v>5723</v>
      </c>
      <c r="C4040" s="42" t="s">
        <v>5724</v>
      </c>
      <c r="D4040" s="71" t="s">
        <v>5725</v>
      </c>
      <c r="E4040" s="72" t="s">
        <v>835</v>
      </c>
      <c r="F4040" s="72">
        <v>4099</v>
      </c>
      <c r="G4040" s="73" t="s">
        <v>64</v>
      </c>
      <c r="H4040" s="101" t="s">
        <v>5093</v>
      </c>
      <c r="I4040" s="72">
        <v>0</v>
      </c>
      <c r="J4040" s="72">
        <v>0</v>
      </c>
      <c r="K4040" s="72">
        <v>439.18</v>
      </c>
      <c r="L4040" s="97">
        <v>0</v>
      </c>
      <c r="M4040" s="73" t="s">
        <v>3925</v>
      </c>
      <c r="N4040" s="99">
        <f t="shared" si="93"/>
        <v>439.18</v>
      </c>
    </row>
    <row r="4041" spans="1:14">
      <c r="A4041" s="12">
        <v>4040</v>
      </c>
      <c r="B4041" s="71" t="s">
        <v>3936</v>
      </c>
      <c r="C4041" s="42" t="s">
        <v>3937</v>
      </c>
      <c r="D4041" s="71" t="s">
        <v>5726</v>
      </c>
      <c r="E4041" s="72" t="s">
        <v>1492</v>
      </c>
      <c r="F4041" s="72">
        <v>5.9</v>
      </c>
      <c r="G4041" s="73" t="s">
        <v>64</v>
      </c>
      <c r="H4041" s="73">
        <v>9971</v>
      </c>
      <c r="I4041" s="72">
        <v>0.45</v>
      </c>
      <c r="J4041" s="72">
        <v>0.45</v>
      </c>
      <c r="K4041" s="72">
        <v>0</v>
      </c>
      <c r="L4041" s="97">
        <v>0</v>
      </c>
      <c r="M4041" s="73" t="s">
        <v>3925</v>
      </c>
      <c r="N4041" s="99">
        <f t="shared" si="93"/>
        <v>0.9</v>
      </c>
    </row>
    <row r="4042" spans="1:14">
      <c r="A4042" s="12">
        <v>4041</v>
      </c>
      <c r="B4042" s="71" t="s">
        <v>3936</v>
      </c>
      <c r="C4042" s="42" t="s">
        <v>3937</v>
      </c>
      <c r="D4042" s="71" t="s">
        <v>5727</v>
      </c>
      <c r="E4042" s="72" t="s">
        <v>822</v>
      </c>
      <c r="F4042" s="72">
        <v>5.9</v>
      </c>
      <c r="G4042" s="73" t="s">
        <v>64</v>
      </c>
      <c r="H4042" s="73">
        <v>9971</v>
      </c>
      <c r="I4042" s="72">
        <v>0.45</v>
      </c>
      <c r="J4042" s="72">
        <v>0.45</v>
      </c>
      <c r="K4042" s="72">
        <v>0</v>
      </c>
      <c r="L4042" s="97">
        <v>0</v>
      </c>
      <c r="M4042" s="73" t="s">
        <v>3925</v>
      </c>
      <c r="N4042" s="99">
        <f t="shared" si="93"/>
        <v>0.9</v>
      </c>
    </row>
    <row r="4043" spans="1:14">
      <c r="A4043" s="12">
        <v>4042</v>
      </c>
      <c r="B4043" s="71" t="s">
        <v>3936</v>
      </c>
      <c r="C4043" s="42" t="s">
        <v>3937</v>
      </c>
      <c r="D4043" s="71" t="s">
        <v>5728</v>
      </c>
      <c r="E4043" s="72" t="s">
        <v>5651</v>
      </c>
      <c r="F4043" s="72">
        <v>224.2</v>
      </c>
      <c r="G4043" s="73" t="s">
        <v>64</v>
      </c>
      <c r="H4043" s="73">
        <v>9971</v>
      </c>
      <c r="I4043" s="72">
        <v>17.100000000000001</v>
      </c>
      <c r="J4043" s="72">
        <v>17.100000000000001</v>
      </c>
      <c r="K4043" s="72">
        <v>0</v>
      </c>
      <c r="L4043" s="97">
        <v>0</v>
      </c>
      <c r="M4043" s="73" t="s">
        <v>3925</v>
      </c>
      <c r="N4043" s="99">
        <f t="shared" si="93"/>
        <v>34.200000000000003</v>
      </c>
    </row>
    <row r="4044" spans="1:14">
      <c r="A4044" s="12">
        <v>4043</v>
      </c>
      <c r="B4044" s="71" t="s">
        <v>3936</v>
      </c>
      <c r="C4044" s="42" t="s">
        <v>3937</v>
      </c>
      <c r="D4044" s="71" t="s">
        <v>5729</v>
      </c>
      <c r="E4044" s="72" t="s">
        <v>5651</v>
      </c>
      <c r="F4044" s="72">
        <v>5.9</v>
      </c>
      <c r="G4044" s="73" t="s">
        <v>64</v>
      </c>
      <c r="H4044" s="73">
        <v>9971</v>
      </c>
      <c r="I4044" s="72">
        <v>0.45</v>
      </c>
      <c r="J4044" s="72">
        <v>0.45</v>
      </c>
      <c r="K4044" s="72">
        <v>0</v>
      </c>
      <c r="L4044" s="97">
        <v>0</v>
      </c>
      <c r="M4044" s="73" t="s">
        <v>3925</v>
      </c>
      <c r="N4044" s="99">
        <f t="shared" si="93"/>
        <v>0.9</v>
      </c>
    </row>
    <row r="4045" spans="1:14">
      <c r="A4045" s="12">
        <v>4044</v>
      </c>
      <c r="B4045" s="71" t="s">
        <v>3936</v>
      </c>
      <c r="C4045" s="42" t="s">
        <v>3937</v>
      </c>
      <c r="D4045" s="71" t="s">
        <v>5730</v>
      </c>
      <c r="E4045" s="72" t="s">
        <v>5731</v>
      </c>
      <c r="F4045" s="72">
        <v>5.9</v>
      </c>
      <c r="G4045" s="73" t="s">
        <v>64</v>
      </c>
      <c r="H4045" s="73">
        <v>9971</v>
      </c>
      <c r="I4045" s="72">
        <v>0.45</v>
      </c>
      <c r="J4045" s="72">
        <v>0.45</v>
      </c>
      <c r="K4045" s="72">
        <v>0</v>
      </c>
      <c r="L4045" s="97">
        <v>0</v>
      </c>
      <c r="M4045" s="73" t="s">
        <v>3925</v>
      </c>
      <c r="N4045" s="99">
        <f t="shared" si="93"/>
        <v>0.9</v>
      </c>
    </row>
    <row r="4046" spans="1:14">
      <c r="A4046" s="12">
        <v>4045</v>
      </c>
      <c r="B4046" s="71" t="s">
        <v>5094</v>
      </c>
      <c r="C4046" s="42" t="s">
        <v>5095</v>
      </c>
      <c r="D4046" s="71" t="s">
        <v>5732</v>
      </c>
      <c r="E4046" s="72" t="s">
        <v>1100</v>
      </c>
      <c r="F4046" s="72">
        <v>14560</v>
      </c>
      <c r="G4046" s="73" t="s">
        <v>182</v>
      </c>
      <c r="H4046" s="73">
        <v>9403</v>
      </c>
      <c r="I4046" s="72">
        <v>0</v>
      </c>
      <c r="J4046" s="72">
        <v>0</v>
      </c>
      <c r="K4046" s="72">
        <v>1560</v>
      </c>
      <c r="L4046" s="97">
        <v>0</v>
      </c>
      <c r="M4046" s="73" t="s">
        <v>3925</v>
      </c>
      <c r="N4046" s="99">
        <f t="shared" si="93"/>
        <v>1560</v>
      </c>
    </row>
    <row r="4047" spans="1:14">
      <c r="A4047" s="12">
        <v>4046</v>
      </c>
      <c r="B4047" s="71" t="s">
        <v>5094</v>
      </c>
      <c r="C4047" s="42" t="s">
        <v>5095</v>
      </c>
      <c r="D4047" s="71" t="s">
        <v>5733</v>
      </c>
      <c r="E4047" s="72" t="s">
        <v>820</v>
      </c>
      <c r="F4047" s="72">
        <v>23520</v>
      </c>
      <c r="G4047" s="73" t="s">
        <v>182</v>
      </c>
      <c r="H4047" s="73">
        <v>9403</v>
      </c>
      <c r="I4047" s="72">
        <v>0</v>
      </c>
      <c r="J4047" s="72">
        <v>0</v>
      </c>
      <c r="K4047" s="72">
        <v>2520</v>
      </c>
      <c r="L4047" s="97">
        <v>0</v>
      </c>
      <c r="M4047" s="73" t="s">
        <v>3925</v>
      </c>
      <c r="N4047" s="99">
        <f t="shared" si="93"/>
        <v>2520</v>
      </c>
    </row>
    <row r="4048" spans="1:14">
      <c r="A4048" s="12">
        <v>4047</v>
      </c>
      <c r="B4048" s="71" t="s">
        <v>5094</v>
      </c>
      <c r="C4048" s="42" t="s">
        <v>5095</v>
      </c>
      <c r="D4048" s="71" t="s">
        <v>5734</v>
      </c>
      <c r="E4048" s="72" t="s">
        <v>1181</v>
      </c>
      <c r="F4048" s="72">
        <v>16800</v>
      </c>
      <c r="G4048" s="73" t="s">
        <v>182</v>
      </c>
      <c r="H4048" s="73">
        <v>9403</v>
      </c>
      <c r="I4048" s="72">
        <v>0</v>
      </c>
      <c r="J4048" s="72">
        <v>0</v>
      </c>
      <c r="K4048" s="72">
        <v>1800</v>
      </c>
      <c r="L4048" s="97">
        <v>0</v>
      </c>
      <c r="M4048" s="73" t="s">
        <v>3925</v>
      </c>
      <c r="N4048" s="99">
        <f t="shared" si="93"/>
        <v>1800</v>
      </c>
    </row>
    <row r="4049" spans="1:14">
      <c r="A4049" s="12">
        <v>4048</v>
      </c>
      <c r="B4049" s="71" t="s">
        <v>5094</v>
      </c>
      <c r="C4049" s="42" t="s">
        <v>5095</v>
      </c>
      <c r="D4049" s="71" t="s">
        <v>5735</v>
      </c>
      <c r="E4049" s="72" t="s">
        <v>1333</v>
      </c>
      <c r="F4049" s="72">
        <v>37760</v>
      </c>
      <c r="G4049" s="73" t="s">
        <v>182</v>
      </c>
      <c r="H4049" s="73">
        <v>9403</v>
      </c>
      <c r="I4049" s="72">
        <v>0</v>
      </c>
      <c r="J4049" s="72">
        <v>0</v>
      </c>
      <c r="K4049" s="72">
        <v>5760</v>
      </c>
      <c r="L4049" s="97">
        <v>0</v>
      </c>
      <c r="M4049" s="73" t="s">
        <v>3925</v>
      </c>
      <c r="N4049" s="99">
        <f t="shared" si="93"/>
        <v>5760</v>
      </c>
    </row>
    <row r="4050" spans="1:14">
      <c r="A4050" s="12">
        <v>4049</v>
      </c>
      <c r="B4050" s="71" t="s">
        <v>5094</v>
      </c>
      <c r="C4050" s="42" t="s">
        <v>5095</v>
      </c>
      <c r="D4050" s="71" t="s">
        <v>5736</v>
      </c>
      <c r="E4050" s="72" t="s">
        <v>1014</v>
      </c>
      <c r="F4050" s="72">
        <v>33040</v>
      </c>
      <c r="G4050" s="73" t="s">
        <v>182</v>
      </c>
      <c r="H4050" s="73">
        <v>9403</v>
      </c>
      <c r="I4050" s="72">
        <v>0</v>
      </c>
      <c r="J4050" s="72">
        <v>0</v>
      </c>
      <c r="K4050" s="72">
        <v>3540</v>
      </c>
      <c r="L4050" s="97">
        <v>0</v>
      </c>
      <c r="M4050" s="73" t="s">
        <v>3925</v>
      </c>
      <c r="N4050" s="99">
        <f t="shared" si="93"/>
        <v>3540</v>
      </c>
    </row>
    <row r="4051" spans="1:14">
      <c r="A4051" s="12">
        <v>4050</v>
      </c>
      <c r="B4051" s="71" t="s">
        <v>5094</v>
      </c>
      <c r="C4051" s="42" t="s">
        <v>5095</v>
      </c>
      <c r="D4051" s="71" t="s">
        <v>5737</v>
      </c>
      <c r="E4051" s="72" t="s">
        <v>827</v>
      </c>
      <c r="F4051" s="72">
        <v>29680</v>
      </c>
      <c r="G4051" s="73" t="s">
        <v>182</v>
      </c>
      <c r="H4051" s="73">
        <v>9403</v>
      </c>
      <c r="I4051" s="72">
        <v>0</v>
      </c>
      <c r="J4051" s="72">
        <v>0</v>
      </c>
      <c r="K4051" s="72">
        <v>3180</v>
      </c>
      <c r="L4051" s="97">
        <v>0</v>
      </c>
      <c r="M4051" s="73" t="s">
        <v>3925</v>
      </c>
      <c r="N4051" s="99">
        <f t="shared" si="93"/>
        <v>3180</v>
      </c>
    </row>
    <row r="4052" spans="1:14">
      <c r="A4052" s="12">
        <v>4051</v>
      </c>
      <c r="B4052" s="71" t="s">
        <v>5094</v>
      </c>
      <c r="C4052" s="42" t="s">
        <v>5095</v>
      </c>
      <c r="D4052" s="71" t="s">
        <v>5738</v>
      </c>
      <c r="E4052" s="72" t="s">
        <v>1306</v>
      </c>
      <c r="F4052" s="72">
        <v>29680</v>
      </c>
      <c r="G4052" s="73" t="s">
        <v>182</v>
      </c>
      <c r="H4052" s="73">
        <v>9403</v>
      </c>
      <c r="I4052" s="72">
        <v>0</v>
      </c>
      <c r="J4052" s="72">
        <v>0</v>
      </c>
      <c r="K4052" s="72">
        <v>3180</v>
      </c>
      <c r="L4052" s="97">
        <v>0</v>
      </c>
      <c r="M4052" s="73" t="s">
        <v>3925</v>
      </c>
      <c r="N4052" s="99">
        <f t="shared" si="93"/>
        <v>3180</v>
      </c>
    </row>
    <row r="4053" spans="1:14">
      <c r="A4053" s="12">
        <v>4052</v>
      </c>
      <c r="B4053" s="71" t="s">
        <v>5094</v>
      </c>
      <c r="C4053" s="42" t="s">
        <v>5095</v>
      </c>
      <c r="D4053" s="71" t="s">
        <v>5739</v>
      </c>
      <c r="E4053" s="72" t="s">
        <v>970</v>
      </c>
      <c r="F4053" s="72">
        <v>38350</v>
      </c>
      <c r="G4053" s="73" t="s">
        <v>182</v>
      </c>
      <c r="H4053" s="73">
        <v>9403</v>
      </c>
      <c r="I4053" s="72">
        <v>0</v>
      </c>
      <c r="J4053" s="72">
        <v>0</v>
      </c>
      <c r="K4053" s="72">
        <v>5850</v>
      </c>
      <c r="L4053" s="97">
        <v>0</v>
      </c>
      <c r="M4053" s="73" t="s">
        <v>3925</v>
      </c>
      <c r="N4053" s="99">
        <f t="shared" si="93"/>
        <v>5850</v>
      </c>
    </row>
    <row r="4054" spans="1:14">
      <c r="A4054" s="12">
        <v>4053</v>
      </c>
      <c r="B4054" s="71" t="s">
        <v>557</v>
      </c>
      <c r="C4054" s="42" t="s">
        <v>558</v>
      </c>
      <c r="D4054" s="71" t="s">
        <v>5740</v>
      </c>
      <c r="E4054" s="72" t="s">
        <v>846</v>
      </c>
      <c r="F4054" s="72">
        <v>87.69</v>
      </c>
      <c r="G4054" s="73" t="s">
        <v>64</v>
      </c>
      <c r="H4054" s="89" t="s">
        <v>847</v>
      </c>
      <c r="I4054" s="72">
        <v>0</v>
      </c>
      <c r="J4054" s="72">
        <v>0</v>
      </c>
      <c r="K4054" s="72">
        <v>13.38</v>
      </c>
      <c r="L4054" s="97">
        <v>0</v>
      </c>
      <c r="M4054" s="73" t="s">
        <v>3925</v>
      </c>
      <c r="N4054" s="99">
        <f t="shared" si="93"/>
        <v>13.38</v>
      </c>
    </row>
    <row r="4055" spans="1:14">
      <c r="A4055" s="12">
        <v>4054</v>
      </c>
      <c r="B4055" s="71" t="s">
        <v>557</v>
      </c>
      <c r="C4055" s="42" t="s">
        <v>558</v>
      </c>
      <c r="D4055" s="71" t="s">
        <v>5741</v>
      </c>
      <c r="E4055" s="72" t="s">
        <v>831</v>
      </c>
      <c r="F4055" s="72">
        <v>188.53</v>
      </c>
      <c r="G4055" s="73" t="s">
        <v>64</v>
      </c>
      <c r="H4055" s="89" t="s">
        <v>847</v>
      </c>
      <c r="I4055" s="72">
        <v>0</v>
      </c>
      <c r="J4055" s="72">
        <v>0</v>
      </c>
      <c r="K4055" s="72">
        <v>28.76</v>
      </c>
      <c r="L4055" s="97">
        <v>0</v>
      </c>
      <c r="M4055" s="73" t="s">
        <v>3925</v>
      </c>
      <c r="N4055" s="99">
        <f t="shared" si="93"/>
        <v>28.76</v>
      </c>
    </row>
    <row r="4056" spans="1:14">
      <c r="A4056" s="12">
        <v>4055</v>
      </c>
      <c r="B4056" s="71" t="s">
        <v>557</v>
      </c>
      <c r="C4056" s="42" t="s">
        <v>558</v>
      </c>
      <c r="D4056" s="71" t="s">
        <v>5742</v>
      </c>
      <c r="E4056" s="72" t="s">
        <v>135</v>
      </c>
      <c r="F4056" s="72">
        <v>122.78</v>
      </c>
      <c r="G4056" s="73" t="s">
        <v>64</v>
      </c>
      <c r="H4056" s="89" t="s">
        <v>847</v>
      </c>
      <c r="I4056" s="72">
        <v>0</v>
      </c>
      <c r="J4056" s="72">
        <v>0</v>
      </c>
      <c r="K4056" s="72">
        <v>18.73</v>
      </c>
      <c r="L4056" s="97">
        <v>0</v>
      </c>
      <c r="M4056" s="73" t="s">
        <v>3925</v>
      </c>
      <c r="N4056" s="99">
        <f t="shared" si="93"/>
        <v>18.73</v>
      </c>
    </row>
    <row r="4057" spans="1:14">
      <c r="A4057" s="12">
        <v>4056</v>
      </c>
      <c r="B4057" s="71" t="s">
        <v>557</v>
      </c>
      <c r="C4057" s="42" t="s">
        <v>558</v>
      </c>
      <c r="D4057" s="71" t="s">
        <v>5743</v>
      </c>
      <c r="E4057" s="72" t="s">
        <v>147</v>
      </c>
      <c r="F4057" s="72">
        <v>1968.31</v>
      </c>
      <c r="G4057" s="73" t="s">
        <v>64</v>
      </c>
      <c r="H4057" s="89" t="s">
        <v>847</v>
      </c>
      <c r="I4057" s="72">
        <v>0</v>
      </c>
      <c r="J4057" s="72">
        <v>0</v>
      </c>
      <c r="K4057" s="72">
        <v>300.25</v>
      </c>
      <c r="L4057" s="97">
        <v>0</v>
      </c>
      <c r="M4057" s="73" t="s">
        <v>3925</v>
      </c>
      <c r="N4057" s="99">
        <f t="shared" si="93"/>
        <v>300.25</v>
      </c>
    </row>
    <row r="4058" spans="1:14">
      <c r="A4058" s="12">
        <v>4057</v>
      </c>
      <c r="B4058" s="71" t="s">
        <v>557</v>
      </c>
      <c r="C4058" s="42" t="s">
        <v>558</v>
      </c>
      <c r="D4058" s="71" t="s">
        <v>5744</v>
      </c>
      <c r="E4058" s="72" t="s">
        <v>846</v>
      </c>
      <c r="F4058" s="72">
        <v>1655.96</v>
      </c>
      <c r="G4058" s="73" t="s">
        <v>64</v>
      </c>
      <c r="H4058" s="89" t="s">
        <v>847</v>
      </c>
      <c r="I4058" s="72">
        <v>0</v>
      </c>
      <c r="J4058" s="72">
        <v>0</v>
      </c>
      <c r="K4058" s="72">
        <v>252.6</v>
      </c>
      <c r="L4058" s="97">
        <v>0</v>
      </c>
      <c r="M4058" s="73" t="s">
        <v>3925</v>
      </c>
      <c r="N4058" s="99">
        <f t="shared" si="93"/>
        <v>252.6</v>
      </c>
    </row>
    <row r="4059" spans="1:14">
      <c r="A4059" s="12">
        <v>4058</v>
      </c>
      <c r="B4059" s="71" t="s">
        <v>557</v>
      </c>
      <c r="C4059" s="42" t="s">
        <v>558</v>
      </c>
      <c r="D4059" s="71" t="s">
        <v>5745</v>
      </c>
      <c r="E4059" s="72" t="s">
        <v>831</v>
      </c>
      <c r="F4059" s="72">
        <v>1168.18</v>
      </c>
      <c r="G4059" s="73" t="s">
        <v>64</v>
      </c>
      <c r="H4059" s="89" t="s">
        <v>847</v>
      </c>
      <c r="I4059" s="72">
        <v>0</v>
      </c>
      <c r="J4059" s="72">
        <v>0</v>
      </c>
      <c r="K4059" s="72">
        <v>178.2</v>
      </c>
      <c r="L4059" s="97">
        <v>0</v>
      </c>
      <c r="M4059" s="73" t="s">
        <v>3925</v>
      </c>
      <c r="N4059" s="99">
        <f t="shared" si="93"/>
        <v>178.2</v>
      </c>
    </row>
    <row r="4060" spans="1:14">
      <c r="A4060" s="12">
        <v>4059</v>
      </c>
      <c r="B4060" s="71" t="s">
        <v>557</v>
      </c>
      <c r="C4060" s="42" t="s">
        <v>558</v>
      </c>
      <c r="D4060" s="71" t="s">
        <v>5746</v>
      </c>
      <c r="E4060" s="72" t="s">
        <v>135</v>
      </c>
      <c r="F4060" s="72">
        <v>175.9</v>
      </c>
      <c r="G4060" s="73" t="s">
        <v>64</v>
      </c>
      <c r="H4060" s="89" t="s">
        <v>847</v>
      </c>
      <c r="I4060" s="72">
        <v>0</v>
      </c>
      <c r="J4060" s="72">
        <v>0</v>
      </c>
      <c r="K4060" s="72">
        <v>31.66</v>
      </c>
      <c r="L4060" s="97">
        <v>0</v>
      </c>
      <c r="M4060" s="73" t="s">
        <v>3925</v>
      </c>
      <c r="N4060" s="99">
        <f t="shared" si="93"/>
        <v>31.66</v>
      </c>
    </row>
    <row r="4061" spans="1:14">
      <c r="A4061" s="12">
        <v>4060</v>
      </c>
      <c r="B4061" s="71" t="s">
        <v>557</v>
      </c>
      <c r="C4061" s="42" t="s">
        <v>558</v>
      </c>
      <c r="D4061" s="71" t="s">
        <v>5747</v>
      </c>
      <c r="E4061" s="72" t="s">
        <v>5748</v>
      </c>
      <c r="F4061" s="72">
        <v>1270.32</v>
      </c>
      <c r="G4061" s="73" t="s">
        <v>64</v>
      </c>
      <c r="H4061" s="89" t="s">
        <v>847</v>
      </c>
      <c r="I4061" s="72">
        <v>0</v>
      </c>
      <c r="J4061" s="72">
        <v>0</v>
      </c>
      <c r="K4061" s="72">
        <v>193.78</v>
      </c>
      <c r="L4061" s="97">
        <v>0</v>
      </c>
      <c r="M4061" s="73" t="s">
        <v>3925</v>
      </c>
      <c r="N4061" s="99">
        <f t="shared" si="93"/>
        <v>193.78</v>
      </c>
    </row>
    <row r="4062" spans="1:14">
      <c r="A4062" s="12">
        <v>4061</v>
      </c>
      <c r="B4062" s="71" t="s">
        <v>557</v>
      </c>
      <c r="C4062" s="42" t="s">
        <v>558</v>
      </c>
      <c r="D4062" s="71" t="s">
        <v>5749</v>
      </c>
      <c r="E4062" s="72" t="s">
        <v>931</v>
      </c>
      <c r="F4062" s="72">
        <v>1435.27</v>
      </c>
      <c r="G4062" s="73" t="s">
        <v>64</v>
      </c>
      <c r="H4062" s="89" t="s">
        <v>847</v>
      </c>
      <c r="I4062" s="72">
        <v>0</v>
      </c>
      <c r="J4062" s="72">
        <v>0</v>
      </c>
      <c r="K4062" s="72">
        <v>218.94</v>
      </c>
      <c r="L4062" s="97">
        <v>0</v>
      </c>
      <c r="M4062" s="73" t="s">
        <v>3925</v>
      </c>
      <c r="N4062" s="99">
        <f t="shared" si="93"/>
        <v>218.94</v>
      </c>
    </row>
    <row r="4063" spans="1:14">
      <c r="A4063" s="12">
        <v>4062</v>
      </c>
      <c r="B4063" s="71" t="s">
        <v>557</v>
      </c>
      <c r="C4063" s="42" t="s">
        <v>558</v>
      </c>
      <c r="D4063" s="71" t="s">
        <v>5750</v>
      </c>
      <c r="E4063" s="72" t="s">
        <v>73</v>
      </c>
      <c r="F4063" s="72">
        <v>989.85</v>
      </c>
      <c r="G4063" s="73" t="s">
        <v>64</v>
      </c>
      <c r="H4063" s="89" t="s">
        <v>847</v>
      </c>
      <c r="I4063" s="72">
        <v>0</v>
      </c>
      <c r="J4063" s="72">
        <v>0</v>
      </c>
      <c r="K4063" s="72">
        <v>150.99</v>
      </c>
      <c r="L4063" s="97">
        <v>0</v>
      </c>
      <c r="M4063" s="73" t="s">
        <v>3925</v>
      </c>
      <c r="N4063" s="99">
        <f t="shared" si="93"/>
        <v>150.99</v>
      </c>
    </row>
    <row r="4064" spans="1:14">
      <c r="A4064" s="12">
        <v>4063</v>
      </c>
      <c r="B4064" s="71" t="s">
        <v>557</v>
      </c>
      <c r="C4064" s="42" t="s">
        <v>558</v>
      </c>
      <c r="D4064" s="71" t="s">
        <v>5751</v>
      </c>
      <c r="E4064" s="72" t="s">
        <v>75</v>
      </c>
      <c r="F4064" s="72">
        <v>1005.68</v>
      </c>
      <c r="G4064" s="73" t="s">
        <v>64</v>
      </c>
      <c r="H4064" s="89" t="s">
        <v>847</v>
      </c>
      <c r="I4064" s="72">
        <v>0</v>
      </c>
      <c r="J4064" s="72">
        <v>0</v>
      </c>
      <c r="K4064" s="72">
        <v>153.41</v>
      </c>
      <c r="L4064" s="97">
        <v>0</v>
      </c>
      <c r="M4064" s="73" t="s">
        <v>3925</v>
      </c>
      <c r="N4064" s="99">
        <f t="shared" si="93"/>
        <v>153.41</v>
      </c>
    </row>
    <row r="4065" spans="1:14">
      <c r="A4065" s="12">
        <v>4064</v>
      </c>
      <c r="B4065" s="71" t="s">
        <v>557</v>
      </c>
      <c r="C4065" s="42" t="s">
        <v>558</v>
      </c>
      <c r="D4065" s="71" t="s">
        <v>5752</v>
      </c>
      <c r="E4065" s="72" t="s">
        <v>834</v>
      </c>
      <c r="F4065" s="72">
        <v>622.89</v>
      </c>
      <c r="G4065" s="73" t="s">
        <v>64</v>
      </c>
      <c r="H4065" s="89" t="s">
        <v>847</v>
      </c>
      <c r="I4065" s="72">
        <v>0</v>
      </c>
      <c r="J4065" s="72">
        <v>0</v>
      </c>
      <c r="K4065" s="72">
        <v>95.02</v>
      </c>
      <c r="L4065" s="97">
        <v>0</v>
      </c>
      <c r="M4065" s="73" t="s">
        <v>3925</v>
      </c>
      <c r="N4065" s="99">
        <f t="shared" si="93"/>
        <v>95.02</v>
      </c>
    </row>
    <row r="4066" spans="1:14">
      <c r="A4066" s="12">
        <v>4065</v>
      </c>
      <c r="B4066" s="71" t="s">
        <v>557</v>
      </c>
      <c r="C4066" s="42" t="s">
        <v>558</v>
      </c>
      <c r="D4066" s="71" t="s">
        <v>5753</v>
      </c>
      <c r="E4066" s="72" t="s">
        <v>1255</v>
      </c>
      <c r="F4066" s="72">
        <v>570.39</v>
      </c>
      <c r="G4066" s="73" t="s">
        <v>64</v>
      </c>
      <c r="H4066" s="89" t="s">
        <v>847</v>
      </c>
      <c r="I4066" s="72">
        <v>0</v>
      </c>
      <c r="J4066" s="72">
        <v>0</v>
      </c>
      <c r="K4066" s="72">
        <v>102.67</v>
      </c>
      <c r="L4066" s="97">
        <v>0</v>
      </c>
      <c r="M4066" s="73" t="s">
        <v>3925</v>
      </c>
      <c r="N4066" s="99">
        <f t="shared" si="93"/>
        <v>102.67</v>
      </c>
    </row>
    <row r="4067" spans="1:14">
      <c r="A4067" s="12">
        <v>4066</v>
      </c>
      <c r="B4067" s="71" t="s">
        <v>557</v>
      </c>
      <c r="C4067" s="42" t="s">
        <v>558</v>
      </c>
      <c r="D4067" s="71" t="s">
        <v>5754</v>
      </c>
      <c r="E4067" s="72" t="s">
        <v>77</v>
      </c>
      <c r="F4067" s="72">
        <v>1306.5</v>
      </c>
      <c r="G4067" s="73" t="s">
        <v>64</v>
      </c>
      <c r="H4067" s="89" t="s">
        <v>847</v>
      </c>
      <c r="I4067" s="72">
        <v>0</v>
      </c>
      <c r="J4067" s="72">
        <v>0</v>
      </c>
      <c r="K4067" s="72">
        <v>235.17</v>
      </c>
      <c r="L4067" s="97">
        <v>0</v>
      </c>
      <c r="M4067" s="73" t="s">
        <v>3925</v>
      </c>
      <c r="N4067" s="99">
        <f t="shared" si="93"/>
        <v>235.17</v>
      </c>
    </row>
    <row r="4068" spans="1:14">
      <c r="A4068" s="12">
        <v>4067</v>
      </c>
      <c r="B4068" s="71" t="s">
        <v>557</v>
      </c>
      <c r="C4068" s="42" t="s">
        <v>558</v>
      </c>
      <c r="D4068" s="71" t="s">
        <v>5755</v>
      </c>
      <c r="E4068" s="72" t="s">
        <v>5756</v>
      </c>
      <c r="F4068" s="72">
        <v>1930.14</v>
      </c>
      <c r="G4068" s="73" t="s">
        <v>64</v>
      </c>
      <c r="H4068" s="89" t="s">
        <v>847</v>
      </c>
      <c r="I4068" s="72">
        <v>0</v>
      </c>
      <c r="J4068" s="72">
        <v>0</v>
      </c>
      <c r="K4068" s="72">
        <v>294.43</v>
      </c>
      <c r="L4068" s="97">
        <v>0</v>
      </c>
      <c r="M4068" s="73" t="s">
        <v>3925</v>
      </c>
      <c r="N4068" s="99">
        <f t="shared" si="93"/>
        <v>294.43</v>
      </c>
    </row>
    <row r="4069" spans="1:14">
      <c r="A4069" s="12">
        <v>4068</v>
      </c>
      <c r="B4069" s="71" t="s">
        <v>557</v>
      </c>
      <c r="C4069" s="42" t="s">
        <v>558</v>
      </c>
      <c r="D4069" s="71" t="s">
        <v>5757</v>
      </c>
      <c r="E4069" s="72" t="s">
        <v>79</v>
      </c>
      <c r="F4069" s="72">
        <v>1094.8900000000001</v>
      </c>
      <c r="G4069" s="73" t="s">
        <v>64</v>
      </c>
      <c r="H4069" s="89" t="s">
        <v>847</v>
      </c>
      <c r="I4069" s="72">
        <v>0</v>
      </c>
      <c r="J4069" s="72">
        <v>0</v>
      </c>
      <c r="K4069" s="72">
        <v>167.02</v>
      </c>
      <c r="L4069" s="97">
        <v>0</v>
      </c>
      <c r="M4069" s="73" t="s">
        <v>3925</v>
      </c>
      <c r="N4069" s="99">
        <f t="shared" si="93"/>
        <v>167.02</v>
      </c>
    </row>
    <row r="4070" spans="1:14">
      <c r="A4070" s="12">
        <v>4069</v>
      </c>
      <c r="B4070" s="71" t="s">
        <v>557</v>
      </c>
      <c r="C4070" s="42" t="s">
        <v>558</v>
      </c>
      <c r="D4070" s="71" t="s">
        <v>5758</v>
      </c>
      <c r="E4070" s="72" t="s">
        <v>5759</v>
      </c>
      <c r="F4070" s="72">
        <v>436.22</v>
      </c>
      <c r="G4070" s="73" t="s">
        <v>64</v>
      </c>
      <c r="H4070" s="89" t="s">
        <v>847</v>
      </c>
      <c r="I4070" s="72">
        <v>0</v>
      </c>
      <c r="J4070" s="72">
        <v>0</v>
      </c>
      <c r="K4070" s="72">
        <v>66.540000000000006</v>
      </c>
      <c r="L4070" s="97">
        <v>0</v>
      </c>
      <c r="M4070" s="73" t="s">
        <v>3925</v>
      </c>
      <c r="N4070" s="99">
        <f t="shared" si="93"/>
        <v>66.540000000000006</v>
      </c>
    </row>
    <row r="4071" spans="1:14">
      <c r="A4071" s="12">
        <v>4070</v>
      </c>
      <c r="B4071" s="71" t="s">
        <v>557</v>
      </c>
      <c r="C4071" s="42" t="s">
        <v>558</v>
      </c>
      <c r="D4071" s="71" t="s">
        <v>5760</v>
      </c>
      <c r="E4071" s="72" t="s">
        <v>934</v>
      </c>
      <c r="F4071" s="72">
        <v>2191.67</v>
      </c>
      <c r="G4071" s="73" t="s">
        <v>64</v>
      </c>
      <c r="H4071" s="89" t="s">
        <v>847</v>
      </c>
      <c r="I4071" s="72">
        <v>0</v>
      </c>
      <c r="J4071" s="72">
        <v>0</v>
      </c>
      <c r="K4071" s="72">
        <v>334.32</v>
      </c>
      <c r="L4071" s="97">
        <v>0</v>
      </c>
      <c r="M4071" s="73" t="s">
        <v>3925</v>
      </c>
      <c r="N4071" s="99">
        <f t="shared" si="93"/>
        <v>334.32</v>
      </c>
    </row>
    <row r="4072" spans="1:14">
      <c r="A4072" s="12">
        <v>4071</v>
      </c>
      <c r="B4072" s="71" t="s">
        <v>557</v>
      </c>
      <c r="C4072" s="42" t="s">
        <v>558</v>
      </c>
      <c r="D4072" s="71" t="s">
        <v>5761</v>
      </c>
      <c r="E4072" s="72" t="s">
        <v>1000</v>
      </c>
      <c r="F4072" s="72">
        <v>1687.72</v>
      </c>
      <c r="G4072" s="73" t="s">
        <v>64</v>
      </c>
      <c r="H4072" s="89" t="s">
        <v>847</v>
      </c>
      <c r="I4072" s="72">
        <v>0</v>
      </c>
      <c r="J4072" s="72">
        <v>0</v>
      </c>
      <c r="K4072" s="72">
        <v>257.45</v>
      </c>
      <c r="L4072" s="97">
        <v>0</v>
      </c>
      <c r="M4072" s="73" t="s">
        <v>3925</v>
      </c>
      <c r="N4072" s="99">
        <f t="shared" si="93"/>
        <v>257.45</v>
      </c>
    </row>
    <row r="4073" spans="1:14">
      <c r="A4073" s="12">
        <v>4072</v>
      </c>
      <c r="B4073" s="71" t="s">
        <v>557</v>
      </c>
      <c r="C4073" s="42" t="s">
        <v>558</v>
      </c>
      <c r="D4073" s="71" t="s">
        <v>5762</v>
      </c>
      <c r="E4073" s="72" t="s">
        <v>1301</v>
      </c>
      <c r="F4073" s="72">
        <v>120.63</v>
      </c>
      <c r="G4073" s="73" t="s">
        <v>64</v>
      </c>
      <c r="H4073" s="89" t="s">
        <v>847</v>
      </c>
      <c r="I4073" s="72">
        <v>0</v>
      </c>
      <c r="J4073" s="72">
        <v>0</v>
      </c>
      <c r="K4073" s="72">
        <v>18.399999999999999</v>
      </c>
      <c r="L4073" s="97">
        <v>0</v>
      </c>
      <c r="M4073" s="73" t="s">
        <v>3925</v>
      </c>
      <c r="N4073" s="99">
        <f t="shared" si="93"/>
        <v>18.399999999999999</v>
      </c>
    </row>
    <row r="4074" spans="1:14">
      <c r="A4074" s="12">
        <v>4073</v>
      </c>
      <c r="B4074" s="71" t="s">
        <v>5248</v>
      </c>
      <c r="C4074" s="42" t="s">
        <v>5249</v>
      </c>
      <c r="D4074" s="71" t="s">
        <v>5763</v>
      </c>
      <c r="E4074" s="72" t="s">
        <v>849</v>
      </c>
      <c r="F4074" s="72">
        <v>113345.29</v>
      </c>
      <c r="G4074" s="73" t="s">
        <v>64</v>
      </c>
      <c r="H4074" s="89" t="s">
        <v>5131</v>
      </c>
      <c r="I4074" s="72">
        <v>0</v>
      </c>
      <c r="J4074" s="72">
        <v>0</v>
      </c>
      <c r="K4074" s="72">
        <v>17289.96</v>
      </c>
      <c r="L4074" s="97">
        <v>0</v>
      </c>
      <c r="M4074" s="73" t="s">
        <v>3925</v>
      </c>
      <c r="N4074" s="99">
        <f t="shared" si="93"/>
        <v>17289.96</v>
      </c>
    </row>
    <row r="4075" spans="1:14">
      <c r="A4075" s="12">
        <v>4074</v>
      </c>
      <c r="B4075" s="71" t="s">
        <v>5764</v>
      </c>
      <c r="C4075" s="42" t="s">
        <v>5765</v>
      </c>
      <c r="D4075" s="71" t="s">
        <v>5766</v>
      </c>
      <c r="E4075" s="72" t="s">
        <v>139</v>
      </c>
      <c r="F4075" s="72">
        <v>5250</v>
      </c>
      <c r="G4075" s="73" t="s">
        <v>64</v>
      </c>
      <c r="H4075" s="101" t="s">
        <v>732</v>
      </c>
      <c r="I4075" s="72">
        <v>125</v>
      </c>
      <c r="J4075" s="72">
        <v>125</v>
      </c>
      <c r="K4075" s="72">
        <v>0</v>
      </c>
      <c r="L4075" s="97">
        <v>0</v>
      </c>
      <c r="M4075" s="73" t="s">
        <v>3925</v>
      </c>
      <c r="N4075" s="99">
        <f t="shared" si="93"/>
        <v>250</v>
      </c>
    </row>
    <row r="4076" spans="1:14">
      <c r="A4076" s="12">
        <v>4075</v>
      </c>
      <c r="B4076" s="71" t="s">
        <v>5764</v>
      </c>
      <c r="C4076" s="42" t="s">
        <v>5765</v>
      </c>
      <c r="D4076" s="71" t="s">
        <v>5767</v>
      </c>
      <c r="E4076" s="72" t="s">
        <v>831</v>
      </c>
      <c r="F4076" s="72">
        <v>33521</v>
      </c>
      <c r="G4076" s="73" t="s">
        <v>64</v>
      </c>
      <c r="H4076" s="101" t="s">
        <v>732</v>
      </c>
      <c r="I4076" s="72">
        <v>667.5</v>
      </c>
      <c r="J4076" s="72">
        <v>667.5</v>
      </c>
      <c r="K4076" s="72">
        <v>0</v>
      </c>
      <c r="L4076" s="97">
        <v>0</v>
      </c>
      <c r="M4076" s="73" t="s">
        <v>3925</v>
      </c>
      <c r="N4076" s="99">
        <f t="shared" ref="N4076:N4139" si="94">IF(M4076="YES", I4076+J4076+K4076, 0)</f>
        <v>1335</v>
      </c>
    </row>
    <row r="4077" spans="1:14">
      <c r="A4077" s="12">
        <v>4076</v>
      </c>
      <c r="B4077" s="71" t="s">
        <v>1166</v>
      </c>
      <c r="C4077" s="42" t="s">
        <v>1167</v>
      </c>
      <c r="D4077" s="71" t="s">
        <v>5768</v>
      </c>
      <c r="E4077" s="72" t="s">
        <v>927</v>
      </c>
      <c r="F4077" s="72">
        <v>1594.97</v>
      </c>
      <c r="G4077" s="73" t="s">
        <v>64</v>
      </c>
      <c r="H4077" s="74">
        <v>9971</v>
      </c>
      <c r="I4077" s="72">
        <v>121.65</v>
      </c>
      <c r="J4077" s="72">
        <v>121.65</v>
      </c>
      <c r="K4077" s="72">
        <v>0</v>
      </c>
      <c r="L4077" s="97">
        <v>0</v>
      </c>
      <c r="M4077" s="73" t="s">
        <v>3925</v>
      </c>
      <c r="N4077" s="99">
        <f t="shared" si="94"/>
        <v>243.3</v>
      </c>
    </row>
    <row r="4078" spans="1:14">
      <c r="A4078" s="12">
        <v>4077</v>
      </c>
      <c r="B4078" s="71" t="s">
        <v>1166</v>
      </c>
      <c r="C4078" s="42" t="s">
        <v>1167</v>
      </c>
      <c r="D4078" s="71" t="s">
        <v>5769</v>
      </c>
      <c r="E4078" s="72" t="s">
        <v>869</v>
      </c>
      <c r="F4078" s="72">
        <v>7332.14</v>
      </c>
      <c r="G4078" s="73" t="s">
        <v>64</v>
      </c>
      <c r="H4078" s="74">
        <v>9971</v>
      </c>
      <c r="I4078" s="72">
        <v>559.23</v>
      </c>
      <c r="J4078" s="72">
        <v>559.23</v>
      </c>
      <c r="K4078" s="72">
        <v>0</v>
      </c>
      <c r="L4078" s="97">
        <v>0</v>
      </c>
      <c r="M4078" s="73" t="s">
        <v>3925</v>
      </c>
      <c r="N4078" s="99">
        <f t="shared" si="94"/>
        <v>1118.46</v>
      </c>
    </row>
    <row r="4079" spans="1:14">
      <c r="A4079" s="12">
        <v>4078</v>
      </c>
      <c r="B4079" s="71" t="s">
        <v>1759</v>
      </c>
      <c r="C4079" s="42" t="s">
        <v>1760</v>
      </c>
      <c r="D4079" s="71" t="s">
        <v>5770</v>
      </c>
      <c r="E4079" s="72" t="s">
        <v>970</v>
      </c>
      <c r="F4079" s="72">
        <v>8000.02</v>
      </c>
      <c r="G4079" s="73" t="s">
        <v>64</v>
      </c>
      <c r="H4079" s="89" t="s">
        <v>561</v>
      </c>
      <c r="I4079" s="72">
        <v>0</v>
      </c>
      <c r="J4079" s="72">
        <v>0</v>
      </c>
      <c r="K4079" s="72">
        <v>1220.3399999999999</v>
      </c>
      <c r="L4079" s="97">
        <v>0</v>
      </c>
      <c r="M4079" s="73" t="s">
        <v>3925</v>
      </c>
      <c r="N4079" s="99">
        <f t="shared" si="94"/>
        <v>1220.3399999999999</v>
      </c>
    </row>
    <row r="4080" spans="1:14">
      <c r="A4080" s="12">
        <v>4079</v>
      </c>
      <c r="B4080" s="71" t="s">
        <v>3391</v>
      </c>
      <c r="C4080" s="42" t="s">
        <v>3392</v>
      </c>
      <c r="D4080" s="71" t="s">
        <v>5771</v>
      </c>
      <c r="E4080" s="72" t="s">
        <v>1289</v>
      </c>
      <c r="F4080" s="72">
        <v>16194.47</v>
      </c>
      <c r="G4080" s="73" t="s">
        <v>64</v>
      </c>
      <c r="H4080" s="89" t="s">
        <v>5131</v>
      </c>
      <c r="I4080" s="72">
        <v>1235.17</v>
      </c>
      <c r="J4080" s="72">
        <v>1235.17</v>
      </c>
      <c r="K4080" s="72">
        <v>0</v>
      </c>
      <c r="L4080" s="97">
        <v>0</v>
      </c>
      <c r="M4080" s="73" t="s">
        <v>3925</v>
      </c>
      <c r="N4080" s="99">
        <f t="shared" si="94"/>
        <v>2470.34</v>
      </c>
    </row>
    <row r="4081" spans="1:14">
      <c r="A4081" s="12">
        <v>4080</v>
      </c>
      <c r="B4081" s="71" t="s">
        <v>5621</v>
      </c>
      <c r="C4081" s="42" t="s">
        <v>5622</v>
      </c>
      <c r="D4081" s="71" t="s">
        <v>5772</v>
      </c>
      <c r="E4081" s="72" t="s">
        <v>93</v>
      </c>
      <c r="F4081" s="100">
        <v>-40000</v>
      </c>
      <c r="G4081" s="73" t="s">
        <v>632</v>
      </c>
      <c r="H4081" s="74">
        <v>85287217</v>
      </c>
      <c r="I4081" s="100">
        <v>-4375</v>
      </c>
      <c r="J4081" s="100">
        <v>-4375</v>
      </c>
      <c r="K4081" s="100">
        <v>0</v>
      </c>
      <c r="L4081" s="97">
        <v>0</v>
      </c>
      <c r="M4081" s="74" t="s">
        <v>157</v>
      </c>
      <c r="N4081" s="99">
        <f t="shared" si="94"/>
        <v>0</v>
      </c>
    </row>
    <row r="4082" spans="1:14">
      <c r="A4082" s="12">
        <v>4081</v>
      </c>
      <c r="B4082" s="71" t="s">
        <v>5723</v>
      </c>
      <c r="C4082" s="42" t="s">
        <v>5724</v>
      </c>
      <c r="D4082" s="71" t="s">
        <v>5773</v>
      </c>
      <c r="E4082" s="72" t="s">
        <v>84</v>
      </c>
      <c r="F4082" s="100">
        <v>-4099</v>
      </c>
      <c r="G4082" s="73" t="s">
        <v>64</v>
      </c>
      <c r="H4082" s="101" t="s">
        <v>5093</v>
      </c>
      <c r="I4082" s="100">
        <v>0</v>
      </c>
      <c r="J4082" s="100">
        <v>0</v>
      </c>
      <c r="K4082" s="100">
        <v>-625.27</v>
      </c>
      <c r="L4082" s="97">
        <v>0</v>
      </c>
      <c r="M4082" s="73" t="s">
        <v>3925</v>
      </c>
      <c r="N4082" s="99">
        <f t="shared" si="94"/>
        <v>-625.27</v>
      </c>
    </row>
    <row r="4083" spans="1:14">
      <c r="A4083" s="12">
        <v>4082</v>
      </c>
      <c r="B4083" s="71" t="s">
        <v>5764</v>
      </c>
      <c r="C4083" s="42" t="s">
        <v>5765</v>
      </c>
      <c r="D4083" s="71" t="s">
        <v>5774</v>
      </c>
      <c r="E4083" s="72" t="s">
        <v>1472</v>
      </c>
      <c r="F4083" s="100">
        <v>-33521</v>
      </c>
      <c r="G4083" s="73" t="s">
        <v>64</v>
      </c>
      <c r="H4083" s="101" t="s">
        <v>732</v>
      </c>
      <c r="I4083" s="100">
        <v>-667.5</v>
      </c>
      <c r="J4083" s="100">
        <v>-667.5</v>
      </c>
      <c r="K4083" s="100">
        <v>0</v>
      </c>
      <c r="L4083" s="97">
        <v>0</v>
      </c>
      <c r="M4083" s="73" t="s">
        <v>3925</v>
      </c>
      <c r="N4083" s="99">
        <f t="shared" si="94"/>
        <v>-1335</v>
      </c>
    </row>
    <row r="4084" spans="1:14">
      <c r="A4084" s="12">
        <v>4083</v>
      </c>
      <c r="B4084" s="71" t="s">
        <v>1759</v>
      </c>
      <c r="C4084" s="42" t="s">
        <v>1760</v>
      </c>
      <c r="D4084" s="71" t="s">
        <v>5775</v>
      </c>
      <c r="E4084" s="72" t="s">
        <v>5776</v>
      </c>
      <c r="F4084" s="72">
        <v>6000</v>
      </c>
      <c r="G4084" s="73" t="s">
        <v>64</v>
      </c>
      <c r="H4084" s="89" t="s">
        <v>561</v>
      </c>
      <c r="I4084" s="72">
        <v>0</v>
      </c>
      <c r="J4084" s="72">
        <v>0</v>
      </c>
      <c r="K4084" s="72">
        <v>915.25</v>
      </c>
      <c r="L4084" s="97">
        <v>0</v>
      </c>
      <c r="M4084" s="73" t="s">
        <v>3925</v>
      </c>
      <c r="N4084" s="99">
        <f t="shared" si="94"/>
        <v>915.25</v>
      </c>
    </row>
    <row r="4085" spans="1:14">
      <c r="A4085" s="12">
        <v>4084</v>
      </c>
      <c r="B4085" s="71" t="s">
        <v>592</v>
      </c>
      <c r="C4085" s="42" t="s">
        <v>593</v>
      </c>
      <c r="D4085" s="71" t="s">
        <v>5777</v>
      </c>
      <c r="E4085" s="72" t="s">
        <v>133</v>
      </c>
      <c r="F4085" s="72">
        <v>399</v>
      </c>
      <c r="G4085" s="74" t="s">
        <v>182</v>
      </c>
      <c r="H4085" s="74">
        <v>620443</v>
      </c>
      <c r="I4085" s="72">
        <v>0</v>
      </c>
      <c r="J4085" s="72">
        <v>0</v>
      </c>
      <c r="K4085" s="72">
        <v>19</v>
      </c>
      <c r="L4085" s="97">
        <v>0</v>
      </c>
      <c r="M4085" s="73" t="s">
        <v>3925</v>
      </c>
      <c r="N4085" s="99">
        <f t="shared" si="94"/>
        <v>19</v>
      </c>
    </row>
    <row r="4086" spans="1:14">
      <c r="A4086" s="12">
        <v>4085</v>
      </c>
      <c r="B4086" s="71" t="s">
        <v>592</v>
      </c>
      <c r="C4086" s="42" t="s">
        <v>593</v>
      </c>
      <c r="D4086" s="71" t="s">
        <v>5778</v>
      </c>
      <c r="E4086" s="72" t="s">
        <v>133</v>
      </c>
      <c r="F4086" s="72">
        <v>839</v>
      </c>
      <c r="G4086" s="74" t="s">
        <v>182</v>
      </c>
      <c r="H4086" s="74">
        <v>620443</v>
      </c>
      <c r="I4086" s="72">
        <v>0</v>
      </c>
      <c r="J4086" s="72">
        <v>0</v>
      </c>
      <c r="K4086" s="72">
        <v>39.950000000000003</v>
      </c>
      <c r="L4086" s="97">
        <v>0</v>
      </c>
      <c r="M4086" s="73" t="s">
        <v>3925</v>
      </c>
      <c r="N4086" s="99">
        <f t="shared" si="94"/>
        <v>39.950000000000003</v>
      </c>
    </row>
    <row r="4087" spans="1:14">
      <c r="A4087" s="12">
        <v>4086</v>
      </c>
      <c r="B4087" s="71" t="s">
        <v>5083</v>
      </c>
      <c r="C4087" s="42" t="s">
        <v>5084</v>
      </c>
      <c r="D4087" s="71" t="s">
        <v>5779</v>
      </c>
      <c r="E4087" s="72" t="s">
        <v>131</v>
      </c>
      <c r="F4087" s="72">
        <v>837.9</v>
      </c>
      <c r="G4087" s="73" t="s">
        <v>64</v>
      </c>
      <c r="H4087" s="89" t="s">
        <v>5086</v>
      </c>
      <c r="I4087" s="72">
        <v>0</v>
      </c>
      <c r="J4087" s="72">
        <v>0</v>
      </c>
      <c r="K4087" s="72">
        <v>39.9</v>
      </c>
      <c r="L4087" s="97">
        <v>0</v>
      </c>
      <c r="M4087" s="73" t="s">
        <v>3925</v>
      </c>
      <c r="N4087" s="99">
        <f t="shared" si="94"/>
        <v>39.9</v>
      </c>
    </row>
    <row r="4088" spans="1:14">
      <c r="A4088" s="12">
        <v>4087</v>
      </c>
      <c r="B4088" s="71" t="s">
        <v>2573</v>
      </c>
      <c r="C4088" s="42" t="s">
        <v>2574</v>
      </c>
      <c r="D4088" s="71" t="s">
        <v>5780</v>
      </c>
      <c r="E4088" s="72" t="s">
        <v>5781</v>
      </c>
      <c r="F4088" s="72">
        <v>26288.18</v>
      </c>
      <c r="G4088" s="73" t="s">
        <v>632</v>
      </c>
      <c r="H4088" s="74">
        <v>85287217</v>
      </c>
      <c r="I4088" s="72">
        <v>2798.25</v>
      </c>
      <c r="J4088" s="72">
        <v>2798.25</v>
      </c>
      <c r="K4088" s="72">
        <v>0</v>
      </c>
      <c r="L4088" s="97">
        <v>0</v>
      </c>
      <c r="M4088" s="73" t="s">
        <v>4847</v>
      </c>
      <c r="N4088" s="99">
        <f t="shared" si="94"/>
        <v>0</v>
      </c>
    </row>
    <row r="4089" spans="1:14">
      <c r="A4089" s="12">
        <v>4088</v>
      </c>
      <c r="B4089" s="71" t="s">
        <v>2573</v>
      </c>
      <c r="C4089" s="42" t="s">
        <v>2574</v>
      </c>
      <c r="D4089" s="71" t="s">
        <v>5782</v>
      </c>
      <c r="E4089" s="72" t="s">
        <v>5781</v>
      </c>
      <c r="F4089" s="72">
        <v>36768.379999999997</v>
      </c>
      <c r="G4089" s="73" t="s">
        <v>632</v>
      </c>
      <c r="H4089" s="74">
        <v>85287217</v>
      </c>
      <c r="I4089" s="72">
        <v>2804.36</v>
      </c>
      <c r="J4089" s="72">
        <v>2804.36</v>
      </c>
      <c r="K4089" s="72">
        <v>0</v>
      </c>
      <c r="L4089" s="97">
        <v>0</v>
      </c>
      <c r="M4089" s="73" t="s">
        <v>4847</v>
      </c>
      <c r="N4089" s="99">
        <f t="shared" si="94"/>
        <v>0</v>
      </c>
    </row>
    <row r="4090" spans="1:14">
      <c r="A4090" s="12">
        <v>4089</v>
      </c>
      <c r="B4090" s="71" t="s">
        <v>5094</v>
      </c>
      <c r="C4090" s="42" t="s">
        <v>5095</v>
      </c>
      <c r="D4090" s="71" t="s">
        <v>5783</v>
      </c>
      <c r="E4090" s="72" t="s">
        <v>5784</v>
      </c>
      <c r="F4090" s="72">
        <v>68880</v>
      </c>
      <c r="G4090" s="73" t="s">
        <v>182</v>
      </c>
      <c r="H4090" s="73">
        <v>9403</v>
      </c>
      <c r="I4090" s="72">
        <v>0</v>
      </c>
      <c r="J4090" s="72">
        <v>0</v>
      </c>
      <c r="K4090" s="72">
        <v>7380</v>
      </c>
      <c r="L4090" s="97">
        <v>0</v>
      </c>
      <c r="M4090" s="73" t="s">
        <v>3925</v>
      </c>
      <c r="N4090" s="99">
        <f t="shared" si="94"/>
        <v>7380</v>
      </c>
    </row>
    <row r="4091" spans="1:14">
      <c r="A4091" s="12">
        <v>4090</v>
      </c>
      <c r="B4091" s="71" t="s">
        <v>5094</v>
      </c>
      <c r="C4091" s="42" t="s">
        <v>5095</v>
      </c>
      <c r="D4091" s="71" t="s">
        <v>5785</v>
      </c>
      <c r="E4091" s="72" t="s">
        <v>5786</v>
      </c>
      <c r="F4091" s="72">
        <v>33600</v>
      </c>
      <c r="G4091" s="73" t="s">
        <v>182</v>
      </c>
      <c r="H4091" s="73">
        <v>9403</v>
      </c>
      <c r="I4091" s="72">
        <v>0</v>
      </c>
      <c r="J4091" s="72">
        <v>0</v>
      </c>
      <c r="K4091" s="72">
        <v>3600</v>
      </c>
      <c r="L4091" s="97">
        <v>0</v>
      </c>
      <c r="M4091" s="73" t="s">
        <v>3925</v>
      </c>
      <c r="N4091" s="99">
        <f t="shared" si="94"/>
        <v>3600</v>
      </c>
    </row>
    <row r="4092" spans="1:14">
      <c r="A4092" s="12">
        <v>4091</v>
      </c>
      <c r="B4092" s="71" t="s">
        <v>5094</v>
      </c>
      <c r="C4092" s="42" t="s">
        <v>5095</v>
      </c>
      <c r="D4092" s="71" t="s">
        <v>5787</v>
      </c>
      <c r="E4092" s="72" t="s">
        <v>5788</v>
      </c>
      <c r="F4092" s="72">
        <v>60480</v>
      </c>
      <c r="G4092" s="73" t="s">
        <v>182</v>
      </c>
      <c r="H4092" s="73">
        <v>9403</v>
      </c>
      <c r="I4092" s="72">
        <v>0</v>
      </c>
      <c r="J4092" s="72">
        <v>0</v>
      </c>
      <c r="K4092" s="72">
        <v>6480</v>
      </c>
      <c r="L4092" s="97">
        <v>0</v>
      </c>
      <c r="M4092" s="73" t="s">
        <v>3925</v>
      </c>
      <c r="N4092" s="99">
        <f t="shared" si="94"/>
        <v>6480</v>
      </c>
    </row>
    <row r="4093" spans="1:14">
      <c r="A4093" s="12">
        <v>4092</v>
      </c>
      <c r="B4093" s="71" t="s">
        <v>5094</v>
      </c>
      <c r="C4093" s="42" t="s">
        <v>5095</v>
      </c>
      <c r="D4093" s="71" t="s">
        <v>5789</v>
      </c>
      <c r="E4093" s="72" t="s">
        <v>168</v>
      </c>
      <c r="F4093" s="72">
        <v>40710</v>
      </c>
      <c r="G4093" s="73" t="s">
        <v>182</v>
      </c>
      <c r="H4093" s="73">
        <v>9403</v>
      </c>
      <c r="I4093" s="72">
        <v>0</v>
      </c>
      <c r="J4093" s="72">
        <v>0</v>
      </c>
      <c r="K4093" s="72">
        <v>6210</v>
      </c>
      <c r="L4093" s="97">
        <v>0</v>
      </c>
      <c r="M4093" s="73" t="s">
        <v>3925</v>
      </c>
      <c r="N4093" s="99">
        <f t="shared" si="94"/>
        <v>6210</v>
      </c>
    </row>
    <row r="4094" spans="1:14">
      <c r="A4094" s="12">
        <v>4093</v>
      </c>
      <c r="B4094" s="71" t="s">
        <v>5094</v>
      </c>
      <c r="C4094" s="42" t="s">
        <v>5095</v>
      </c>
      <c r="D4094" s="71" t="s">
        <v>5790</v>
      </c>
      <c r="E4094" s="72" t="s">
        <v>155</v>
      </c>
      <c r="F4094" s="72">
        <v>31360</v>
      </c>
      <c r="G4094" s="73" t="s">
        <v>182</v>
      </c>
      <c r="H4094" s="73">
        <v>9403</v>
      </c>
      <c r="I4094" s="72">
        <v>0</v>
      </c>
      <c r="J4094" s="72">
        <v>0</v>
      </c>
      <c r="K4094" s="72">
        <v>3360</v>
      </c>
      <c r="L4094" s="97">
        <v>0</v>
      </c>
      <c r="M4094" s="73" t="s">
        <v>3925</v>
      </c>
      <c r="N4094" s="99">
        <f t="shared" si="94"/>
        <v>3360</v>
      </c>
    </row>
    <row r="4095" spans="1:14">
      <c r="A4095" s="12">
        <v>4094</v>
      </c>
      <c r="B4095" s="71" t="s">
        <v>5094</v>
      </c>
      <c r="C4095" s="42" t="s">
        <v>5095</v>
      </c>
      <c r="D4095" s="71" t="s">
        <v>5791</v>
      </c>
      <c r="E4095" s="72" t="s">
        <v>5792</v>
      </c>
      <c r="F4095" s="72">
        <v>30680</v>
      </c>
      <c r="G4095" s="73" t="s">
        <v>182</v>
      </c>
      <c r="H4095" s="73">
        <v>9403</v>
      </c>
      <c r="I4095" s="72">
        <v>0</v>
      </c>
      <c r="J4095" s="72">
        <v>0</v>
      </c>
      <c r="K4095" s="72">
        <v>4680</v>
      </c>
      <c r="L4095" s="97">
        <v>0</v>
      </c>
      <c r="M4095" s="73" t="s">
        <v>3925</v>
      </c>
      <c r="N4095" s="99">
        <f t="shared" si="94"/>
        <v>4680</v>
      </c>
    </row>
    <row r="4096" spans="1:14">
      <c r="A4096" s="12">
        <v>4095</v>
      </c>
      <c r="B4096" s="71" t="s">
        <v>1759</v>
      </c>
      <c r="C4096" s="42" t="s">
        <v>1760</v>
      </c>
      <c r="D4096" s="71" t="s">
        <v>5793</v>
      </c>
      <c r="E4096" s="72" t="s">
        <v>914</v>
      </c>
      <c r="F4096" s="72">
        <v>6000</v>
      </c>
      <c r="G4096" s="73" t="s">
        <v>64</v>
      </c>
      <c r="H4096" s="89" t="s">
        <v>561</v>
      </c>
      <c r="I4096" s="72">
        <v>0</v>
      </c>
      <c r="J4096" s="72">
        <v>0</v>
      </c>
      <c r="K4096" s="72">
        <v>915.25</v>
      </c>
      <c r="L4096" s="97">
        <v>0</v>
      </c>
      <c r="M4096" s="73" t="s">
        <v>3925</v>
      </c>
      <c r="N4096" s="99">
        <f t="shared" si="94"/>
        <v>915.25</v>
      </c>
    </row>
    <row r="4097" spans="1:14">
      <c r="A4097" s="12">
        <v>4096</v>
      </c>
      <c r="B4097" s="71" t="s">
        <v>1166</v>
      </c>
      <c r="C4097" s="42" t="s">
        <v>1167</v>
      </c>
      <c r="D4097" s="71" t="s">
        <v>5794</v>
      </c>
      <c r="E4097" s="72" t="s">
        <v>912</v>
      </c>
      <c r="F4097" s="72">
        <v>1298</v>
      </c>
      <c r="G4097" s="73" t="s">
        <v>64</v>
      </c>
      <c r="H4097" s="74">
        <v>9971</v>
      </c>
      <c r="I4097" s="72">
        <v>99</v>
      </c>
      <c r="J4097" s="72">
        <v>99</v>
      </c>
      <c r="K4097" s="72">
        <v>0</v>
      </c>
      <c r="L4097" s="97">
        <v>0</v>
      </c>
      <c r="M4097" s="73" t="s">
        <v>3925</v>
      </c>
      <c r="N4097" s="99">
        <f t="shared" si="94"/>
        <v>198</v>
      </c>
    </row>
    <row r="4098" spans="1:14">
      <c r="A4098" s="12">
        <v>4097</v>
      </c>
      <c r="B4098" s="71" t="s">
        <v>1166</v>
      </c>
      <c r="C4098" s="42" t="s">
        <v>1167</v>
      </c>
      <c r="D4098" s="71" t="s">
        <v>5795</v>
      </c>
      <c r="E4098" s="72" t="s">
        <v>5796</v>
      </c>
      <c r="F4098" s="72">
        <v>1298</v>
      </c>
      <c r="G4098" s="73" t="s">
        <v>64</v>
      </c>
      <c r="H4098" s="74">
        <v>9971</v>
      </c>
      <c r="I4098" s="72">
        <v>99</v>
      </c>
      <c r="J4098" s="72">
        <v>99</v>
      </c>
      <c r="K4098" s="72">
        <v>0</v>
      </c>
      <c r="L4098" s="97">
        <v>0</v>
      </c>
      <c r="M4098" s="73" t="s">
        <v>3925</v>
      </c>
      <c r="N4098" s="99">
        <f t="shared" si="94"/>
        <v>198</v>
      </c>
    </row>
    <row r="4099" spans="1:14">
      <c r="A4099" s="12">
        <v>4098</v>
      </c>
      <c r="B4099" s="71" t="s">
        <v>1166</v>
      </c>
      <c r="C4099" s="42" t="s">
        <v>1167</v>
      </c>
      <c r="D4099" s="71" t="s">
        <v>5797</v>
      </c>
      <c r="E4099" s="72" t="s">
        <v>904</v>
      </c>
      <c r="F4099" s="72">
        <v>1335.4</v>
      </c>
      <c r="G4099" s="73" t="s">
        <v>64</v>
      </c>
      <c r="H4099" s="74">
        <v>9971</v>
      </c>
      <c r="I4099" s="72">
        <v>101.85</v>
      </c>
      <c r="J4099" s="72">
        <v>101.85</v>
      </c>
      <c r="K4099" s="72">
        <v>0</v>
      </c>
      <c r="L4099" s="97">
        <v>0</v>
      </c>
      <c r="M4099" s="73" t="s">
        <v>3925</v>
      </c>
      <c r="N4099" s="99">
        <f t="shared" si="94"/>
        <v>203.7</v>
      </c>
    </row>
    <row r="4100" spans="1:14">
      <c r="A4100" s="12">
        <v>4099</v>
      </c>
      <c r="B4100" s="71" t="s">
        <v>5600</v>
      </c>
      <c r="C4100" s="42" t="s">
        <v>5601</v>
      </c>
      <c r="D4100" s="71" t="s">
        <v>5798</v>
      </c>
      <c r="E4100" s="72" t="s">
        <v>5799</v>
      </c>
      <c r="F4100" s="72">
        <v>114945.5</v>
      </c>
      <c r="G4100" s="73" t="s">
        <v>64</v>
      </c>
      <c r="H4100" s="101" t="s">
        <v>1839</v>
      </c>
      <c r="I4100" s="72">
        <v>0</v>
      </c>
      <c r="J4100" s="72">
        <v>0</v>
      </c>
      <c r="K4100" s="72">
        <v>17534.099999999999</v>
      </c>
      <c r="L4100" s="97">
        <v>0</v>
      </c>
      <c r="M4100" s="73" t="s">
        <v>3925</v>
      </c>
      <c r="N4100" s="99">
        <f t="shared" si="94"/>
        <v>17534.099999999999</v>
      </c>
    </row>
    <row r="4101" spans="1:14">
      <c r="A4101" s="12">
        <v>4100</v>
      </c>
      <c r="B4101" s="71" t="s">
        <v>5600</v>
      </c>
      <c r="C4101" s="42" t="s">
        <v>5601</v>
      </c>
      <c r="D4101" s="71" t="s">
        <v>5800</v>
      </c>
      <c r="E4101" s="72" t="s">
        <v>5801</v>
      </c>
      <c r="F4101" s="72">
        <v>70456.600000000006</v>
      </c>
      <c r="G4101" s="73" t="s">
        <v>64</v>
      </c>
      <c r="H4101" s="101" t="s">
        <v>1839</v>
      </c>
      <c r="I4101" s="72">
        <v>0</v>
      </c>
      <c r="J4101" s="72">
        <v>0</v>
      </c>
      <c r="K4101" s="72">
        <v>10747.6</v>
      </c>
      <c r="L4101" s="97">
        <v>0</v>
      </c>
      <c r="M4101" s="73" t="s">
        <v>3925</v>
      </c>
      <c r="N4101" s="99">
        <f t="shared" si="94"/>
        <v>10747.6</v>
      </c>
    </row>
    <row r="4102" spans="1:14">
      <c r="A4102" s="12">
        <v>4101</v>
      </c>
      <c r="B4102" s="71" t="s">
        <v>5600</v>
      </c>
      <c r="C4102" s="42" t="s">
        <v>5601</v>
      </c>
      <c r="D4102" s="71" t="s">
        <v>5802</v>
      </c>
      <c r="E4102" s="72" t="s">
        <v>5803</v>
      </c>
      <c r="F4102" s="72">
        <v>33767.4</v>
      </c>
      <c r="G4102" s="73" t="s">
        <v>64</v>
      </c>
      <c r="H4102" s="101" t="s">
        <v>1839</v>
      </c>
      <c r="I4102" s="72">
        <v>0</v>
      </c>
      <c r="J4102" s="72">
        <v>0</v>
      </c>
      <c r="K4102" s="72">
        <v>5151</v>
      </c>
      <c r="L4102" s="97">
        <v>0</v>
      </c>
      <c r="M4102" s="73" t="s">
        <v>3925</v>
      </c>
      <c r="N4102" s="99">
        <f t="shared" si="94"/>
        <v>5151</v>
      </c>
    </row>
    <row r="4103" spans="1:14">
      <c r="A4103" s="12">
        <v>4102</v>
      </c>
      <c r="B4103" s="71" t="s">
        <v>5600</v>
      </c>
      <c r="C4103" s="42" t="s">
        <v>5601</v>
      </c>
      <c r="D4103" s="71" t="s">
        <v>5804</v>
      </c>
      <c r="E4103" s="72" t="s">
        <v>5805</v>
      </c>
      <c r="F4103" s="72">
        <v>372508.7</v>
      </c>
      <c r="G4103" s="73" t="s">
        <v>64</v>
      </c>
      <c r="H4103" s="101" t="s">
        <v>1839</v>
      </c>
      <c r="I4103" s="72">
        <v>0</v>
      </c>
      <c r="J4103" s="72">
        <v>0</v>
      </c>
      <c r="K4103" s="72">
        <v>56823.4</v>
      </c>
      <c r="L4103" s="97">
        <v>0</v>
      </c>
      <c r="M4103" s="73" t="s">
        <v>3925</v>
      </c>
      <c r="N4103" s="99">
        <f t="shared" si="94"/>
        <v>56823.4</v>
      </c>
    </row>
    <row r="4104" spans="1:14">
      <c r="A4104" s="12">
        <v>4103</v>
      </c>
      <c r="B4104" s="71" t="s">
        <v>1759</v>
      </c>
      <c r="C4104" s="42" t="s">
        <v>1760</v>
      </c>
      <c r="D4104" s="71" t="s">
        <v>5806</v>
      </c>
      <c r="E4104" s="72" t="s">
        <v>876</v>
      </c>
      <c r="F4104" s="72">
        <v>3566.35</v>
      </c>
      <c r="G4104" s="73" t="s">
        <v>64</v>
      </c>
      <c r="H4104" s="89" t="s">
        <v>561</v>
      </c>
      <c r="I4104" s="72">
        <v>0</v>
      </c>
      <c r="J4104" s="72">
        <v>0</v>
      </c>
      <c r="K4104" s="72">
        <v>544.02</v>
      </c>
      <c r="L4104" s="97">
        <v>0</v>
      </c>
      <c r="M4104" s="73" t="s">
        <v>3925</v>
      </c>
      <c r="N4104" s="99">
        <f t="shared" si="94"/>
        <v>544.02</v>
      </c>
    </row>
    <row r="4105" spans="1:14">
      <c r="A4105" s="12">
        <v>4104</v>
      </c>
      <c r="B4105" s="71" t="s">
        <v>3936</v>
      </c>
      <c r="C4105" s="42" t="s">
        <v>3937</v>
      </c>
      <c r="D4105" s="71" t="s">
        <v>5807</v>
      </c>
      <c r="E4105" s="72" t="s">
        <v>5788</v>
      </c>
      <c r="F4105" s="72">
        <v>5.9</v>
      </c>
      <c r="G4105" s="73" t="s">
        <v>64</v>
      </c>
      <c r="H4105" s="73">
        <v>9971</v>
      </c>
      <c r="I4105" s="72">
        <v>0.45</v>
      </c>
      <c r="J4105" s="72">
        <v>0.45</v>
      </c>
      <c r="K4105" s="72">
        <v>0</v>
      </c>
      <c r="L4105" s="97">
        <v>0</v>
      </c>
      <c r="M4105" s="73" t="s">
        <v>3925</v>
      </c>
      <c r="N4105" s="99">
        <f t="shared" si="94"/>
        <v>0.9</v>
      </c>
    </row>
    <row r="4106" spans="1:14">
      <c r="A4106" s="12">
        <v>4105</v>
      </c>
      <c r="B4106" s="71" t="s">
        <v>3936</v>
      </c>
      <c r="C4106" s="42" t="s">
        <v>3937</v>
      </c>
      <c r="D4106" s="71" t="s">
        <v>5808</v>
      </c>
      <c r="E4106" s="72" t="s">
        <v>5809</v>
      </c>
      <c r="F4106" s="72">
        <v>5.9</v>
      </c>
      <c r="G4106" s="73" t="s">
        <v>64</v>
      </c>
      <c r="H4106" s="73">
        <v>9971</v>
      </c>
      <c r="I4106" s="72">
        <v>0.45</v>
      </c>
      <c r="J4106" s="72">
        <v>0.45</v>
      </c>
      <c r="K4106" s="72">
        <v>0</v>
      </c>
      <c r="L4106" s="97">
        <v>0</v>
      </c>
      <c r="M4106" s="73" t="s">
        <v>3925</v>
      </c>
      <c r="N4106" s="99">
        <f t="shared" si="94"/>
        <v>0.9</v>
      </c>
    </row>
    <row r="4107" spans="1:14">
      <c r="A4107" s="12">
        <v>4106</v>
      </c>
      <c r="B4107" s="71" t="s">
        <v>3936</v>
      </c>
      <c r="C4107" s="42" t="s">
        <v>3937</v>
      </c>
      <c r="D4107" s="71" t="s">
        <v>5810</v>
      </c>
      <c r="E4107" s="72" t="s">
        <v>161</v>
      </c>
      <c r="F4107" s="72">
        <v>177</v>
      </c>
      <c r="G4107" s="73" t="s">
        <v>64</v>
      </c>
      <c r="H4107" s="73">
        <v>9971</v>
      </c>
      <c r="I4107" s="72">
        <v>13.5</v>
      </c>
      <c r="J4107" s="72">
        <v>13.5</v>
      </c>
      <c r="K4107" s="72">
        <v>0</v>
      </c>
      <c r="L4107" s="97">
        <v>0</v>
      </c>
      <c r="M4107" s="73" t="s">
        <v>3925</v>
      </c>
      <c r="N4107" s="99">
        <f t="shared" si="94"/>
        <v>27</v>
      </c>
    </row>
    <row r="4108" spans="1:14">
      <c r="A4108" s="12">
        <v>4107</v>
      </c>
      <c r="B4108" s="71" t="s">
        <v>5600</v>
      </c>
      <c r="C4108" s="42" t="s">
        <v>5601</v>
      </c>
      <c r="D4108" s="71" t="s">
        <v>5811</v>
      </c>
      <c r="E4108" s="72" t="s">
        <v>882</v>
      </c>
      <c r="F4108" s="72">
        <v>41279.599999999999</v>
      </c>
      <c r="G4108" s="73" t="s">
        <v>64</v>
      </c>
      <c r="H4108" s="101" t="s">
        <v>1839</v>
      </c>
      <c r="I4108" s="72">
        <v>0</v>
      </c>
      <c r="J4108" s="72">
        <v>0</v>
      </c>
      <c r="K4108" s="72">
        <v>6296.9</v>
      </c>
      <c r="L4108" s="97">
        <v>0</v>
      </c>
      <c r="M4108" s="73" t="s">
        <v>3925</v>
      </c>
      <c r="N4108" s="99">
        <f t="shared" si="94"/>
        <v>6296.9</v>
      </c>
    </row>
    <row r="4109" spans="1:14">
      <c r="A4109" s="12">
        <v>4108</v>
      </c>
      <c r="B4109" s="71" t="s">
        <v>5600</v>
      </c>
      <c r="C4109" s="42" t="s">
        <v>5601</v>
      </c>
      <c r="D4109" s="71" t="s">
        <v>5812</v>
      </c>
      <c r="E4109" s="72" t="s">
        <v>877</v>
      </c>
      <c r="F4109" s="72">
        <v>298358.5</v>
      </c>
      <c r="G4109" s="73" t="s">
        <v>64</v>
      </c>
      <c r="H4109" s="101" t="s">
        <v>1839</v>
      </c>
      <c r="I4109" s="72">
        <v>0</v>
      </c>
      <c r="J4109" s="72">
        <v>0</v>
      </c>
      <c r="K4109" s="72">
        <v>45512.3</v>
      </c>
      <c r="L4109" s="97">
        <v>0</v>
      </c>
      <c r="M4109" s="73" t="s">
        <v>3925</v>
      </c>
      <c r="N4109" s="99">
        <f t="shared" si="94"/>
        <v>45512.3</v>
      </c>
    </row>
    <row r="4110" spans="1:14">
      <c r="A4110" s="12">
        <v>4109</v>
      </c>
      <c r="B4110" s="71" t="s">
        <v>5600</v>
      </c>
      <c r="C4110" s="42" t="s">
        <v>5601</v>
      </c>
      <c r="D4110" s="71" t="s">
        <v>5813</v>
      </c>
      <c r="E4110" s="72" t="s">
        <v>876</v>
      </c>
      <c r="F4110" s="72">
        <v>40838.9</v>
      </c>
      <c r="G4110" s="73" t="s">
        <v>64</v>
      </c>
      <c r="H4110" s="101" t="s">
        <v>1839</v>
      </c>
      <c r="I4110" s="72">
        <v>0</v>
      </c>
      <c r="J4110" s="72">
        <v>0</v>
      </c>
      <c r="K4110" s="72">
        <v>6229.7</v>
      </c>
      <c r="L4110" s="97">
        <v>0</v>
      </c>
      <c r="M4110" s="73" t="s">
        <v>3925</v>
      </c>
      <c r="N4110" s="99">
        <f t="shared" si="94"/>
        <v>6229.7</v>
      </c>
    </row>
    <row r="4111" spans="1:14">
      <c r="A4111" s="12">
        <v>4110</v>
      </c>
      <c r="B4111" s="71" t="s">
        <v>1166</v>
      </c>
      <c r="C4111" s="42" t="s">
        <v>1167</v>
      </c>
      <c r="D4111" s="71" t="s">
        <v>5814</v>
      </c>
      <c r="E4111" s="72" t="s">
        <v>5815</v>
      </c>
      <c r="F4111" s="72">
        <v>5850.03</v>
      </c>
      <c r="G4111" s="73" t="s">
        <v>64</v>
      </c>
      <c r="H4111" s="74">
        <v>9971</v>
      </c>
      <c r="I4111" s="72">
        <v>446.19</v>
      </c>
      <c r="J4111" s="72">
        <v>446.19</v>
      </c>
      <c r="K4111" s="72">
        <v>0</v>
      </c>
      <c r="L4111" s="97">
        <v>0</v>
      </c>
      <c r="M4111" s="73" t="s">
        <v>3925</v>
      </c>
      <c r="N4111" s="99">
        <f t="shared" si="94"/>
        <v>892.38</v>
      </c>
    </row>
    <row r="4112" spans="1:14">
      <c r="A4112" s="12">
        <v>4111</v>
      </c>
      <c r="B4112" s="71" t="s">
        <v>557</v>
      </c>
      <c r="C4112" s="42" t="s">
        <v>558</v>
      </c>
      <c r="D4112" s="71" t="s">
        <v>5816</v>
      </c>
      <c r="E4112" s="72" t="s">
        <v>112</v>
      </c>
      <c r="F4112" s="72">
        <v>1152.1600000000001</v>
      </c>
      <c r="G4112" s="73" t="s">
        <v>64</v>
      </c>
      <c r="H4112" s="89" t="s">
        <v>847</v>
      </c>
      <c r="I4112" s="72">
        <v>0</v>
      </c>
      <c r="J4112" s="72">
        <v>0</v>
      </c>
      <c r="K4112" s="72">
        <v>175.75</v>
      </c>
      <c r="L4112" s="97">
        <v>0</v>
      </c>
      <c r="M4112" s="73" t="s">
        <v>3925</v>
      </c>
      <c r="N4112" s="99">
        <f t="shared" si="94"/>
        <v>175.75</v>
      </c>
    </row>
    <row r="4113" spans="1:14">
      <c r="A4113" s="12">
        <v>4112</v>
      </c>
      <c r="B4113" s="71" t="s">
        <v>557</v>
      </c>
      <c r="C4113" s="42" t="s">
        <v>558</v>
      </c>
      <c r="D4113" s="71" t="s">
        <v>5817</v>
      </c>
      <c r="E4113" s="72" t="s">
        <v>5784</v>
      </c>
      <c r="F4113" s="72">
        <v>661.84</v>
      </c>
      <c r="G4113" s="73" t="s">
        <v>64</v>
      </c>
      <c r="H4113" s="89" t="s">
        <v>847</v>
      </c>
      <c r="I4113" s="72">
        <v>0</v>
      </c>
      <c r="J4113" s="72">
        <v>0</v>
      </c>
      <c r="K4113" s="72">
        <v>100.96</v>
      </c>
      <c r="L4113" s="97">
        <v>0</v>
      </c>
      <c r="M4113" s="73" t="s">
        <v>3925</v>
      </c>
      <c r="N4113" s="99">
        <f t="shared" si="94"/>
        <v>100.96</v>
      </c>
    </row>
    <row r="4114" spans="1:14">
      <c r="A4114" s="12">
        <v>4113</v>
      </c>
      <c r="B4114" s="71" t="s">
        <v>557</v>
      </c>
      <c r="C4114" s="42" t="s">
        <v>558</v>
      </c>
      <c r="D4114" s="71" t="s">
        <v>5818</v>
      </c>
      <c r="E4114" s="72" t="s">
        <v>882</v>
      </c>
      <c r="F4114" s="72">
        <v>0.6</v>
      </c>
      <c r="G4114" s="73" t="s">
        <v>64</v>
      </c>
      <c r="H4114" s="89" t="s">
        <v>847</v>
      </c>
      <c r="I4114" s="72">
        <v>0</v>
      </c>
      <c r="J4114" s="72">
        <v>0</v>
      </c>
      <c r="K4114" s="72">
        <v>0.09</v>
      </c>
      <c r="L4114" s="97">
        <v>0</v>
      </c>
      <c r="M4114" s="73" t="s">
        <v>3925</v>
      </c>
      <c r="N4114" s="99">
        <f t="shared" si="94"/>
        <v>0.09</v>
      </c>
    </row>
    <row r="4115" spans="1:14">
      <c r="A4115" s="12">
        <v>4114</v>
      </c>
      <c r="B4115" s="71" t="s">
        <v>557</v>
      </c>
      <c r="C4115" s="42" t="s">
        <v>558</v>
      </c>
      <c r="D4115" s="71" t="s">
        <v>5819</v>
      </c>
      <c r="E4115" s="72" t="s">
        <v>5820</v>
      </c>
      <c r="F4115" s="72">
        <v>1141.01</v>
      </c>
      <c r="G4115" s="73" t="s">
        <v>64</v>
      </c>
      <c r="H4115" s="89" t="s">
        <v>847</v>
      </c>
      <c r="I4115" s="72">
        <v>0</v>
      </c>
      <c r="J4115" s="72">
        <v>0</v>
      </c>
      <c r="K4115" s="72">
        <v>174.05</v>
      </c>
      <c r="L4115" s="97">
        <v>0</v>
      </c>
      <c r="M4115" s="73" t="s">
        <v>3925</v>
      </c>
      <c r="N4115" s="99">
        <f t="shared" si="94"/>
        <v>174.05</v>
      </c>
    </row>
    <row r="4116" spans="1:14">
      <c r="A4116" s="12">
        <v>4115</v>
      </c>
      <c r="B4116" s="71" t="s">
        <v>557</v>
      </c>
      <c r="C4116" s="42" t="s">
        <v>558</v>
      </c>
      <c r="D4116" s="71" t="s">
        <v>5821</v>
      </c>
      <c r="E4116" s="72" t="s">
        <v>5822</v>
      </c>
      <c r="F4116" s="72">
        <v>1207.98</v>
      </c>
      <c r="G4116" s="73" t="s">
        <v>64</v>
      </c>
      <c r="H4116" s="89" t="s">
        <v>847</v>
      </c>
      <c r="I4116" s="72">
        <v>0</v>
      </c>
      <c r="J4116" s="72">
        <v>0</v>
      </c>
      <c r="K4116" s="72">
        <v>184.27</v>
      </c>
      <c r="L4116" s="97">
        <v>0</v>
      </c>
      <c r="M4116" s="73" t="s">
        <v>3925</v>
      </c>
      <c r="N4116" s="99">
        <f t="shared" si="94"/>
        <v>184.27</v>
      </c>
    </row>
    <row r="4117" spans="1:14">
      <c r="A4117" s="12">
        <v>4116</v>
      </c>
      <c r="B4117" s="71" t="s">
        <v>557</v>
      </c>
      <c r="C4117" s="42" t="s">
        <v>558</v>
      </c>
      <c r="D4117" s="71" t="s">
        <v>5823</v>
      </c>
      <c r="E4117" s="72" t="s">
        <v>5824</v>
      </c>
      <c r="F4117" s="72">
        <v>1127.74</v>
      </c>
      <c r="G4117" s="73" t="s">
        <v>64</v>
      </c>
      <c r="H4117" s="89" t="s">
        <v>847</v>
      </c>
      <c r="I4117" s="72">
        <v>0</v>
      </c>
      <c r="J4117" s="72">
        <v>0</v>
      </c>
      <c r="K4117" s="72">
        <v>172.03</v>
      </c>
      <c r="L4117" s="97">
        <v>0</v>
      </c>
      <c r="M4117" s="73" t="s">
        <v>3925</v>
      </c>
      <c r="N4117" s="99">
        <f t="shared" si="94"/>
        <v>172.03</v>
      </c>
    </row>
    <row r="4118" spans="1:14">
      <c r="A4118" s="12">
        <v>4117</v>
      </c>
      <c r="B4118" s="71" t="s">
        <v>557</v>
      </c>
      <c r="C4118" s="42" t="s">
        <v>558</v>
      </c>
      <c r="D4118" s="71" t="s">
        <v>5825</v>
      </c>
      <c r="E4118" s="72" t="s">
        <v>5786</v>
      </c>
      <c r="F4118" s="72">
        <v>997.15</v>
      </c>
      <c r="G4118" s="73" t="s">
        <v>64</v>
      </c>
      <c r="H4118" s="89" t="s">
        <v>847</v>
      </c>
      <c r="I4118" s="72">
        <v>0</v>
      </c>
      <c r="J4118" s="72">
        <v>0</v>
      </c>
      <c r="K4118" s="72">
        <v>152.11000000000001</v>
      </c>
      <c r="L4118" s="97">
        <v>0</v>
      </c>
      <c r="M4118" s="73" t="s">
        <v>3925</v>
      </c>
      <c r="N4118" s="99">
        <f t="shared" si="94"/>
        <v>152.11000000000001</v>
      </c>
    </row>
    <row r="4119" spans="1:14">
      <c r="A4119" s="12">
        <v>4118</v>
      </c>
      <c r="B4119" s="71" t="s">
        <v>557</v>
      </c>
      <c r="C4119" s="42" t="s">
        <v>558</v>
      </c>
      <c r="D4119" s="71" t="s">
        <v>5826</v>
      </c>
      <c r="E4119" s="72" t="s">
        <v>107</v>
      </c>
      <c r="F4119" s="72">
        <v>1110.8800000000001</v>
      </c>
      <c r="G4119" s="73" t="s">
        <v>64</v>
      </c>
      <c r="H4119" s="89" t="s">
        <v>847</v>
      </c>
      <c r="I4119" s="72">
        <v>0</v>
      </c>
      <c r="J4119" s="72">
        <v>0</v>
      </c>
      <c r="K4119" s="72">
        <v>169.46</v>
      </c>
      <c r="L4119" s="97">
        <v>0</v>
      </c>
      <c r="M4119" s="73" t="s">
        <v>3925</v>
      </c>
      <c r="N4119" s="99">
        <f t="shared" si="94"/>
        <v>169.46</v>
      </c>
    </row>
    <row r="4120" spans="1:14">
      <c r="A4120" s="12">
        <v>4119</v>
      </c>
      <c r="B4120" s="71" t="s">
        <v>557</v>
      </c>
      <c r="C4120" s="42" t="s">
        <v>558</v>
      </c>
      <c r="D4120" s="71" t="s">
        <v>5827</v>
      </c>
      <c r="E4120" s="72" t="s">
        <v>884</v>
      </c>
      <c r="F4120" s="72">
        <v>415.24</v>
      </c>
      <c r="G4120" s="73" t="s">
        <v>64</v>
      </c>
      <c r="H4120" s="89" t="s">
        <v>847</v>
      </c>
      <c r="I4120" s="72">
        <v>0</v>
      </c>
      <c r="J4120" s="72">
        <v>0</v>
      </c>
      <c r="K4120" s="72">
        <v>63.34</v>
      </c>
      <c r="L4120" s="97">
        <v>0</v>
      </c>
      <c r="M4120" s="73" t="s">
        <v>3925</v>
      </c>
      <c r="N4120" s="99">
        <f t="shared" si="94"/>
        <v>63.34</v>
      </c>
    </row>
    <row r="4121" spans="1:14">
      <c r="A4121" s="12">
        <v>4120</v>
      </c>
      <c r="B4121" s="71" t="s">
        <v>557</v>
      </c>
      <c r="C4121" s="42" t="s">
        <v>558</v>
      </c>
      <c r="D4121" s="71" t="s">
        <v>5828</v>
      </c>
      <c r="E4121" s="72" t="s">
        <v>877</v>
      </c>
      <c r="F4121" s="72">
        <v>1841.63</v>
      </c>
      <c r="G4121" s="73" t="s">
        <v>64</v>
      </c>
      <c r="H4121" s="89" t="s">
        <v>847</v>
      </c>
      <c r="I4121" s="72">
        <v>0</v>
      </c>
      <c r="J4121" s="72">
        <v>0</v>
      </c>
      <c r="K4121" s="72">
        <v>280.93</v>
      </c>
      <c r="L4121" s="97">
        <v>0</v>
      </c>
      <c r="M4121" s="73" t="s">
        <v>3925</v>
      </c>
      <c r="N4121" s="99">
        <f t="shared" si="94"/>
        <v>280.93</v>
      </c>
    </row>
    <row r="4122" spans="1:14">
      <c r="A4122" s="12">
        <v>4121</v>
      </c>
      <c r="B4122" s="71" t="s">
        <v>557</v>
      </c>
      <c r="C4122" s="42" t="s">
        <v>558</v>
      </c>
      <c r="D4122" s="71" t="s">
        <v>5829</v>
      </c>
      <c r="E4122" s="72" t="s">
        <v>5830</v>
      </c>
      <c r="F4122" s="72">
        <v>1970.26</v>
      </c>
      <c r="G4122" s="73" t="s">
        <v>64</v>
      </c>
      <c r="H4122" s="89" t="s">
        <v>847</v>
      </c>
      <c r="I4122" s="72">
        <v>0</v>
      </c>
      <c r="J4122" s="72">
        <v>0</v>
      </c>
      <c r="K4122" s="72">
        <v>300.55</v>
      </c>
      <c r="L4122" s="97">
        <v>0</v>
      </c>
      <c r="M4122" s="73" t="s">
        <v>3925</v>
      </c>
      <c r="N4122" s="99">
        <f t="shared" si="94"/>
        <v>300.55</v>
      </c>
    </row>
    <row r="4123" spans="1:14">
      <c r="A4123" s="12">
        <v>4122</v>
      </c>
      <c r="B4123" s="71" t="s">
        <v>557</v>
      </c>
      <c r="C4123" s="42" t="s">
        <v>558</v>
      </c>
      <c r="D4123" s="71" t="s">
        <v>5831</v>
      </c>
      <c r="E4123" s="72" t="s">
        <v>161</v>
      </c>
      <c r="F4123" s="72">
        <v>1188.1199999999999</v>
      </c>
      <c r="G4123" s="73" t="s">
        <v>64</v>
      </c>
      <c r="H4123" s="89" t="s">
        <v>847</v>
      </c>
      <c r="I4123" s="72">
        <v>0</v>
      </c>
      <c r="J4123" s="72">
        <v>0</v>
      </c>
      <c r="K4123" s="72">
        <v>181.24</v>
      </c>
      <c r="L4123" s="97">
        <v>0</v>
      </c>
      <c r="M4123" s="73" t="s">
        <v>3925</v>
      </c>
      <c r="N4123" s="99">
        <f t="shared" si="94"/>
        <v>181.24</v>
      </c>
    </row>
    <row r="4124" spans="1:14">
      <c r="A4124" s="12">
        <v>4123</v>
      </c>
      <c r="B4124" s="71" t="s">
        <v>557</v>
      </c>
      <c r="C4124" s="42" t="s">
        <v>558</v>
      </c>
      <c r="D4124" s="71" t="s">
        <v>5832</v>
      </c>
      <c r="E4124" s="72" t="s">
        <v>155</v>
      </c>
      <c r="F4124" s="72">
        <v>1225.06</v>
      </c>
      <c r="G4124" s="73" t="s">
        <v>64</v>
      </c>
      <c r="H4124" s="89" t="s">
        <v>847</v>
      </c>
      <c r="I4124" s="72">
        <v>0</v>
      </c>
      <c r="J4124" s="72">
        <v>0</v>
      </c>
      <c r="K4124" s="72">
        <v>186.87</v>
      </c>
      <c r="L4124" s="97">
        <v>0</v>
      </c>
      <c r="M4124" s="73" t="s">
        <v>3925</v>
      </c>
      <c r="N4124" s="99">
        <f t="shared" si="94"/>
        <v>186.87</v>
      </c>
    </row>
    <row r="4125" spans="1:14">
      <c r="A4125" s="12">
        <v>4124</v>
      </c>
      <c r="B4125" s="71" t="s">
        <v>557</v>
      </c>
      <c r="C4125" s="42" t="s">
        <v>558</v>
      </c>
      <c r="D4125" s="71" t="s">
        <v>5833</v>
      </c>
      <c r="E4125" s="72" t="s">
        <v>5834</v>
      </c>
      <c r="F4125" s="72">
        <v>1157.45</v>
      </c>
      <c r="G4125" s="73" t="s">
        <v>64</v>
      </c>
      <c r="H4125" s="89" t="s">
        <v>847</v>
      </c>
      <c r="I4125" s="72">
        <v>0</v>
      </c>
      <c r="J4125" s="72">
        <v>0</v>
      </c>
      <c r="K4125" s="72">
        <v>176.56</v>
      </c>
      <c r="L4125" s="97">
        <v>0</v>
      </c>
      <c r="M4125" s="73" t="s">
        <v>3925</v>
      </c>
      <c r="N4125" s="99">
        <f t="shared" si="94"/>
        <v>176.56</v>
      </c>
    </row>
    <row r="4126" spans="1:14">
      <c r="A4126" s="12">
        <v>4125</v>
      </c>
      <c r="B4126" s="71" t="s">
        <v>557</v>
      </c>
      <c r="C4126" s="42" t="s">
        <v>558</v>
      </c>
      <c r="D4126" s="71" t="s">
        <v>5835</v>
      </c>
      <c r="E4126" s="72" t="s">
        <v>5792</v>
      </c>
      <c r="F4126" s="72">
        <v>1344.39</v>
      </c>
      <c r="G4126" s="73" t="s">
        <v>64</v>
      </c>
      <c r="H4126" s="89" t="s">
        <v>847</v>
      </c>
      <c r="I4126" s="72">
        <v>0</v>
      </c>
      <c r="J4126" s="72">
        <v>0</v>
      </c>
      <c r="K4126" s="72">
        <v>205.08</v>
      </c>
      <c r="L4126" s="97">
        <v>0</v>
      </c>
      <c r="M4126" s="73" t="s">
        <v>3925</v>
      </c>
      <c r="N4126" s="99">
        <f t="shared" si="94"/>
        <v>205.08</v>
      </c>
    </row>
    <row r="4127" spans="1:14">
      <c r="A4127" s="12">
        <v>4126</v>
      </c>
      <c r="B4127" s="71" t="s">
        <v>557</v>
      </c>
      <c r="C4127" s="42" t="s">
        <v>558</v>
      </c>
      <c r="D4127" s="71" t="s">
        <v>5836</v>
      </c>
      <c r="E4127" s="72" t="s">
        <v>888</v>
      </c>
      <c r="F4127" s="72">
        <v>786.59</v>
      </c>
      <c r="G4127" s="73" t="s">
        <v>64</v>
      </c>
      <c r="H4127" s="89" t="s">
        <v>847</v>
      </c>
      <c r="I4127" s="72">
        <v>0</v>
      </c>
      <c r="J4127" s="72">
        <v>0</v>
      </c>
      <c r="K4127" s="72">
        <v>119.99</v>
      </c>
      <c r="L4127" s="97">
        <v>0</v>
      </c>
      <c r="M4127" s="73" t="s">
        <v>3925</v>
      </c>
      <c r="N4127" s="99">
        <f t="shared" si="94"/>
        <v>119.99</v>
      </c>
    </row>
    <row r="4128" spans="1:14">
      <c r="A4128" s="12">
        <v>4127</v>
      </c>
      <c r="B4128" s="71" t="s">
        <v>557</v>
      </c>
      <c r="C4128" s="42" t="s">
        <v>558</v>
      </c>
      <c r="D4128" s="71" t="s">
        <v>5837</v>
      </c>
      <c r="E4128" s="72" t="s">
        <v>893</v>
      </c>
      <c r="F4128" s="72">
        <v>486.5</v>
      </c>
      <c r="G4128" s="73" t="s">
        <v>64</v>
      </c>
      <c r="H4128" s="89" t="s">
        <v>847</v>
      </c>
      <c r="I4128" s="72">
        <v>0</v>
      </c>
      <c r="J4128" s="72">
        <v>0</v>
      </c>
      <c r="K4128" s="72">
        <v>74.209999999999994</v>
      </c>
      <c r="L4128" s="97">
        <v>0</v>
      </c>
      <c r="M4128" s="73" t="s">
        <v>3925</v>
      </c>
      <c r="N4128" s="99">
        <f t="shared" si="94"/>
        <v>74.209999999999994</v>
      </c>
    </row>
    <row r="4129" spans="1:14">
      <c r="A4129" s="12">
        <v>4128</v>
      </c>
      <c r="B4129" s="71" t="s">
        <v>5838</v>
      </c>
      <c r="C4129" s="42" t="s">
        <v>5839</v>
      </c>
      <c r="D4129" s="71" t="s">
        <v>5840</v>
      </c>
      <c r="E4129" s="72" t="s">
        <v>5841</v>
      </c>
      <c r="F4129" s="72">
        <v>264</v>
      </c>
      <c r="G4129" s="74" t="s">
        <v>24</v>
      </c>
      <c r="H4129" s="74">
        <v>4202</v>
      </c>
      <c r="I4129" s="72">
        <v>0</v>
      </c>
      <c r="J4129" s="72">
        <v>0</v>
      </c>
      <c r="K4129" s="72">
        <v>40.270000000000003</v>
      </c>
      <c r="L4129" s="97">
        <v>0</v>
      </c>
      <c r="M4129" s="73" t="s">
        <v>3925</v>
      </c>
      <c r="N4129" s="99">
        <f t="shared" si="94"/>
        <v>40.270000000000003</v>
      </c>
    </row>
    <row r="4130" spans="1:14">
      <c r="A4130" s="12">
        <v>4129</v>
      </c>
      <c r="B4130" s="71" t="s">
        <v>5088</v>
      </c>
      <c r="C4130" s="42" t="s">
        <v>5570</v>
      </c>
      <c r="D4130" s="71" t="s">
        <v>5842</v>
      </c>
      <c r="E4130" s="72" t="s">
        <v>876</v>
      </c>
      <c r="F4130" s="72">
        <v>934.91</v>
      </c>
      <c r="G4130" s="73" t="s">
        <v>64</v>
      </c>
      <c r="H4130" s="74">
        <v>997119</v>
      </c>
      <c r="I4130" s="72">
        <v>0</v>
      </c>
      <c r="J4130" s="72">
        <v>0</v>
      </c>
      <c r="K4130" s="72">
        <v>142.61000000000001</v>
      </c>
      <c r="L4130" s="97">
        <v>0</v>
      </c>
      <c r="M4130" s="73" t="s">
        <v>3925</v>
      </c>
      <c r="N4130" s="99">
        <f t="shared" si="94"/>
        <v>142.61000000000001</v>
      </c>
    </row>
    <row r="4131" spans="1:14">
      <c r="A4131" s="12">
        <v>4130</v>
      </c>
      <c r="B4131" s="71" t="s">
        <v>4899</v>
      </c>
      <c r="C4131" s="42" t="s">
        <v>4900</v>
      </c>
      <c r="D4131" s="71" t="s">
        <v>5843</v>
      </c>
      <c r="E4131" s="72" t="s">
        <v>5844</v>
      </c>
      <c r="F4131" s="72">
        <v>125</v>
      </c>
      <c r="G4131" s="73" t="s">
        <v>64</v>
      </c>
      <c r="H4131" s="74">
        <v>9967</v>
      </c>
      <c r="I4131" s="72">
        <v>3.13</v>
      </c>
      <c r="J4131" s="72">
        <v>3.13</v>
      </c>
      <c r="K4131" s="72">
        <v>0</v>
      </c>
      <c r="L4131" s="97">
        <v>0</v>
      </c>
      <c r="M4131" s="74" t="s">
        <v>157</v>
      </c>
      <c r="N4131" s="99">
        <f t="shared" si="94"/>
        <v>0</v>
      </c>
    </row>
    <row r="4132" spans="1:14">
      <c r="A4132" s="12">
        <v>4131</v>
      </c>
      <c r="B4132" s="71" t="s">
        <v>4899</v>
      </c>
      <c r="C4132" s="42" t="s">
        <v>4900</v>
      </c>
      <c r="D4132" s="71" t="s">
        <v>5845</v>
      </c>
      <c r="E4132" s="72" t="s">
        <v>5844</v>
      </c>
      <c r="F4132" s="72">
        <v>86</v>
      </c>
      <c r="G4132" s="73" t="s">
        <v>64</v>
      </c>
      <c r="H4132" s="74">
        <v>9967</v>
      </c>
      <c r="I4132" s="72">
        <v>2.15</v>
      </c>
      <c r="J4132" s="72">
        <v>2.15</v>
      </c>
      <c r="K4132" s="72">
        <v>0</v>
      </c>
      <c r="L4132" s="97">
        <v>0</v>
      </c>
      <c r="M4132" s="74" t="s">
        <v>157</v>
      </c>
      <c r="N4132" s="99">
        <f t="shared" si="94"/>
        <v>0</v>
      </c>
    </row>
    <row r="4133" spans="1:14">
      <c r="A4133" s="12">
        <v>4132</v>
      </c>
      <c r="B4133" s="71" t="s">
        <v>4899</v>
      </c>
      <c r="C4133" s="42" t="s">
        <v>4900</v>
      </c>
      <c r="D4133" s="71" t="s">
        <v>5846</v>
      </c>
      <c r="E4133" s="72" t="s">
        <v>5844</v>
      </c>
      <c r="F4133" s="72">
        <v>116</v>
      </c>
      <c r="G4133" s="73" t="s">
        <v>64</v>
      </c>
      <c r="H4133" s="74">
        <v>9967</v>
      </c>
      <c r="I4133" s="72">
        <v>2.9</v>
      </c>
      <c r="J4133" s="72">
        <v>2.9</v>
      </c>
      <c r="K4133" s="72">
        <v>0</v>
      </c>
      <c r="L4133" s="97">
        <v>0</v>
      </c>
      <c r="M4133" s="74" t="s">
        <v>157</v>
      </c>
      <c r="N4133" s="99">
        <f t="shared" si="94"/>
        <v>0</v>
      </c>
    </row>
    <row r="4134" spans="1:14">
      <c r="A4134" s="12">
        <v>4133</v>
      </c>
      <c r="B4134" s="71" t="s">
        <v>5094</v>
      </c>
      <c r="C4134" s="42" t="s">
        <v>5095</v>
      </c>
      <c r="D4134" s="71" t="s">
        <v>5847</v>
      </c>
      <c r="E4134" s="72" t="s">
        <v>5848</v>
      </c>
      <c r="F4134" s="72">
        <v>28320</v>
      </c>
      <c r="G4134" s="73" t="s">
        <v>182</v>
      </c>
      <c r="H4134" s="73">
        <v>9403</v>
      </c>
      <c r="I4134" s="72">
        <v>0</v>
      </c>
      <c r="J4134" s="72">
        <v>0</v>
      </c>
      <c r="K4134" s="72">
        <v>4320</v>
      </c>
      <c r="L4134" s="97">
        <v>0</v>
      </c>
      <c r="M4134" s="73" t="s">
        <v>3925</v>
      </c>
      <c r="N4134" s="99">
        <f t="shared" si="94"/>
        <v>4320</v>
      </c>
    </row>
    <row r="4135" spans="1:14">
      <c r="A4135" s="12">
        <v>4134</v>
      </c>
      <c r="B4135" s="71" t="s">
        <v>5094</v>
      </c>
      <c r="C4135" s="42" t="s">
        <v>5095</v>
      </c>
      <c r="D4135" s="71" t="s">
        <v>5849</v>
      </c>
      <c r="E4135" s="72" t="s">
        <v>5850</v>
      </c>
      <c r="F4135" s="72">
        <v>15120</v>
      </c>
      <c r="G4135" s="73" t="s">
        <v>182</v>
      </c>
      <c r="H4135" s="73">
        <v>9403</v>
      </c>
      <c r="I4135" s="72">
        <v>0</v>
      </c>
      <c r="J4135" s="72">
        <v>0</v>
      </c>
      <c r="K4135" s="72">
        <v>1620</v>
      </c>
      <c r="L4135" s="97">
        <v>0</v>
      </c>
      <c r="M4135" s="73" t="s">
        <v>3925</v>
      </c>
      <c r="N4135" s="99">
        <f t="shared" si="94"/>
        <v>1620</v>
      </c>
    </row>
    <row r="4136" spans="1:14">
      <c r="A4136" s="12">
        <v>4135</v>
      </c>
      <c r="B4136" s="71" t="s">
        <v>5094</v>
      </c>
      <c r="C4136" s="42" t="s">
        <v>5095</v>
      </c>
      <c r="D4136" s="71" t="s">
        <v>5851</v>
      </c>
      <c r="E4136" s="72" t="s">
        <v>5852</v>
      </c>
      <c r="F4136" s="72">
        <v>20160</v>
      </c>
      <c r="G4136" s="73" t="s">
        <v>182</v>
      </c>
      <c r="H4136" s="73">
        <v>9403</v>
      </c>
      <c r="I4136" s="72">
        <v>0</v>
      </c>
      <c r="J4136" s="72">
        <v>0</v>
      </c>
      <c r="K4136" s="72">
        <v>2160</v>
      </c>
      <c r="L4136" s="97">
        <v>0</v>
      </c>
      <c r="M4136" s="73" t="s">
        <v>3925</v>
      </c>
      <c r="N4136" s="99">
        <f t="shared" si="94"/>
        <v>2160</v>
      </c>
    </row>
    <row r="4137" spans="1:14">
      <c r="A4137" s="12">
        <v>4136</v>
      </c>
      <c r="B4137" s="71" t="s">
        <v>5094</v>
      </c>
      <c r="C4137" s="42" t="s">
        <v>5095</v>
      </c>
      <c r="D4137" s="71" t="s">
        <v>5853</v>
      </c>
      <c r="E4137" s="72" t="s">
        <v>910</v>
      </c>
      <c r="F4137" s="72">
        <v>32450</v>
      </c>
      <c r="G4137" s="73" t="s">
        <v>182</v>
      </c>
      <c r="H4137" s="73">
        <v>9403</v>
      </c>
      <c r="I4137" s="72">
        <v>0</v>
      </c>
      <c r="J4137" s="72">
        <v>0</v>
      </c>
      <c r="K4137" s="72">
        <v>4950</v>
      </c>
      <c r="L4137" s="97">
        <v>0</v>
      </c>
      <c r="M4137" s="73" t="s">
        <v>3925</v>
      </c>
      <c r="N4137" s="99">
        <f t="shared" si="94"/>
        <v>4950</v>
      </c>
    </row>
    <row r="4138" spans="1:14">
      <c r="A4138" s="12">
        <v>4137</v>
      </c>
      <c r="B4138" s="71" t="s">
        <v>3936</v>
      </c>
      <c r="C4138" s="42" t="s">
        <v>3937</v>
      </c>
      <c r="D4138" s="71" t="s">
        <v>5854</v>
      </c>
      <c r="E4138" s="72" t="s">
        <v>5781</v>
      </c>
      <c r="F4138" s="72">
        <v>5.9</v>
      </c>
      <c r="G4138" s="73" t="s">
        <v>64</v>
      </c>
      <c r="H4138" s="73">
        <v>9971</v>
      </c>
      <c r="I4138" s="72">
        <v>0.45</v>
      </c>
      <c r="J4138" s="72">
        <v>0.45</v>
      </c>
      <c r="K4138" s="72">
        <v>0</v>
      </c>
      <c r="L4138" s="97">
        <v>0</v>
      </c>
      <c r="M4138" s="73" t="s">
        <v>3925</v>
      </c>
      <c r="N4138" s="99">
        <f t="shared" si="94"/>
        <v>0.9</v>
      </c>
    </row>
    <row r="4139" spans="1:14">
      <c r="A4139" s="12">
        <v>4138</v>
      </c>
      <c r="B4139" s="71" t="s">
        <v>3936</v>
      </c>
      <c r="C4139" s="42" t="s">
        <v>3937</v>
      </c>
      <c r="D4139" s="71" t="s">
        <v>5855</v>
      </c>
      <c r="E4139" s="72" t="s">
        <v>179</v>
      </c>
      <c r="F4139" s="72">
        <v>2.95</v>
      </c>
      <c r="G4139" s="73" t="s">
        <v>64</v>
      </c>
      <c r="H4139" s="73">
        <v>9971</v>
      </c>
      <c r="I4139" s="72">
        <v>0.23</v>
      </c>
      <c r="J4139" s="72">
        <v>0.23</v>
      </c>
      <c r="K4139" s="72">
        <v>0</v>
      </c>
      <c r="L4139" s="97">
        <v>0</v>
      </c>
      <c r="M4139" s="73" t="s">
        <v>3925</v>
      </c>
      <c r="N4139" s="99">
        <f t="shared" si="94"/>
        <v>0.46</v>
      </c>
    </row>
    <row r="4140" spans="1:14">
      <c r="A4140" s="12">
        <v>4139</v>
      </c>
      <c r="B4140" s="71" t="s">
        <v>3936</v>
      </c>
      <c r="C4140" s="42" t="s">
        <v>3937</v>
      </c>
      <c r="D4140" s="71" t="s">
        <v>5856</v>
      </c>
      <c r="E4140" s="72" t="s">
        <v>5857</v>
      </c>
      <c r="F4140" s="72">
        <v>177</v>
      </c>
      <c r="G4140" s="73" t="s">
        <v>64</v>
      </c>
      <c r="H4140" s="73">
        <v>9971</v>
      </c>
      <c r="I4140" s="72">
        <v>13.5</v>
      </c>
      <c r="J4140" s="72">
        <v>13.5</v>
      </c>
      <c r="K4140" s="72">
        <v>0</v>
      </c>
      <c r="L4140" s="97">
        <v>0</v>
      </c>
      <c r="M4140" s="73" t="s">
        <v>3925</v>
      </c>
      <c r="N4140" s="99">
        <f t="shared" ref="N4140:N4203" si="95">IF(M4140="YES", I4140+J4140+K4140, 0)</f>
        <v>27</v>
      </c>
    </row>
    <row r="4141" spans="1:14">
      <c r="A4141" s="12">
        <v>4140</v>
      </c>
      <c r="B4141" s="71" t="s">
        <v>557</v>
      </c>
      <c r="C4141" s="42" t="s">
        <v>558</v>
      </c>
      <c r="D4141" s="71" t="s">
        <v>5858</v>
      </c>
      <c r="E4141" s="72" t="s">
        <v>897</v>
      </c>
      <c r="F4141" s="72">
        <v>1227.48</v>
      </c>
      <c r="G4141" s="73" t="s">
        <v>64</v>
      </c>
      <c r="H4141" s="89" t="s">
        <v>847</v>
      </c>
      <c r="I4141" s="72">
        <v>0</v>
      </c>
      <c r="J4141" s="72">
        <v>0</v>
      </c>
      <c r="K4141" s="72">
        <v>187.24</v>
      </c>
      <c r="L4141" s="97">
        <v>0</v>
      </c>
      <c r="M4141" s="73" t="s">
        <v>3925</v>
      </c>
      <c r="N4141" s="99">
        <f t="shared" si="95"/>
        <v>187.24</v>
      </c>
    </row>
    <row r="4142" spans="1:14">
      <c r="A4142" s="12">
        <v>4141</v>
      </c>
      <c r="B4142" s="71" t="s">
        <v>557</v>
      </c>
      <c r="C4142" s="42" t="s">
        <v>558</v>
      </c>
      <c r="D4142" s="71" t="s">
        <v>5859</v>
      </c>
      <c r="E4142" s="72" t="s">
        <v>5860</v>
      </c>
      <c r="F4142" s="72">
        <v>1351.51</v>
      </c>
      <c r="G4142" s="73" t="s">
        <v>64</v>
      </c>
      <c r="H4142" s="89" t="s">
        <v>847</v>
      </c>
      <c r="I4142" s="72">
        <v>0</v>
      </c>
      <c r="J4142" s="72">
        <v>0</v>
      </c>
      <c r="K4142" s="72">
        <v>206.16</v>
      </c>
      <c r="L4142" s="97">
        <v>0</v>
      </c>
      <c r="M4142" s="73" t="s">
        <v>3925</v>
      </c>
      <c r="N4142" s="99">
        <f t="shared" si="95"/>
        <v>206.16</v>
      </c>
    </row>
    <row r="4143" spans="1:14">
      <c r="A4143" s="12">
        <v>4142</v>
      </c>
      <c r="B4143" s="71" t="s">
        <v>557</v>
      </c>
      <c r="C4143" s="42" t="s">
        <v>558</v>
      </c>
      <c r="D4143" s="71" t="s">
        <v>5861</v>
      </c>
      <c r="E4143" s="72" t="s">
        <v>5799</v>
      </c>
      <c r="F4143" s="72">
        <v>1368.32</v>
      </c>
      <c r="G4143" s="73" t="s">
        <v>64</v>
      </c>
      <c r="H4143" s="89" t="s">
        <v>847</v>
      </c>
      <c r="I4143" s="72">
        <v>0</v>
      </c>
      <c r="J4143" s="72">
        <v>0</v>
      </c>
      <c r="K4143" s="72">
        <v>208.73</v>
      </c>
      <c r="L4143" s="97">
        <v>0</v>
      </c>
      <c r="M4143" s="73" t="s">
        <v>3925</v>
      </c>
      <c r="N4143" s="99">
        <f t="shared" si="95"/>
        <v>208.73</v>
      </c>
    </row>
    <row r="4144" spans="1:14">
      <c r="A4144" s="12">
        <v>4143</v>
      </c>
      <c r="B4144" s="71" t="s">
        <v>557</v>
      </c>
      <c r="C4144" s="42" t="s">
        <v>558</v>
      </c>
      <c r="D4144" s="71" t="s">
        <v>5862</v>
      </c>
      <c r="E4144" s="72" t="s">
        <v>179</v>
      </c>
      <c r="F4144" s="72">
        <v>1052.69</v>
      </c>
      <c r="G4144" s="73" t="s">
        <v>64</v>
      </c>
      <c r="H4144" s="89" t="s">
        <v>847</v>
      </c>
      <c r="I4144" s="72">
        <v>0</v>
      </c>
      <c r="J4144" s="72">
        <v>0</v>
      </c>
      <c r="K4144" s="72">
        <v>160.58000000000001</v>
      </c>
      <c r="L4144" s="97">
        <v>0</v>
      </c>
      <c r="M4144" s="73" t="s">
        <v>3925</v>
      </c>
      <c r="N4144" s="99">
        <f t="shared" si="95"/>
        <v>160.58000000000001</v>
      </c>
    </row>
    <row r="4145" spans="1:14">
      <c r="A4145" s="12">
        <v>4144</v>
      </c>
      <c r="B4145" s="71" t="s">
        <v>557</v>
      </c>
      <c r="C4145" s="42" t="s">
        <v>558</v>
      </c>
      <c r="D4145" s="71" t="s">
        <v>5863</v>
      </c>
      <c r="E4145" s="72" t="s">
        <v>5864</v>
      </c>
      <c r="F4145" s="72">
        <v>669.37</v>
      </c>
      <c r="G4145" s="73" t="s">
        <v>64</v>
      </c>
      <c r="H4145" s="89" t="s">
        <v>847</v>
      </c>
      <c r="I4145" s="72">
        <v>0</v>
      </c>
      <c r="J4145" s="72">
        <v>0</v>
      </c>
      <c r="K4145" s="72">
        <v>102.11</v>
      </c>
      <c r="L4145" s="97">
        <v>0</v>
      </c>
      <c r="M4145" s="73" t="s">
        <v>3925</v>
      </c>
      <c r="N4145" s="99">
        <f t="shared" si="95"/>
        <v>102.11</v>
      </c>
    </row>
    <row r="4146" spans="1:14">
      <c r="A4146" s="12">
        <v>4145</v>
      </c>
      <c r="B4146" s="71" t="s">
        <v>557</v>
      </c>
      <c r="C4146" s="42" t="s">
        <v>558</v>
      </c>
      <c r="D4146" s="71" t="s">
        <v>5865</v>
      </c>
      <c r="E4146" s="72" t="s">
        <v>175</v>
      </c>
      <c r="F4146" s="72">
        <v>1193.1300000000001</v>
      </c>
      <c r="G4146" s="73" t="s">
        <v>64</v>
      </c>
      <c r="H4146" s="89" t="s">
        <v>847</v>
      </c>
      <c r="I4146" s="72">
        <v>0</v>
      </c>
      <c r="J4146" s="72">
        <v>0</v>
      </c>
      <c r="K4146" s="72">
        <v>182</v>
      </c>
      <c r="L4146" s="97">
        <v>0</v>
      </c>
      <c r="M4146" s="73" t="s">
        <v>3925</v>
      </c>
      <c r="N4146" s="99">
        <f t="shared" si="95"/>
        <v>182</v>
      </c>
    </row>
    <row r="4147" spans="1:14">
      <c r="A4147" s="12">
        <v>4146</v>
      </c>
      <c r="B4147" s="71" t="s">
        <v>557</v>
      </c>
      <c r="C4147" s="42" t="s">
        <v>558</v>
      </c>
      <c r="D4147" s="71" t="s">
        <v>5866</v>
      </c>
      <c r="E4147" s="72" t="s">
        <v>899</v>
      </c>
      <c r="F4147" s="72">
        <v>1274.3499999999999</v>
      </c>
      <c r="G4147" s="73" t="s">
        <v>64</v>
      </c>
      <c r="H4147" s="89" t="s">
        <v>847</v>
      </c>
      <c r="I4147" s="72">
        <v>0</v>
      </c>
      <c r="J4147" s="72">
        <v>0</v>
      </c>
      <c r="K4147" s="72">
        <v>194.39</v>
      </c>
      <c r="L4147" s="97">
        <v>0</v>
      </c>
      <c r="M4147" s="73" t="s">
        <v>3925</v>
      </c>
      <c r="N4147" s="99">
        <f t="shared" si="95"/>
        <v>194.39</v>
      </c>
    </row>
    <row r="4148" spans="1:14">
      <c r="A4148" s="12">
        <v>4147</v>
      </c>
      <c r="B4148" s="71" t="s">
        <v>557</v>
      </c>
      <c r="C4148" s="42" t="s">
        <v>558</v>
      </c>
      <c r="D4148" s="71" t="s">
        <v>5867</v>
      </c>
      <c r="E4148" s="72" t="s">
        <v>5815</v>
      </c>
      <c r="F4148" s="72">
        <v>1159.49</v>
      </c>
      <c r="G4148" s="73" t="s">
        <v>64</v>
      </c>
      <c r="H4148" s="89" t="s">
        <v>847</v>
      </c>
      <c r="I4148" s="72">
        <v>0</v>
      </c>
      <c r="J4148" s="72">
        <v>0</v>
      </c>
      <c r="K4148" s="72">
        <v>176.87</v>
      </c>
      <c r="L4148" s="97">
        <v>0</v>
      </c>
      <c r="M4148" s="73" t="s">
        <v>3925</v>
      </c>
      <c r="N4148" s="99">
        <f t="shared" si="95"/>
        <v>176.87</v>
      </c>
    </row>
    <row r="4149" spans="1:14">
      <c r="A4149" s="12">
        <v>4148</v>
      </c>
      <c r="B4149" s="71" t="s">
        <v>557</v>
      </c>
      <c r="C4149" s="42" t="s">
        <v>558</v>
      </c>
      <c r="D4149" s="71" t="s">
        <v>5868</v>
      </c>
      <c r="E4149" s="72" t="s">
        <v>5801</v>
      </c>
      <c r="F4149" s="72">
        <v>703.66</v>
      </c>
      <c r="G4149" s="73" t="s">
        <v>64</v>
      </c>
      <c r="H4149" s="89" t="s">
        <v>847</v>
      </c>
      <c r="I4149" s="72">
        <v>0</v>
      </c>
      <c r="J4149" s="72">
        <v>0</v>
      </c>
      <c r="K4149" s="72">
        <v>107.34</v>
      </c>
      <c r="L4149" s="97">
        <v>0</v>
      </c>
      <c r="M4149" s="73" t="s">
        <v>3925</v>
      </c>
      <c r="N4149" s="99">
        <f t="shared" si="95"/>
        <v>107.34</v>
      </c>
    </row>
    <row r="4150" spans="1:14">
      <c r="A4150" s="12">
        <v>4149</v>
      </c>
      <c r="B4150" s="71" t="s">
        <v>557</v>
      </c>
      <c r="C4150" s="42" t="s">
        <v>558</v>
      </c>
      <c r="D4150" s="71" t="s">
        <v>5869</v>
      </c>
      <c r="E4150" s="72" t="s">
        <v>5870</v>
      </c>
      <c r="F4150" s="72">
        <v>0.01</v>
      </c>
      <c r="G4150" s="73" t="s">
        <v>64</v>
      </c>
      <c r="H4150" s="89" t="s">
        <v>847</v>
      </c>
      <c r="I4150" s="72">
        <v>0</v>
      </c>
      <c r="J4150" s="72">
        <v>0</v>
      </c>
      <c r="K4150" s="72">
        <v>0</v>
      </c>
      <c r="L4150" s="97">
        <v>0</v>
      </c>
      <c r="M4150" s="73" t="s">
        <v>3925</v>
      </c>
      <c r="N4150" s="99">
        <f t="shared" si="95"/>
        <v>0</v>
      </c>
    </row>
    <row r="4151" spans="1:14">
      <c r="A4151" s="12">
        <v>4150</v>
      </c>
      <c r="B4151" s="71" t="s">
        <v>557</v>
      </c>
      <c r="C4151" s="42" t="s">
        <v>558</v>
      </c>
      <c r="D4151" s="71" t="s">
        <v>5871</v>
      </c>
      <c r="E4151" s="72" t="s">
        <v>5803</v>
      </c>
      <c r="F4151" s="72">
        <v>1941.34</v>
      </c>
      <c r="G4151" s="73" t="s">
        <v>64</v>
      </c>
      <c r="H4151" s="89" t="s">
        <v>847</v>
      </c>
      <c r="I4151" s="72">
        <v>0</v>
      </c>
      <c r="J4151" s="72">
        <v>0</v>
      </c>
      <c r="K4151" s="72">
        <v>296.14</v>
      </c>
      <c r="L4151" s="97">
        <v>0</v>
      </c>
      <c r="M4151" s="73" t="s">
        <v>3925</v>
      </c>
      <c r="N4151" s="99">
        <f t="shared" si="95"/>
        <v>296.14</v>
      </c>
    </row>
    <row r="4152" spans="1:14">
      <c r="A4152" s="12">
        <v>4151</v>
      </c>
      <c r="B4152" s="71" t="s">
        <v>557</v>
      </c>
      <c r="C4152" s="42" t="s">
        <v>558</v>
      </c>
      <c r="D4152" s="71" t="s">
        <v>5872</v>
      </c>
      <c r="E4152" s="72" t="s">
        <v>5873</v>
      </c>
      <c r="F4152" s="72">
        <v>2370.41</v>
      </c>
      <c r="G4152" s="73" t="s">
        <v>64</v>
      </c>
      <c r="H4152" s="89" t="s">
        <v>847</v>
      </c>
      <c r="I4152" s="72">
        <v>0</v>
      </c>
      <c r="J4152" s="72">
        <v>0</v>
      </c>
      <c r="K4152" s="72">
        <v>361.59</v>
      </c>
      <c r="L4152" s="97">
        <v>0</v>
      </c>
      <c r="M4152" s="73" t="s">
        <v>3925</v>
      </c>
      <c r="N4152" s="99">
        <f t="shared" si="95"/>
        <v>361.59</v>
      </c>
    </row>
    <row r="4153" spans="1:14">
      <c r="A4153" s="12">
        <v>4152</v>
      </c>
      <c r="B4153" s="71" t="s">
        <v>557</v>
      </c>
      <c r="C4153" s="42" t="s">
        <v>558</v>
      </c>
      <c r="D4153" s="71" t="s">
        <v>5874</v>
      </c>
      <c r="E4153" s="72" t="s">
        <v>122</v>
      </c>
      <c r="F4153" s="72">
        <v>688.24</v>
      </c>
      <c r="G4153" s="73" t="s">
        <v>64</v>
      </c>
      <c r="H4153" s="89" t="s">
        <v>847</v>
      </c>
      <c r="I4153" s="72">
        <v>0</v>
      </c>
      <c r="J4153" s="72">
        <v>0</v>
      </c>
      <c r="K4153" s="72">
        <v>104.99</v>
      </c>
      <c r="L4153" s="97">
        <v>0</v>
      </c>
      <c r="M4153" s="73" t="s">
        <v>3925</v>
      </c>
      <c r="N4153" s="99">
        <f t="shared" si="95"/>
        <v>104.99</v>
      </c>
    </row>
    <row r="4154" spans="1:14">
      <c r="A4154" s="12">
        <v>4153</v>
      </c>
      <c r="B4154" s="71" t="s">
        <v>1166</v>
      </c>
      <c r="C4154" s="42" t="s">
        <v>1167</v>
      </c>
      <c r="D4154" s="71" t="s">
        <v>5875</v>
      </c>
      <c r="E4154" s="72" t="s">
        <v>884</v>
      </c>
      <c r="F4154" s="72">
        <v>1504.21</v>
      </c>
      <c r="G4154" s="73" t="s">
        <v>64</v>
      </c>
      <c r="H4154" s="74">
        <v>9971</v>
      </c>
      <c r="I4154" s="72">
        <v>114.73</v>
      </c>
      <c r="J4154" s="72">
        <v>114.73</v>
      </c>
      <c r="K4154" s="72">
        <v>0</v>
      </c>
      <c r="L4154" s="97">
        <v>0</v>
      </c>
      <c r="M4154" s="73" t="s">
        <v>3925</v>
      </c>
      <c r="N4154" s="99">
        <f t="shared" si="95"/>
        <v>229.46</v>
      </c>
    </row>
    <row r="4155" spans="1:14">
      <c r="A4155" s="12">
        <v>4154</v>
      </c>
      <c r="B4155" s="71" t="s">
        <v>5094</v>
      </c>
      <c r="C4155" s="42" t="s">
        <v>5095</v>
      </c>
      <c r="D4155" s="71" t="s">
        <v>5876</v>
      </c>
      <c r="E4155" s="72" t="s">
        <v>5877</v>
      </c>
      <c r="F4155" s="72">
        <v>20160</v>
      </c>
      <c r="G4155" s="73" t="s">
        <v>182</v>
      </c>
      <c r="H4155" s="73">
        <v>9403</v>
      </c>
      <c r="I4155" s="72">
        <v>0</v>
      </c>
      <c r="J4155" s="72">
        <v>0</v>
      </c>
      <c r="K4155" s="72">
        <v>2160</v>
      </c>
      <c r="L4155" s="97">
        <v>0</v>
      </c>
      <c r="M4155" s="73" t="s">
        <v>3925</v>
      </c>
      <c r="N4155" s="99">
        <f t="shared" si="95"/>
        <v>2160</v>
      </c>
    </row>
    <row r="4156" spans="1:14">
      <c r="A4156" s="12">
        <v>4155</v>
      </c>
      <c r="B4156" s="71" t="s">
        <v>5094</v>
      </c>
      <c r="C4156" s="42" t="s">
        <v>5095</v>
      </c>
      <c r="D4156" s="71" t="s">
        <v>5878</v>
      </c>
      <c r="E4156" s="72" t="s">
        <v>5879</v>
      </c>
      <c r="F4156" s="72">
        <v>26880</v>
      </c>
      <c r="G4156" s="73" t="s">
        <v>182</v>
      </c>
      <c r="H4156" s="73">
        <v>9403</v>
      </c>
      <c r="I4156" s="72">
        <v>0</v>
      </c>
      <c r="J4156" s="72">
        <v>0</v>
      </c>
      <c r="K4156" s="72">
        <v>2880</v>
      </c>
      <c r="L4156" s="97">
        <v>0</v>
      </c>
      <c r="M4156" s="73" t="s">
        <v>3925</v>
      </c>
      <c r="N4156" s="99">
        <f t="shared" si="95"/>
        <v>2880</v>
      </c>
    </row>
    <row r="4157" spans="1:14">
      <c r="A4157" s="12">
        <v>4156</v>
      </c>
      <c r="B4157" s="71" t="s">
        <v>5094</v>
      </c>
      <c r="C4157" s="42" t="s">
        <v>5095</v>
      </c>
      <c r="D4157" s="71" t="s">
        <v>5880</v>
      </c>
      <c r="E4157" s="72" t="s">
        <v>175</v>
      </c>
      <c r="F4157" s="72">
        <v>13440</v>
      </c>
      <c r="G4157" s="73" t="s">
        <v>182</v>
      </c>
      <c r="H4157" s="73">
        <v>9403</v>
      </c>
      <c r="I4157" s="72">
        <v>0</v>
      </c>
      <c r="J4157" s="72">
        <v>0</v>
      </c>
      <c r="K4157" s="72">
        <v>1440</v>
      </c>
      <c r="L4157" s="97">
        <v>0</v>
      </c>
      <c r="M4157" s="73" t="s">
        <v>3925</v>
      </c>
      <c r="N4157" s="99">
        <f t="shared" si="95"/>
        <v>1440</v>
      </c>
    </row>
    <row r="4158" spans="1:14">
      <c r="A4158" s="12">
        <v>4157</v>
      </c>
      <c r="B4158" s="71" t="s">
        <v>5094</v>
      </c>
      <c r="C4158" s="42" t="s">
        <v>5095</v>
      </c>
      <c r="D4158" s="71" t="s">
        <v>5881</v>
      </c>
      <c r="E4158" s="72" t="s">
        <v>5815</v>
      </c>
      <c r="F4158" s="72">
        <v>38640</v>
      </c>
      <c r="G4158" s="73" t="s">
        <v>182</v>
      </c>
      <c r="H4158" s="73">
        <v>9403</v>
      </c>
      <c r="I4158" s="72">
        <v>0</v>
      </c>
      <c r="J4158" s="72">
        <v>0</v>
      </c>
      <c r="K4158" s="72">
        <v>4140</v>
      </c>
      <c r="L4158" s="97">
        <v>0</v>
      </c>
      <c r="M4158" s="73" t="s">
        <v>3925</v>
      </c>
      <c r="N4158" s="99">
        <f t="shared" si="95"/>
        <v>4140</v>
      </c>
    </row>
    <row r="4159" spans="1:14">
      <c r="A4159" s="12">
        <v>4158</v>
      </c>
      <c r="B4159" s="71" t="s">
        <v>5094</v>
      </c>
      <c r="C4159" s="42" t="s">
        <v>5095</v>
      </c>
      <c r="D4159" s="71" t="s">
        <v>5882</v>
      </c>
      <c r="E4159" s="72" t="s">
        <v>5870</v>
      </c>
      <c r="F4159" s="72">
        <v>477120</v>
      </c>
      <c r="G4159" s="73" t="s">
        <v>182</v>
      </c>
      <c r="H4159" s="73">
        <v>9403</v>
      </c>
      <c r="I4159" s="72">
        <v>0</v>
      </c>
      <c r="J4159" s="72">
        <v>0</v>
      </c>
      <c r="K4159" s="72">
        <v>51120</v>
      </c>
      <c r="L4159" s="97">
        <v>0</v>
      </c>
      <c r="M4159" s="73" t="s">
        <v>3925</v>
      </c>
      <c r="N4159" s="99">
        <f t="shared" si="95"/>
        <v>51120</v>
      </c>
    </row>
    <row r="4160" spans="1:14">
      <c r="A4160" s="12">
        <v>4159</v>
      </c>
      <c r="B4160" s="71" t="s">
        <v>5094</v>
      </c>
      <c r="C4160" s="42" t="s">
        <v>5095</v>
      </c>
      <c r="D4160" s="71" t="s">
        <v>5883</v>
      </c>
      <c r="E4160" s="72" t="s">
        <v>5805</v>
      </c>
      <c r="F4160" s="72">
        <v>54880</v>
      </c>
      <c r="G4160" s="73" t="s">
        <v>182</v>
      </c>
      <c r="H4160" s="73">
        <v>9403</v>
      </c>
      <c r="I4160" s="72">
        <v>0</v>
      </c>
      <c r="J4160" s="72">
        <v>0</v>
      </c>
      <c r="K4160" s="72">
        <v>5880</v>
      </c>
      <c r="L4160" s="97">
        <v>0</v>
      </c>
      <c r="M4160" s="73" t="s">
        <v>3925</v>
      </c>
      <c r="N4160" s="99">
        <f t="shared" si="95"/>
        <v>5880</v>
      </c>
    </row>
    <row r="4161" spans="1:14">
      <c r="A4161" s="12">
        <v>4160</v>
      </c>
      <c r="B4161" s="71" t="s">
        <v>5094</v>
      </c>
      <c r="C4161" s="42" t="s">
        <v>5095</v>
      </c>
      <c r="D4161" s="71" t="s">
        <v>5884</v>
      </c>
      <c r="E4161" s="72" t="s">
        <v>5885</v>
      </c>
      <c r="F4161" s="72">
        <v>31360</v>
      </c>
      <c r="G4161" s="73" t="s">
        <v>182</v>
      </c>
      <c r="H4161" s="73">
        <v>9403</v>
      </c>
      <c r="I4161" s="72">
        <v>0</v>
      </c>
      <c r="J4161" s="72">
        <v>0</v>
      </c>
      <c r="K4161" s="72">
        <v>3360</v>
      </c>
      <c r="L4161" s="97">
        <v>0</v>
      </c>
      <c r="M4161" s="73" t="s">
        <v>3925</v>
      </c>
      <c r="N4161" s="99">
        <f t="shared" si="95"/>
        <v>3360</v>
      </c>
    </row>
    <row r="4162" spans="1:14">
      <c r="A4162" s="12">
        <v>4161</v>
      </c>
      <c r="B4162" s="71" t="s">
        <v>5094</v>
      </c>
      <c r="C4162" s="42" t="s">
        <v>5095</v>
      </c>
      <c r="D4162" s="71" t="s">
        <v>5886</v>
      </c>
      <c r="E4162" s="72" t="s">
        <v>5776</v>
      </c>
      <c r="F4162" s="72">
        <v>34720</v>
      </c>
      <c r="G4162" s="73" t="s">
        <v>182</v>
      </c>
      <c r="H4162" s="73">
        <v>9403</v>
      </c>
      <c r="I4162" s="72">
        <v>0</v>
      </c>
      <c r="J4162" s="72">
        <v>0</v>
      </c>
      <c r="K4162" s="72">
        <v>3720</v>
      </c>
      <c r="L4162" s="97">
        <v>0</v>
      </c>
      <c r="M4162" s="73" t="s">
        <v>3925</v>
      </c>
      <c r="N4162" s="99">
        <f t="shared" si="95"/>
        <v>3720</v>
      </c>
    </row>
    <row r="4163" spans="1:14">
      <c r="A4163" s="12">
        <v>4162</v>
      </c>
      <c r="B4163" s="71" t="s">
        <v>3936</v>
      </c>
      <c r="C4163" s="42" t="s">
        <v>3937</v>
      </c>
      <c r="D4163" s="71" t="s">
        <v>5887</v>
      </c>
      <c r="E4163" s="72" t="s">
        <v>5844</v>
      </c>
      <c r="F4163" s="72">
        <v>177</v>
      </c>
      <c r="G4163" s="73" t="s">
        <v>64</v>
      </c>
      <c r="H4163" s="73">
        <v>9971</v>
      </c>
      <c r="I4163" s="72">
        <v>13.5</v>
      </c>
      <c r="J4163" s="72">
        <v>13.5</v>
      </c>
      <c r="K4163" s="72">
        <v>0</v>
      </c>
      <c r="L4163" s="97">
        <v>0</v>
      </c>
      <c r="M4163" s="73" t="s">
        <v>3925</v>
      </c>
      <c r="N4163" s="99">
        <f t="shared" si="95"/>
        <v>27</v>
      </c>
    </row>
    <row r="4164" spans="1:14">
      <c r="A4164" s="12">
        <v>4163</v>
      </c>
      <c r="B4164" s="71" t="s">
        <v>557</v>
      </c>
      <c r="C4164" s="42" t="s">
        <v>558</v>
      </c>
      <c r="D4164" s="71" t="s">
        <v>5888</v>
      </c>
      <c r="E4164" s="72" t="s">
        <v>184</v>
      </c>
      <c r="F4164" s="72">
        <v>1980.58</v>
      </c>
      <c r="G4164" s="73" t="s">
        <v>64</v>
      </c>
      <c r="H4164" s="89" t="s">
        <v>847</v>
      </c>
      <c r="I4164" s="72">
        <v>0</v>
      </c>
      <c r="J4164" s="72">
        <v>0</v>
      </c>
      <c r="K4164" s="72">
        <v>302.12</v>
      </c>
      <c r="L4164" s="97">
        <v>0</v>
      </c>
      <c r="M4164" s="73" t="s">
        <v>3925</v>
      </c>
      <c r="N4164" s="99">
        <f t="shared" si="95"/>
        <v>302.12</v>
      </c>
    </row>
    <row r="4165" spans="1:14">
      <c r="A4165" s="12">
        <v>4164</v>
      </c>
      <c r="B4165" s="71" t="s">
        <v>557</v>
      </c>
      <c r="C4165" s="42" t="s">
        <v>558</v>
      </c>
      <c r="D4165" s="71" t="s">
        <v>5889</v>
      </c>
      <c r="E4165" s="72" t="s">
        <v>5890</v>
      </c>
      <c r="F4165" s="72">
        <v>1715.41</v>
      </c>
      <c r="G4165" s="73" t="s">
        <v>64</v>
      </c>
      <c r="H4165" s="89" t="s">
        <v>847</v>
      </c>
      <c r="I4165" s="72">
        <v>0</v>
      </c>
      <c r="J4165" s="72">
        <v>0</v>
      </c>
      <c r="K4165" s="72">
        <v>261.67</v>
      </c>
      <c r="L4165" s="97">
        <v>0</v>
      </c>
      <c r="M4165" s="73" t="s">
        <v>3925</v>
      </c>
      <c r="N4165" s="99">
        <f t="shared" si="95"/>
        <v>261.67</v>
      </c>
    </row>
    <row r="4166" spans="1:14">
      <c r="A4166" s="12">
        <v>4165</v>
      </c>
      <c r="B4166" s="71" t="s">
        <v>557</v>
      </c>
      <c r="C4166" s="42" t="s">
        <v>558</v>
      </c>
      <c r="D4166" s="71" t="s">
        <v>5891</v>
      </c>
      <c r="E4166" s="72" t="s">
        <v>193</v>
      </c>
      <c r="F4166" s="72">
        <v>1221.68</v>
      </c>
      <c r="G4166" s="73" t="s">
        <v>64</v>
      </c>
      <c r="H4166" s="89" t="s">
        <v>847</v>
      </c>
      <c r="I4166" s="72">
        <v>0</v>
      </c>
      <c r="J4166" s="72">
        <v>0</v>
      </c>
      <c r="K4166" s="72">
        <v>186.36</v>
      </c>
      <c r="L4166" s="97">
        <v>0</v>
      </c>
      <c r="M4166" s="73" t="s">
        <v>3925</v>
      </c>
      <c r="N4166" s="99">
        <f t="shared" si="95"/>
        <v>186.36</v>
      </c>
    </row>
    <row r="4167" spans="1:14">
      <c r="A4167" s="12">
        <v>4166</v>
      </c>
      <c r="B4167" s="71" t="s">
        <v>557</v>
      </c>
      <c r="C4167" s="42" t="s">
        <v>558</v>
      </c>
      <c r="D4167" s="71" t="s">
        <v>5892</v>
      </c>
      <c r="E4167" s="72" t="s">
        <v>908</v>
      </c>
      <c r="F4167" s="72">
        <v>82.33</v>
      </c>
      <c r="G4167" s="73" t="s">
        <v>64</v>
      </c>
      <c r="H4167" s="89" t="s">
        <v>847</v>
      </c>
      <c r="I4167" s="72">
        <v>0</v>
      </c>
      <c r="J4167" s="72">
        <v>0</v>
      </c>
      <c r="K4167" s="72">
        <v>12.56</v>
      </c>
      <c r="L4167" s="97">
        <v>0</v>
      </c>
      <c r="M4167" s="73" t="s">
        <v>3925</v>
      </c>
      <c r="N4167" s="99">
        <f t="shared" si="95"/>
        <v>12.56</v>
      </c>
    </row>
    <row r="4168" spans="1:14">
      <c r="A4168" s="12">
        <v>4167</v>
      </c>
      <c r="B4168" s="71" t="s">
        <v>557</v>
      </c>
      <c r="C4168" s="42" t="s">
        <v>558</v>
      </c>
      <c r="D4168" s="71" t="s">
        <v>5893</v>
      </c>
      <c r="E4168" s="72" t="s">
        <v>5894</v>
      </c>
      <c r="F4168" s="72">
        <v>1065.67</v>
      </c>
      <c r="G4168" s="73" t="s">
        <v>64</v>
      </c>
      <c r="H4168" s="89" t="s">
        <v>847</v>
      </c>
      <c r="I4168" s="72">
        <v>0</v>
      </c>
      <c r="J4168" s="72">
        <v>0</v>
      </c>
      <c r="K4168" s="72">
        <v>162.56</v>
      </c>
      <c r="L4168" s="97">
        <v>0</v>
      </c>
      <c r="M4168" s="73" t="s">
        <v>3925</v>
      </c>
      <c r="N4168" s="99">
        <f t="shared" si="95"/>
        <v>162.56</v>
      </c>
    </row>
    <row r="4169" spans="1:14">
      <c r="A4169" s="12">
        <v>4168</v>
      </c>
      <c r="B4169" s="71" t="s">
        <v>557</v>
      </c>
      <c r="C4169" s="42" t="s">
        <v>558</v>
      </c>
      <c r="D4169" s="71" t="s">
        <v>5895</v>
      </c>
      <c r="E4169" s="72" t="s">
        <v>910</v>
      </c>
      <c r="F4169" s="72">
        <v>1460.17</v>
      </c>
      <c r="G4169" s="73" t="s">
        <v>64</v>
      </c>
      <c r="H4169" s="89" t="s">
        <v>847</v>
      </c>
      <c r="I4169" s="72">
        <v>0</v>
      </c>
      <c r="J4169" s="72">
        <v>0</v>
      </c>
      <c r="K4169" s="72">
        <v>222.74</v>
      </c>
      <c r="L4169" s="97">
        <v>0</v>
      </c>
      <c r="M4169" s="73" t="s">
        <v>3925</v>
      </c>
      <c r="N4169" s="99">
        <f t="shared" si="95"/>
        <v>222.74</v>
      </c>
    </row>
    <row r="4170" spans="1:14">
      <c r="A4170" s="12">
        <v>4169</v>
      </c>
      <c r="B4170" s="71" t="s">
        <v>557</v>
      </c>
      <c r="C4170" s="42" t="s">
        <v>558</v>
      </c>
      <c r="D4170" s="71" t="s">
        <v>5896</v>
      </c>
      <c r="E4170" s="72" t="s">
        <v>5897</v>
      </c>
      <c r="F4170" s="72">
        <v>1077.6500000000001</v>
      </c>
      <c r="G4170" s="73" t="s">
        <v>64</v>
      </c>
      <c r="H4170" s="89" t="s">
        <v>847</v>
      </c>
      <c r="I4170" s="72">
        <v>0</v>
      </c>
      <c r="J4170" s="72">
        <v>0</v>
      </c>
      <c r="K4170" s="72">
        <v>164.39</v>
      </c>
      <c r="L4170" s="97">
        <v>0</v>
      </c>
      <c r="M4170" s="73" t="s">
        <v>3925</v>
      </c>
      <c r="N4170" s="99">
        <f t="shared" si="95"/>
        <v>164.39</v>
      </c>
    </row>
    <row r="4171" spans="1:14">
      <c r="A4171" s="12">
        <v>4170</v>
      </c>
      <c r="B4171" s="71" t="s">
        <v>557</v>
      </c>
      <c r="C4171" s="42" t="s">
        <v>558</v>
      </c>
      <c r="D4171" s="71" t="s">
        <v>5898</v>
      </c>
      <c r="E4171" s="72" t="s">
        <v>5899</v>
      </c>
      <c r="F4171" s="72">
        <v>744.45</v>
      </c>
      <c r="G4171" s="73" t="s">
        <v>64</v>
      </c>
      <c r="H4171" s="89" t="s">
        <v>847</v>
      </c>
      <c r="I4171" s="72">
        <v>0</v>
      </c>
      <c r="J4171" s="72">
        <v>0</v>
      </c>
      <c r="K4171" s="72">
        <v>113.56</v>
      </c>
      <c r="L4171" s="97">
        <v>0</v>
      </c>
      <c r="M4171" s="73" t="s">
        <v>3925</v>
      </c>
      <c r="N4171" s="99">
        <f t="shared" si="95"/>
        <v>113.56</v>
      </c>
    </row>
    <row r="4172" spans="1:14">
      <c r="A4172" s="12">
        <v>4171</v>
      </c>
      <c r="B4172" s="71" t="s">
        <v>557</v>
      </c>
      <c r="C4172" s="42" t="s">
        <v>558</v>
      </c>
      <c r="D4172" s="71" t="s">
        <v>5900</v>
      </c>
      <c r="E4172" s="72" t="s">
        <v>5841</v>
      </c>
      <c r="F4172" s="72">
        <v>574.49</v>
      </c>
      <c r="G4172" s="73" t="s">
        <v>64</v>
      </c>
      <c r="H4172" s="89" t="s">
        <v>847</v>
      </c>
      <c r="I4172" s="72">
        <v>0</v>
      </c>
      <c r="J4172" s="72">
        <v>0</v>
      </c>
      <c r="K4172" s="72">
        <v>87.63</v>
      </c>
      <c r="L4172" s="97">
        <v>0</v>
      </c>
      <c r="M4172" s="73" t="s">
        <v>3925</v>
      </c>
      <c r="N4172" s="99">
        <f t="shared" si="95"/>
        <v>87.63</v>
      </c>
    </row>
    <row r="4173" spans="1:14">
      <c r="A4173" s="12">
        <v>4172</v>
      </c>
      <c r="B4173" s="71" t="s">
        <v>557</v>
      </c>
      <c r="C4173" s="42" t="s">
        <v>558</v>
      </c>
      <c r="D4173" s="71" t="s">
        <v>5901</v>
      </c>
      <c r="E4173" s="72" t="s">
        <v>5844</v>
      </c>
      <c r="F4173" s="72">
        <v>437.98</v>
      </c>
      <c r="G4173" s="73" t="s">
        <v>64</v>
      </c>
      <c r="H4173" s="89" t="s">
        <v>847</v>
      </c>
      <c r="I4173" s="72">
        <v>0</v>
      </c>
      <c r="J4173" s="72">
        <v>0</v>
      </c>
      <c r="K4173" s="72">
        <v>66.81</v>
      </c>
      <c r="L4173" s="97">
        <v>0</v>
      </c>
      <c r="M4173" s="73" t="s">
        <v>3925</v>
      </c>
      <c r="N4173" s="99">
        <f t="shared" si="95"/>
        <v>66.81</v>
      </c>
    </row>
    <row r="4174" spans="1:14">
      <c r="A4174" s="12">
        <v>4173</v>
      </c>
      <c r="B4174" s="71" t="s">
        <v>557</v>
      </c>
      <c r="C4174" s="42" t="s">
        <v>558</v>
      </c>
      <c r="D4174" s="71" t="s">
        <v>5902</v>
      </c>
      <c r="E4174" s="72" t="s">
        <v>5903</v>
      </c>
      <c r="F4174" s="72">
        <v>1119.75</v>
      </c>
      <c r="G4174" s="73" t="s">
        <v>64</v>
      </c>
      <c r="H4174" s="89" t="s">
        <v>847</v>
      </c>
      <c r="I4174" s="72">
        <v>0</v>
      </c>
      <c r="J4174" s="72">
        <v>0</v>
      </c>
      <c r="K4174" s="72">
        <v>170.81</v>
      </c>
      <c r="L4174" s="97">
        <v>0</v>
      </c>
      <c r="M4174" s="73" t="s">
        <v>3925</v>
      </c>
      <c r="N4174" s="99">
        <f t="shared" si="95"/>
        <v>170.81</v>
      </c>
    </row>
    <row r="4175" spans="1:14">
      <c r="A4175" s="12">
        <v>4174</v>
      </c>
      <c r="B4175" s="71" t="s">
        <v>557</v>
      </c>
      <c r="C4175" s="42" t="s">
        <v>558</v>
      </c>
      <c r="D4175" s="71" t="s">
        <v>5904</v>
      </c>
      <c r="E4175" s="72" t="s">
        <v>4949</v>
      </c>
      <c r="F4175" s="72">
        <v>1089.08</v>
      </c>
      <c r="G4175" s="73" t="s">
        <v>64</v>
      </c>
      <c r="H4175" s="89" t="s">
        <v>847</v>
      </c>
      <c r="I4175" s="72">
        <v>0</v>
      </c>
      <c r="J4175" s="72">
        <v>0</v>
      </c>
      <c r="K4175" s="72">
        <v>166.13</v>
      </c>
      <c r="L4175" s="97">
        <v>0</v>
      </c>
      <c r="M4175" s="73" t="s">
        <v>3925</v>
      </c>
      <c r="N4175" s="99">
        <f t="shared" si="95"/>
        <v>166.13</v>
      </c>
    </row>
    <row r="4176" spans="1:14">
      <c r="A4176" s="12">
        <v>4175</v>
      </c>
      <c r="B4176" s="71" t="s">
        <v>557</v>
      </c>
      <c r="C4176" s="42" t="s">
        <v>558</v>
      </c>
      <c r="D4176" s="71" t="s">
        <v>5905</v>
      </c>
      <c r="E4176" s="72" t="s">
        <v>912</v>
      </c>
      <c r="F4176" s="72">
        <v>905.04</v>
      </c>
      <c r="G4176" s="73" t="s">
        <v>64</v>
      </c>
      <c r="H4176" s="89" t="s">
        <v>847</v>
      </c>
      <c r="I4176" s="72">
        <v>0</v>
      </c>
      <c r="J4176" s="72">
        <v>0</v>
      </c>
      <c r="K4176" s="72">
        <v>138.06</v>
      </c>
      <c r="L4176" s="97">
        <v>0</v>
      </c>
      <c r="M4176" s="73" t="s">
        <v>3925</v>
      </c>
      <c r="N4176" s="99">
        <f t="shared" si="95"/>
        <v>138.06</v>
      </c>
    </row>
    <row r="4177" spans="1:14">
      <c r="A4177" s="12">
        <v>4176</v>
      </c>
      <c r="B4177" s="71" t="s">
        <v>557</v>
      </c>
      <c r="C4177" s="42" t="s">
        <v>558</v>
      </c>
      <c r="D4177" s="71" t="s">
        <v>5906</v>
      </c>
      <c r="E4177" s="72" t="s">
        <v>916</v>
      </c>
      <c r="F4177" s="72">
        <v>1023.96</v>
      </c>
      <c r="G4177" s="73" t="s">
        <v>64</v>
      </c>
      <c r="H4177" s="89" t="s">
        <v>847</v>
      </c>
      <c r="I4177" s="72">
        <v>0</v>
      </c>
      <c r="J4177" s="72">
        <v>0</v>
      </c>
      <c r="K4177" s="72">
        <v>156.19999999999999</v>
      </c>
      <c r="L4177" s="97">
        <v>0</v>
      </c>
      <c r="M4177" s="73" t="s">
        <v>3925</v>
      </c>
      <c r="N4177" s="99">
        <f t="shared" si="95"/>
        <v>156.19999999999999</v>
      </c>
    </row>
    <row r="4178" spans="1:14">
      <c r="A4178" s="12">
        <v>4177</v>
      </c>
      <c r="B4178" s="71" t="s">
        <v>557</v>
      </c>
      <c r="C4178" s="42" t="s">
        <v>558</v>
      </c>
      <c r="D4178" s="71" t="s">
        <v>5907</v>
      </c>
      <c r="E4178" s="72" t="s">
        <v>5796</v>
      </c>
      <c r="F4178" s="72">
        <v>775.18</v>
      </c>
      <c r="G4178" s="73" t="s">
        <v>64</v>
      </c>
      <c r="H4178" s="89" t="s">
        <v>847</v>
      </c>
      <c r="I4178" s="72">
        <v>0</v>
      </c>
      <c r="J4178" s="72">
        <v>0</v>
      </c>
      <c r="K4178" s="72">
        <v>118.25</v>
      </c>
      <c r="L4178" s="97">
        <v>0</v>
      </c>
      <c r="M4178" s="73" t="s">
        <v>3925</v>
      </c>
      <c r="N4178" s="99">
        <f t="shared" si="95"/>
        <v>118.25</v>
      </c>
    </row>
    <row r="4179" spans="1:14">
      <c r="A4179" s="12">
        <v>4178</v>
      </c>
      <c r="B4179" s="71" t="s">
        <v>557</v>
      </c>
      <c r="C4179" s="42" t="s">
        <v>558</v>
      </c>
      <c r="D4179" s="71" t="s">
        <v>5908</v>
      </c>
      <c r="E4179" s="72" t="s">
        <v>4984</v>
      </c>
      <c r="F4179" s="72">
        <v>971.09</v>
      </c>
      <c r="G4179" s="73" t="s">
        <v>64</v>
      </c>
      <c r="H4179" s="89" t="s">
        <v>847</v>
      </c>
      <c r="I4179" s="72">
        <v>0</v>
      </c>
      <c r="J4179" s="72">
        <v>0</v>
      </c>
      <c r="K4179" s="72">
        <v>148.13</v>
      </c>
      <c r="L4179" s="97">
        <v>0</v>
      </c>
      <c r="M4179" s="73" t="s">
        <v>3925</v>
      </c>
      <c r="N4179" s="99">
        <f t="shared" si="95"/>
        <v>148.13</v>
      </c>
    </row>
    <row r="4180" spans="1:14">
      <c r="A4180" s="12">
        <v>4179</v>
      </c>
      <c r="B4180" s="71" t="s">
        <v>557</v>
      </c>
      <c r="C4180" s="42" t="s">
        <v>558</v>
      </c>
      <c r="D4180" s="71" t="s">
        <v>5909</v>
      </c>
      <c r="E4180" s="72" t="s">
        <v>5910</v>
      </c>
      <c r="F4180" s="72">
        <v>749.04</v>
      </c>
      <c r="G4180" s="73" t="s">
        <v>64</v>
      </c>
      <c r="H4180" s="89" t="s">
        <v>847</v>
      </c>
      <c r="I4180" s="72">
        <v>0</v>
      </c>
      <c r="J4180" s="72">
        <v>0</v>
      </c>
      <c r="K4180" s="72">
        <v>114.26</v>
      </c>
      <c r="L4180" s="97">
        <v>0</v>
      </c>
      <c r="M4180" s="73" t="s">
        <v>3925</v>
      </c>
      <c r="N4180" s="99">
        <f t="shared" si="95"/>
        <v>114.26</v>
      </c>
    </row>
    <row r="4181" spans="1:14">
      <c r="A4181" s="12">
        <v>4180</v>
      </c>
      <c r="B4181" s="71" t="s">
        <v>557</v>
      </c>
      <c r="C4181" s="42" t="s">
        <v>558</v>
      </c>
      <c r="D4181" s="71" t="s">
        <v>5911</v>
      </c>
      <c r="E4181" s="72" t="s">
        <v>5912</v>
      </c>
      <c r="F4181" s="72">
        <v>1092.3699999999999</v>
      </c>
      <c r="G4181" s="73" t="s">
        <v>64</v>
      </c>
      <c r="H4181" s="89" t="s">
        <v>847</v>
      </c>
      <c r="I4181" s="72">
        <v>0</v>
      </c>
      <c r="J4181" s="72">
        <v>0</v>
      </c>
      <c r="K4181" s="72">
        <v>166.63</v>
      </c>
      <c r="L4181" s="97">
        <v>0</v>
      </c>
      <c r="M4181" s="73" t="s">
        <v>3925</v>
      </c>
      <c r="N4181" s="99">
        <f t="shared" si="95"/>
        <v>166.63</v>
      </c>
    </row>
    <row r="4182" spans="1:14">
      <c r="A4182" s="12">
        <v>4181</v>
      </c>
      <c r="B4182" s="71" t="s">
        <v>557</v>
      </c>
      <c r="C4182" s="42" t="s">
        <v>558</v>
      </c>
      <c r="D4182" s="71" t="s">
        <v>5913</v>
      </c>
      <c r="E4182" s="72" t="s">
        <v>904</v>
      </c>
      <c r="F4182" s="72">
        <v>746</v>
      </c>
      <c r="G4182" s="73" t="s">
        <v>64</v>
      </c>
      <c r="H4182" s="89" t="s">
        <v>847</v>
      </c>
      <c r="I4182" s="72">
        <v>0</v>
      </c>
      <c r="J4182" s="72">
        <v>0</v>
      </c>
      <c r="K4182" s="72">
        <v>113.8</v>
      </c>
      <c r="L4182" s="97">
        <v>0</v>
      </c>
      <c r="M4182" s="73" t="s">
        <v>3925</v>
      </c>
      <c r="N4182" s="99">
        <f t="shared" si="95"/>
        <v>113.8</v>
      </c>
    </row>
    <row r="4183" spans="1:14">
      <c r="A4183" s="12">
        <v>4182</v>
      </c>
      <c r="B4183" s="71" t="s">
        <v>557</v>
      </c>
      <c r="C4183" s="42" t="s">
        <v>558</v>
      </c>
      <c r="D4183" s="71" t="s">
        <v>5914</v>
      </c>
      <c r="E4183" s="72" t="s">
        <v>914</v>
      </c>
      <c r="F4183" s="72">
        <v>943.95</v>
      </c>
      <c r="G4183" s="73" t="s">
        <v>64</v>
      </c>
      <c r="H4183" s="89" t="s">
        <v>847</v>
      </c>
      <c r="I4183" s="72">
        <v>0</v>
      </c>
      <c r="J4183" s="72">
        <v>0</v>
      </c>
      <c r="K4183" s="72">
        <v>143.99</v>
      </c>
      <c r="L4183" s="97">
        <v>0</v>
      </c>
      <c r="M4183" s="73" t="s">
        <v>3925</v>
      </c>
      <c r="N4183" s="99">
        <f t="shared" si="95"/>
        <v>143.99</v>
      </c>
    </row>
    <row r="4184" spans="1:14">
      <c r="A4184" s="12">
        <v>4183</v>
      </c>
      <c r="B4184" s="71" t="s">
        <v>5088</v>
      </c>
      <c r="C4184" s="42" t="s">
        <v>5570</v>
      </c>
      <c r="D4184" s="71" t="s">
        <v>5915</v>
      </c>
      <c r="E4184" s="72" t="s">
        <v>914</v>
      </c>
      <c r="F4184" s="72">
        <v>1390.04</v>
      </c>
      <c r="G4184" s="73" t="s">
        <v>64</v>
      </c>
      <c r="H4184" s="74">
        <v>997119</v>
      </c>
      <c r="I4184" s="72">
        <v>0</v>
      </c>
      <c r="J4184" s="72">
        <v>0</v>
      </c>
      <c r="K4184" s="72">
        <v>212.04</v>
      </c>
      <c r="L4184" s="97">
        <v>0</v>
      </c>
      <c r="M4184" s="73" t="s">
        <v>3925</v>
      </c>
      <c r="N4184" s="99">
        <f t="shared" si="95"/>
        <v>212.04</v>
      </c>
    </row>
    <row r="4185" spans="1:14">
      <c r="A4185" s="12">
        <v>4184</v>
      </c>
      <c r="B4185" s="71" t="s">
        <v>805</v>
      </c>
      <c r="C4185" s="42" t="s">
        <v>806</v>
      </c>
      <c r="D4185" s="71" t="s">
        <v>5916</v>
      </c>
      <c r="E4185" s="72" t="s">
        <v>876</v>
      </c>
      <c r="F4185" s="72">
        <v>8341.4</v>
      </c>
      <c r="G4185" s="73" t="s">
        <v>64</v>
      </c>
      <c r="H4185" s="89" t="s">
        <v>847</v>
      </c>
      <c r="I4185" s="72">
        <v>0</v>
      </c>
      <c r="J4185" s="72">
        <v>0</v>
      </c>
      <c r="K4185" s="72">
        <v>1272.42</v>
      </c>
      <c r="L4185" s="97">
        <v>0</v>
      </c>
      <c r="M4185" s="73" t="s">
        <v>3925</v>
      </c>
      <c r="N4185" s="99">
        <f t="shared" si="95"/>
        <v>1272.42</v>
      </c>
    </row>
    <row r="4186" spans="1:14">
      <c r="A4186" s="12">
        <v>4185</v>
      </c>
      <c r="B4186" s="71" t="s">
        <v>5600</v>
      </c>
      <c r="C4186" s="42" t="s">
        <v>5601</v>
      </c>
      <c r="D4186" s="71" t="s">
        <v>5917</v>
      </c>
      <c r="E4186" s="72" t="s">
        <v>5784</v>
      </c>
      <c r="F4186" s="100">
        <v>-31447</v>
      </c>
      <c r="G4186" s="73" t="s">
        <v>64</v>
      </c>
      <c r="H4186" s="101" t="s">
        <v>1839</v>
      </c>
      <c r="I4186" s="100">
        <v>0</v>
      </c>
      <c r="J4186" s="100">
        <v>0</v>
      </c>
      <c r="K4186" s="100">
        <v>-4797</v>
      </c>
      <c r="L4186" s="97">
        <v>0</v>
      </c>
      <c r="M4186" s="73" t="s">
        <v>3925</v>
      </c>
      <c r="N4186" s="99">
        <f t="shared" si="95"/>
        <v>-4797</v>
      </c>
    </row>
    <row r="4187" spans="1:14">
      <c r="A4187" s="12">
        <v>4186</v>
      </c>
      <c r="B4187" s="71" t="s">
        <v>557</v>
      </c>
      <c r="C4187" s="42" t="s">
        <v>558</v>
      </c>
      <c r="D4187" s="71" t="s">
        <v>5918</v>
      </c>
      <c r="E4187" s="72" t="s">
        <v>877</v>
      </c>
      <c r="F4187" s="100">
        <v>-70.98</v>
      </c>
      <c r="G4187" s="73" t="s">
        <v>64</v>
      </c>
      <c r="H4187" s="89" t="s">
        <v>847</v>
      </c>
      <c r="I4187" s="100">
        <v>0</v>
      </c>
      <c r="J4187" s="100">
        <v>0</v>
      </c>
      <c r="K4187" s="100">
        <v>-10.83</v>
      </c>
      <c r="L4187" s="97">
        <v>0</v>
      </c>
      <c r="M4187" s="73" t="s">
        <v>3925</v>
      </c>
      <c r="N4187" s="99">
        <f t="shared" si="95"/>
        <v>-10.83</v>
      </c>
    </row>
    <row r="4188" spans="1:14">
      <c r="A4188" s="12">
        <v>4187</v>
      </c>
      <c r="B4188" s="71" t="s">
        <v>5600</v>
      </c>
      <c r="C4188" s="42" t="s">
        <v>5601</v>
      </c>
      <c r="D4188" s="71" t="s">
        <v>5919</v>
      </c>
      <c r="E4188" s="72" t="s">
        <v>5796</v>
      </c>
      <c r="F4188" s="100">
        <v>-6440</v>
      </c>
      <c r="G4188" s="73" t="s">
        <v>64</v>
      </c>
      <c r="H4188" s="101" t="s">
        <v>1839</v>
      </c>
      <c r="I4188" s="100">
        <v>0</v>
      </c>
      <c r="J4188" s="100">
        <v>0</v>
      </c>
      <c r="K4188" s="100">
        <v>-982.4</v>
      </c>
      <c r="L4188" s="97">
        <v>0</v>
      </c>
      <c r="M4188" s="73" t="s">
        <v>3925</v>
      </c>
      <c r="N4188" s="99">
        <f t="shared" si="95"/>
        <v>-982.4</v>
      </c>
    </row>
    <row r="4189" spans="1:14">
      <c r="A4189" s="12">
        <v>4188</v>
      </c>
      <c r="B4189" s="71" t="s">
        <v>4899</v>
      </c>
      <c r="C4189" s="42" t="s">
        <v>4900</v>
      </c>
      <c r="D4189" s="71" t="s">
        <v>5920</v>
      </c>
      <c r="E4189" s="72" t="s">
        <v>4863</v>
      </c>
      <c r="F4189" s="72">
        <v>67</v>
      </c>
      <c r="G4189" s="73" t="s">
        <v>64</v>
      </c>
      <c r="H4189" s="74">
        <v>9967</v>
      </c>
      <c r="I4189" s="72">
        <v>1.68</v>
      </c>
      <c r="J4189" s="72">
        <v>1.68</v>
      </c>
      <c r="K4189" s="72">
        <v>0</v>
      </c>
      <c r="L4189" s="97">
        <v>0</v>
      </c>
      <c r="M4189" s="74" t="s">
        <v>19</v>
      </c>
      <c r="N4189" s="99">
        <f t="shared" si="95"/>
        <v>3.36</v>
      </c>
    </row>
    <row r="4190" spans="1:14">
      <c r="A4190" s="12">
        <v>4189</v>
      </c>
      <c r="B4190" s="71" t="s">
        <v>4899</v>
      </c>
      <c r="C4190" s="42" t="s">
        <v>4900</v>
      </c>
      <c r="D4190" s="71" t="s">
        <v>5921</v>
      </c>
      <c r="E4190" s="72" t="s">
        <v>4955</v>
      </c>
      <c r="F4190" s="72">
        <v>318.02</v>
      </c>
      <c r="G4190" s="73" t="s">
        <v>64</v>
      </c>
      <c r="H4190" s="74">
        <v>9967</v>
      </c>
      <c r="I4190" s="72">
        <v>24.26</v>
      </c>
      <c r="J4190" s="72">
        <v>24.26</v>
      </c>
      <c r="K4190" s="72">
        <v>0</v>
      </c>
      <c r="L4190" s="97">
        <v>0</v>
      </c>
      <c r="M4190" s="74" t="s">
        <v>19</v>
      </c>
      <c r="N4190" s="99">
        <f t="shared" si="95"/>
        <v>48.52</v>
      </c>
    </row>
    <row r="4191" spans="1:14">
      <c r="A4191" s="12">
        <v>4190</v>
      </c>
      <c r="B4191" s="71" t="s">
        <v>4899</v>
      </c>
      <c r="C4191" s="42" t="s">
        <v>4900</v>
      </c>
      <c r="D4191" s="71" t="s">
        <v>5922</v>
      </c>
      <c r="E4191" s="72" t="s">
        <v>4955</v>
      </c>
      <c r="F4191" s="72">
        <v>318.99</v>
      </c>
      <c r="G4191" s="73" t="s">
        <v>64</v>
      </c>
      <c r="H4191" s="74">
        <v>9967</v>
      </c>
      <c r="I4191" s="72">
        <v>24.33</v>
      </c>
      <c r="J4191" s="72">
        <v>24.33</v>
      </c>
      <c r="K4191" s="72">
        <v>0</v>
      </c>
      <c r="L4191" s="97">
        <v>0</v>
      </c>
      <c r="M4191" s="74" t="s">
        <v>19</v>
      </c>
      <c r="N4191" s="99">
        <f t="shared" si="95"/>
        <v>48.66</v>
      </c>
    </row>
    <row r="4192" spans="1:14">
      <c r="A4192" s="12">
        <v>4191</v>
      </c>
      <c r="B4192" s="71" t="s">
        <v>805</v>
      </c>
      <c r="C4192" s="42" t="s">
        <v>806</v>
      </c>
      <c r="D4192" s="71" t="s">
        <v>5923</v>
      </c>
      <c r="E4192" s="72" t="s">
        <v>4964</v>
      </c>
      <c r="F4192" s="72">
        <v>829.53</v>
      </c>
      <c r="G4192" s="73" t="s">
        <v>64</v>
      </c>
      <c r="H4192" s="89" t="s">
        <v>847</v>
      </c>
      <c r="I4192" s="72">
        <v>0</v>
      </c>
      <c r="J4192" s="72">
        <v>0</v>
      </c>
      <c r="K4192" s="72">
        <v>126.54</v>
      </c>
      <c r="L4192" s="97">
        <v>0</v>
      </c>
      <c r="M4192" s="73" t="s">
        <v>3925</v>
      </c>
      <c r="N4192" s="99">
        <f t="shared" si="95"/>
        <v>126.54</v>
      </c>
    </row>
    <row r="4193" spans="1:14">
      <c r="A4193" s="12">
        <v>4192</v>
      </c>
      <c r="B4193" s="71" t="s">
        <v>1759</v>
      </c>
      <c r="C4193" s="42" t="s">
        <v>1760</v>
      </c>
      <c r="D4193" s="71" t="s">
        <v>5924</v>
      </c>
      <c r="E4193" s="72" t="s">
        <v>4842</v>
      </c>
      <c r="F4193" s="72">
        <v>4000</v>
      </c>
      <c r="G4193" s="73" t="s">
        <v>64</v>
      </c>
      <c r="H4193" s="89" t="s">
        <v>561</v>
      </c>
      <c r="I4193" s="72">
        <v>0</v>
      </c>
      <c r="J4193" s="72">
        <v>0</v>
      </c>
      <c r="K4193" s="72">
        <v>610.16999999999996</v>
      </c>
      <c r="L4193" s="97">
        <v>0</v>
      </c>
      <c r="M4193" s="73" t="s">
        <v>3925</v>
      </c>
      <c r="N4193" s="99">
        <f t="shared" si="95"/>
        <v>610.16999999999996</v>
      </c>
    </row>
    <row r="4194" spans="1:14">
      <c r="A4194" s="12">
        <v>4193</v>
      </c>
      <c r="B4194" s="71" t="s">
        <v>5088</v>
      </c>
      <c r="C4194" s="42" t="s">
        <v>5570</v>
      </c>
      <c r="D4194" s="71" t="s">
        <v>5925</v>
      </c>
      <c r="E4194" s="72" t="s">
        <v>4891</v>
      </c>
      <c r="F4194" s="72">
        <v>2101.19</v>
      </c>
      <c r="G4194" s="73" t="s">
        <v>64</v>
      </c>
      <c r="H4194" s="74">
        <v>997119</v>
      </c>
      <c r="I4194" s="72">
        <v>0</v>
      </c>
      <c r="J4194" s="72">
        <v>0</v>
      </c>
      <c r="K4194" s="72">
        <v>320.52</v>
      </c>
      <c r="L4194" s="97">
        <v>0</v>
      </c>
      <c r="M4194" s="73" t="s">
        <v>3925</v>
      </c>
      <c r="N4194" s="99">
        <f t="shared" si="95"/>
        <v>320.52</v>
      </c>
    </row>
    <row r="4195" spans="1:14">
      <c r="A4195" s="12">
        <v>4194</v>
      </c>
      <c r="B4195" s="71" t="s">
        <v>557</v>
      </c>
      <c r="C4195" s="42" t="s">
        <v>558</v>
      </c>
      <c r="D4195" s="71" t="s">
        <v>5926</v>
      </c>
      <c r="E4195" s="72" t="s">
        <v>4884</v>
      </c>
      <c r="F4195" s="72">
        <v>1001.5</v>
      </c>
      <c r="G4195" s="73" t="s">
        <v>64</v>
      </c>
      <c r="H4195" s="89" t="s">
        <v>847</v>
      </c>
      <c r="I4195" s="72">
        <v>0</v>
      </c>
      <c r="J4195" s="72">
        <v>0</v>
      </c>
      <c r="K4195" s="72">
        <v>152.77000000000001</v>
      </c>
      <c r="L4195" s="97">
        <v>0</v>
      </c>
      <c r="M4195" s="73" t="s">
        <v>3925</v>
      </c>
      <c r="N4195" s="99">
        <f t="shared" si="95"/>
        <v>152.77000000000001</v>
      </c>
    </row>
    <row r="4196" spans="1:14">
      <c r="A4196" s="12">
        <v>4195</v>
      </c>
      <c r="B4196" s="71" t="s">
        <v>557</v>
      </c>
      <c r="C4196" s="42" t="s">
        <v>558</v>
      </c>
      <c r="D4196" s="71" t="s">
        <v>5927</v>
      </c>
      <c r="E4196" s="72" t="s">
        <v>4837</v>
      </c>
      <c r="F4196" s="72">
        <v>1150.54</v>
      </c>
      <c r="G4196" s="73" t="s">
        <v>64</v>
      </c>
      <c r="H4196" s="89" t="s">
        <v>847</v>
      </c>
      <c r="I4196" s="72">
        <v>0</v>
      </c>
      <c r="J4196" s="72">
        <v>0</v>
      </c>
      <c r="K4196" s="72">
        <v>175.51</v>
      </c>
      <c r="L4196" s="97">
        <v>0</v>
      </c>
      <c r="M4196" s="73" t="s">
        <v>3925</v>
      </c>
      <c r="N4196" s="99">
        <f t="shared" si="95"/>
        <v>175.51</v>
      </c>
    </row>
    <row r="4197" spans="1:14">
      <c r="A4197" s="12">
        <v>4196</v>
      </c>
      <c r="B4197" s="71" t="s">
        <v>557</v>
      </c>
      <c r="C4197" s="42" t="s">
        <v>558</v>
      </c>
      <c r="D4197" s="71" t="s">
        <v>5928</v>
      </c>
      <c r="E4197" s="72" t="s">
        <v>5929</v>
      </c>
      <c r="F4197" s="72">
        <v>1060.31</v>
      </c>
      <c r="G4197" s="73" t="s">
        <v>64</v>
      </c>
      <c r="H4197" s="89" t="s">
        <v>847</v>
      </c>
      <c r="I4197" s="72">
        <v>0</v>
      </c>
      <c r="J4197" s="72">
        <v>0</v>
      </c>
      <c r="K4197" s="72">
        <v>161.74</v>
      </c>
      <c r="L4197" s="97">
        <v>0</v>
      </c>
      <c r="M4197" s="73" t="s">
        <v>3925</v>
      </c>
      <c r="N4197" s="99">
        <f t="shared" si="95"/>
        <v>161.74</v>
      </c>
    </row>
    <row r="4198" spans="1:14">
      <c r="A4198" s="12">
        <v>4197</v>
      </c>
      <c r="B4198" s="71" t="s">
        <v>557</v>
      </c>
      <c r="C4198" s="42" t="s">
        <v>558</v>
      </c>
      <c r="D4198" s="71" t="s">
        <v>5930</v>
      </c>
      <c r="E4198" s="72" t="s">
        <v>5931</v>
      </c>
      <c r="F4198" s="72">
        <v>1056.6400000000001</v>
      </c>
      <c r="G4198" s="73" t="s">
        <v>64</v>
      </c>
      <c r="H4198" s="89" t="s">
        <v>847</v>
      </c>
      <c r="I4198" s="72">
        <v>0</v>
      </c>
      <c r="J4198" s="72">
        <v>0</v>
      </c>
      <c r="K4198" s="72">
        <v>161.18</v>
      </c>
      <c r="L4198" s="97">
        <v>0</v>
      </c>
      <c r="M4198" s="73" t="s">
        <v>3925</v>
      </c>
      <c r="N4198" s="99">
        <f t="shared" si="95"/>
        <v>161.18</v>
      </c>
    </row>
    <row r="4199" spans="1:14">
      <c r="A4199" s="12">
        <v>4198</v>
      </c>
      <c r="B4199" s="71" t="s">
        <v>557</v>
      </c>
      <c r="C4199" s="42" t="s">
        <v>558</v>
      </c>
      <c r="D4199" s="71" t="s">
        <v>5932</v>
      </c>
      <c r="E4199" s="72" t="s">
        <v>5933</v>
      </c>
      <c r="F4199" s="72">
        <v>1049.3699999999999</v>
      </c>
      <c r="G4199" s="73" t="s">
        <v>64</v>
      </c>
      <c r="H4199" s="89" t="s">
        <v>847</v>
      </c>
      <c r="I4199" s="72">
        <v>0</v>
      </c>
      <c r="J4199" s="72">
        <v>0</v>
      </c>
      <c r="K4199" s="72">
        <v>160.07</v>
      </c>
      <c r="L4199" s="97">
        <v>0</v>
      </c>
      <c r="M4199" s="73" t="s">
        <v>3925</v>
      </c>
      <c r="N4199" s="99">
        <f t="shared" si="95"/>
        <v>160.07</v>
      </c>
    </row>
    <row r="4200" spans="1:14">
      <c r="A4200" s="12">
        <v>4199</v>
      </c>
      <c r="B4200" s="71" t="s">
        <v>557</v>
      </c>
      <c r="C4200" s="42" t="s">
        <v>558</v>
      </c>
      <c r="D4200" s="71" t="s">
        <v>5934</v>
      </c>
      <c r="E4200" s="72" t="s">
        <v>4874</v>
      </c>
      <c r="F4200" s="72">
        <v>663.55</v>
      </c>
      <c r="G4200" s="73" t="s">
        <v>64</v>
      </c>
      <c r="H4200" s="89" t="s">
        <v>847</v>
      </c>
      <c r="I4200" s="72">
        <v>0</v>
      </c>
      <c r="J4200" s="72">
        <v>0</v>
      </c>
      <c r="K4200" s="72">
        <v>101.22</v>
      </c>
      <c r="L4200" s="97">
        <v>0</v>
      </c>
      <c r="M4200" s="73" t="s">
        <v>3925</v>
      </c>
      <c r="N4200" s="99">
        <f t="shared" si="95"/>
        <v>101.22</v>
      </c>
    </row>
    <row r="4201" spans="1:14">
      <c r="A4201" s="12">
        <v>4200</v>
      </c>
      <c r="B4201" s="71" t="s">
        <v>557</v>
      </c>
      <c r="C4201" s="42" t="s">
        <v>558</v>
      </c>
      <c r="D4201" s="71" t="s">
        <v>5935</v>
      </c>
      <c r="E4201" s="72" t="s">
        <v>4816</v>
      </c>
      <c r="F4201" s="72">
        <v>18.09</v>
      </c>
      <c r="G4201" s="73" t="s">
        <v>64</v>
      </c>
      <c r="H4201" s="89" t="s">
        <v>847</v>
      </c>
      <c r="I4201" s="72">
        <v>0</v>
      </c>
      <c r="J4201" s="72">
        <v>0</v>
      </c>
      <c r="K4201" s="72">
        <v>2.76</v>
      </c>
      <c r="L4201" s="97">
        <v>0</v>
      </c>
      <c r="M4201" s="73" t="s">
        <v>3925</v>
      </c>
      <c r="N4201" s="99">
        <f t="shared" si="95"/>
        <v>2.76</v>
      </c>
    </row>
    <row r="4202" spans="1:14">
      <c r="A4202" s="12">
        <v>4201</v>
      </c>
      <c r="B4202" s="71" t="s">
        <v>557</v>
      </c>
      <c r="C4202" s="42" t="s">
        <v>558</v>
      </c>
      <c r="D4202" s="71" t="s">
        <v>5936</v>
      </c>
      <c r="E4202" s="72" t="s">
        <v>4855</v>
      </c>
      <c r="F4202" s="72">
        <v>1427.86</v>
      </c>
      <c r="G4202" s="73" t="s">
        <v>64</v>
      </c>
      <c r="H4202" s="89" t="s">
        <v>847</v>
      </c>
      <c r="I4202" s="72">
        <v>0</v>
      </c>
      <c r="J4202" s="72">
        <v>0</v>
      </c>
      <c r="K4202" s="72">
        <v>217.81</v>
      </c>
      <c r="L4202" s="97">
        <v>0</v>
      </c>
      <c r="M4202" s="73" t="s">
        <v>3925</v>
      </c>
      <c r="N4202" s="99">
        <f t="shared" si="95"/>
        <v>217.81</v>
      </c>
    </row>
    <row r="4203" spans="1:14">
      <c r="A4203" s="12">
        <v>4202</v>
      </c>
      <c r="B4203" s="71" t="s">
        <v>557</v>
      </c>
      <c r="C4203" s="42" t="s">
        <v>558</v>
      </c>
      <c r="D4203" s="71" t="s">
        <v>5937</v>
      </c>
      <c r="E4203" s="72" t="s">
        <v>4821</v>
      </c>
      <c r="F4203" s="72">
        <v>1629.7</v>
      </c>
      <c r="G4203" s="73" t="s">
        <v>64</v>
      </c>
      <c r="H4203" s="89" t="s">
        <v>847</v>
      </c>
      <c r="I4203" s="72">
        <v>0</v>
      </c>
      <c r="J4203" s="72">
        <v>0</v>
      </c>
      <c r="K4203" s="72">
        <v>248.6</v>
      </c>
      <c r="L4203" s="97">
        <v>0</v>
      </c>
      <c r="M4203" s="73" t="s">
        <v>3925</v>
      </c>
      <c r="N4203" s="99">
        <f t="shared" si="95"/>
        <v>248.6</v>
      </c>
    </row>
    <row r="4204" spans="1:14">
      <c r="A4204" s="12">
        <v>4203</v>
      </c>
      <c r="B4204" s="71" t="s">
        <v>557</v>
      </c>
      <c r="C4204" s="42" t="s">
        <v>558</v>
      </c>
      <c r="D4204" s="71" t="s">
        <v>5938</v>
      </c>
      <c r="E4204" s="72" t="s">
        <v>4889</v>
      </c>
      <c r="F4204" s="72">
        <v>1310.98</v>
      </c>
      <c r="G4204" s="73" t="s">
        <v>64</v>
      </c>
      <c r="H4204" s="89" t="s">
        <v>847</v>
      </c>
      <c r="I4204" s="72">
        <v>0</v>
      </c>
      <c r="J4204" s="72">
        <v>0</v>
      </c>
      <c r="K4204" s="72">
        <v>199.98</v>
      </c>
      <c r="L4204" s="97">
        <v>0</v>
      </c>
      <c r="M4204" s="73" t="s">
        <v>3925</v>
      </c>
      <c r="N4204" s="99">
        <f t="shared" ref="N4204:N4267" si="96">IF(M4204="YES", I4204+J4204+K4204, 0)</f>
        <v>199.98</v>
      </c>
    </row>
    <row r="4205" spans="1:14">
      <c r="A4205" s="12">
        <v>4204</v>
      </c>
      <c r="B4205" s="71" t="s">
        <v>557</v>
      </c>
      <c r="C4205" s="42" t="s">
        <v>558</v>
      </c>
      <c r="D4205" s="71" t="s">
        <v>5939</v>
      </c>
      <c r="E4205" s="72" t="s">
        <v>4857</v>
      </c>
      <c r="F4205" s="72">
        <v>1314.57</v>
      </c>
      <c r="G4205" s="73" t="s">
        <v>64</v>
      </c>
      <c r="H4205" s="89" t="s">
        <v>847</v>
      </c>
      <c r="I4205" s="72">
        <v>0</v>
      </c>
      <c r="J4205" s="72">
        <v>0</v>
      </c>
      <c r="K4205" s="72">
        <v>200.53</v>
      </c>
      <c r="L4205" s="97">
        <v>0</v>
      </c>
      <c r="M4205" s="73" t="s">
        <v>3925</v>
      </c>
      <c r="N4205" s="99">
        <f t="shared" si="96"/>
        <v>200.53</v>
      </c>
    </row>
    <row r="4206" spans="1:14">
      <c r="A4206" s="12">
        <v>4205</v>
      </c>
      <c r="B4206" s="71" t="s">
        <v>557</v>
      </c>
      <c r="C4206" s="42" t="s">
        <v>558</v>
      </c>
      <c r="D4206" s="71" t="s">
        <v>5940</v>
      </c>
      <c r="E4206" s="72" t="s">
        <v>5941</v>
      </c>
      <c r="F4206" s="72">
        <v>316.89</v>
      </c>
      <c r="G4206" s="73" t="s">
        <v>64</v>
      </c>
      <c r="H4206" s="89" t="s">
        <v>847</v>
      </c>
      <c r="I4206" s="72">
        <v>0</v>
      </c>
      <c r="J4206" s="72">
        <v>0</v>
      </c>
      <c r="K4206" s="72">
        <v>48.34</v>
      </c>
      <c r="L4206" s="97">
        <v>0</v>
      </c>
      <c r="M4206" s="73" t="s">
        <v>3925</v>
      </c>
      <c r="N4206" s="99">
        <f t="shared" si="96"/>
        <v>48.34</v>
      </c>
    </row>
    <row r="4207" spans="1:14">
      <c r="A4207" s="12">
        <v>4206</v>
      </c>
      <c r="B4207" s="71" t="s">
        <v>5088</v>
      </c>
      <c r="C4207" s="42" t="s">
        <v>5570</v>
      </c>
      <c r="D4207" s="71" t="s">
        <v>5942</v>
      </c>
      <c r="E4207" s="72" t="s">
        <v>4842</v>
      </c>
      <c r="F4207" s="72">
        <v>3724.38</v>
      </c>
      <c r="G4207" s="73" t="s">
        <v>64</v>
      </c>
      <c r="H4207" s="74">
        <v>997119</v>
      </c>
      <c r="I4207" s="72">
        <v>0</v>
      </c>
      <c r="J4207" s="72">
        <v>0</v>
      </c>
      <c r="K4207" s="72">
        <v>568.13</v>
      </c>
      <c r="L4207" s="97">
        <v>0</v>
      </c>
      <c r="M4207" s="73" t="s">
        <v>3925</v>
      </c>
      <c r="N4207" s="99">
        <f t="shared" si="96"/>
        <v>568.13</v>
      </c>
    </row>
    <row r="4208" spans="1:14">
      <c r="A4208" s="12">
        <v>4207</v>
      </c>
      <c r="B4208" s="71" t="s">
        <v>1166</v>
      </c>
      <c r="C4208" s="42" t="s">
        <v>1167</v>
      </c>
      <c r="D4208" s="71" t="s">
        <v>5943</v>
      </c>
      <c r="E4208" s="72" t="s">
        <v>4825</v>
      </c>
      <c r="F4208" s="72">
        <v>4761.51</v>
      </c>
      <c r="G4208" s="73" t="s">
        <v>64</v>
      </c>
      <c r="H4208" s="74">
        <v>9971</v>
      </c>
      <c r="I4208" s="72">
        <v>363.17</v>
      </c>
      <c r="J4208" s="72">
        <v>363.17</v>
      </c>
      <c r="K4208" s="72">
        <v>0</v>
      </c>
      <c r="L4208" s="97">
        <v>0</v>
      </c>
      <c r="M4208" s="73" t="s">
        <v>3925</v>
      </c>
      <c r="N4208" s="99">
        <f t="shared" si="96"/>
        <v>726.34</v>
      </c>
    </row>
    <row r="4209" spans="1:14">
      <c r="A4209" s="12">
        <v>4208</v>
      </c>
      <c r="B4209" s="71" t="s">
        <v>3936</v>
      </c>
      <c r="C4209" s="42" t="s">
        <v>3937</v>
      </c>
      <c r="D4209" s="71" t="s">
        <v>5944</v>
      </c>
      <c r="E4209" s="72" t="s">
        <v>5945</v>
      </c>
      <c r="F4209" s="72">
        <v>118</v>
      </c>
      <c r="G4209" s="73" t="s">
        <v>64</v>
      </c>
      <c r="H4209" s="73">
        <v>9971</v>
      </c>
      <c r="I4209" s="72">
        <v>9</v>
      </c>
      <c r="J4209" s="72">
        <v>9</v>
      </c>
      <c r="K4209" s="72">
        <v>0</v>
      </c>
      <c r="L4209" s="97">
        <v>0</v>
      </c>
      <c r="M4209" s="73" t="s">
        <v>3925</v>
      </c>
      <c r="N4209" s="99">
        <f t="shared" si="96"/>
        <v>18</v>
      </c>
    </row>
    <row r="4210" spans="1:14">
      <c r="A4210" s="12">
        <v>4209</v>
      </c>
      <c r="B4210" s="71" t="s">
        <v>3936</v>
      </c>
      <c r="C4210" s="42" t="s">
        <v>3937</v>
      </c>
      <c r="D4210" s="71" t="s">
        <v>5946</v>
      </c>
      <c r="E4210" s="72" t="s">
        <v>5945</v>
      </c>
      <c r="F4210" s="72">
        <v>177</v>
      </c>
      <c r="G4210" s="73" t="s">
        <v>64</v>
      </c>
      <c r="H4210" s="73">
        <v>9971</v>
      </c>
      <c r="I4210" s="72">
        <v>13.5</v>
      </c>
      <c r="J4210" s="72">
        <v>13.5</v>
      </c>
      <c r="K4210" s="72">
        <v>0</v>
      </c>
      <c r="L4210" s="97">
        <v>0</v>
      </c>
      <c r="M4210" s="73" t="s">
        <v>3925</v>
      </c>
      <c r="N4210" s="99">
        <f t="shared" si="96"/>
        <v>27</v>
      </c>
    </row>
    <row r="4211" spans="1:14">
      <c r="A4211" s="12">
        <v>4210</v>
      </c>
      <c r="B4211" s="71" t="s">
        <v>557</v>
      </c>
      <c r="C4211" s="42" t="s">
        <v>558</v>
      </c>
      <c r="D4211" s="71" t="s">
        <v>5947</v>
      </c>
      <c r="E4211" s="72" t="s">
        <v>4993</v>
      </c>
      <c r="F4211" s="72">
        <v>224.12</v>
      </c>
      <c r="G4211" s="73" t="s">
        <v>64</v>
      </c>
      <c r="H4211" s="89" t="s">
        <v>847</v>
      </c>
      <c r="I4211" s="72">
        <v>0</v>
      </c>
      <c r="J4211" s="72">
        <v>0</v>
      </c>
      <c r="K4211" s="72">
        <v>34.19</v>
      </c>
      <c r="L4211" s="97">
        <v>0</v>
      </c>
      <c r="M4211" s="73" t="s">
        <v>3925</v>
      </c>
      <c r="N4211" s="99">
        <f t="shared" si="96"/>
        <v>34.19</v>
      </c>
    </row>
    <row r="4212" spans="1:14">
      <c r="A4212" s="12">
        <v>4211</v>
      </c>
      <c r="B4212" s="71" t="s">
        <v>557</v>
      </c>
      <c r="C4212" s="42" t="s">
        <v>558</v>
      </c>
      <c r="D4212" s="71" t="s">
        <v>5948</v>
      </c>
      <c r="E4212" s="72" t="s">
        <v>5949</v>
      </c>
      <c r="F4212" s="72">
        <v>1270.49</v>
      </c>
      <c r="G4212" s="73" t="s">
        <v>64</v>
      </c>
      <c r="H4212" s="89" t="s">
        <v>847</v>
      </c>
      <c r="I4212" s="72">
        <v>0</v>
      </c>
      <c r="J4212" s="72">
        <v>0</v>
      </c>
      <c r="K4212" s="72">
        <v>193.8</v>
      </c>
      <c r="L4212" s="97">
        <v>0</v>
      </c>
      <c r="M4212" s="73" t="s">
        <v>3925</v>
      </c>
      <c r="N4212" s="99">
        <f t="shared" si="96"/>
        <v>193.8</v>
      </c>
    </row>
    <row r="4213" spans="1:14">
      <c r="A4213" s="12">
        <v>4212</v>
      </c>
      <c r="B4213" s="71" t="s">
        <v>557</v>
      </c>
      <c r="C4213" s="42" t="s">
        <v>558</v>
      </c>
      <c r="D4213" s="71" t="s">
        <v>5950</v>
      </c>
      <c r="E4213" s="72" t="s">
        <v>4979</v>
      </c>
      <c r="F4213" s="72">
        <v>1735.26</v>
      </c>
      <c r="G4213" s="73" t="s">
        <v>64</v>
      </c>
      <c r="H4213" s="89" t="s">
        <v>847</v>
      </c>
      <c r="I4213" s="72">
        <v>0</v>
      </c>
      <c r="J4213" s="72">
        <v>0</v>
      </c>
      <c r="K4213" s="72">
        <v>264.7</v>
      </c>
      <c r="L4213" s="97">
        <v>0</v>
      </c>
      <c r="M4213" s="73" t="s">
        <v>3925</v>
      </c>
      <c r="N4213" s="99">
        <f t="shared" si="96"/>
        <v>264.7</v>
      </c>
    </row>
    <row r="4214" spans="1:14">
      <c r="A4214" s="12">
        <v>4213</v>
      </c>
      <c r="B4214" s="71" t="s">
        <v>557</v>
      </c>
      <c r="C4214" s="42" t="s">
        <v>558</v>
      </c>
      <c r="D4214" s="71" t="s">
        <v>5951</v>
      </c>
      <c r="E4214" s="72" t="s">
        <v>5952</v>
      </c>
      <c r="F4214" s="72">
        <v>1710.24</v>
      </c>
      <c r="G4214" s="73" t="s">
        <v>64</v>
      </c>
      <c r="H4214" s="89" t="s">
        <v>847</v>
      </c>
      <c r="I4214" s="72">
        <v>0</v>
      </c>
      <c r="J4214" s="72">
        <v>0</v>
      </c>
      <c r="K4214" s="72">
        <v>260.88</v>
      </c>
      <c r="L4214" s="97">
        <v>0</v>
      </c>
      <c r="M4214" s="73" t="s">
        <v>3925</v>
      </c>
      <c r="N4214" s="99">
        <f t="shared" si="96"/>
        <v>260.88</v>
      </c>
    </row>
    <row r="4215" spans="1:14">
      <c r="A4215" s="12">
        <v>4214</v>
      </c>
      <c r="B4215" s="71" t="s">
        <v>557</v>
      </c>
      <c r="C4215" s="42" t="s">
        <v>558</v>
      </c>
      <c r="D4215" s="71" t="s">
        <v>5953</v>
      </c>
      <c r="E4215" s="72" t="s">
        <v>5954</v>
      </c>
      <c r="F4215" s="72">
        <v>1235.7</v>
      </c>
      <c r="G4215" s="73" t="s">
        <v>64</v>
      </c>
      <c r="H4215" s="89" t="s">
        <v>847</v>
      </c>
      <c r="I4215" s="72">
        <v>0</v>
      </c>
      <c r="J4215" s="72">
        <v>0</v>
      </c>
      <c r="K4215" s="72">
        <v>188.5</v>
      </c>
      <c r="L4215" s="97">
        <v>0</v>
      </c>
      <c r="M4215" s="73" t="s">
        <v>3925</v>
      </c>
      <c r="N4215" s="99">
        <f t="shared" si="96"/>
        <v>188.5</v>
      </c>
    </row>
    <row r="4216" spans="1:14">
      <c r="A4216" s="12">
        <v>4215</v>
      </c>
      <c r="B4216" s="71" t="s">
        <v>557</v>
      </c>
      <c r="C4216" s="42" t="s">
        <v>558</v>
      </c>
      <c r="D4216" s="71" t="s">
        <v>5955</v>
      </c>
      <c r="E4216" s="72" t="s">
        <v>4947</v>
      </c>
      <c r="F4216" s="72">
        <v>48.32</v>
      </c>
      <c r="G4216" s="73" t="s">
        <v>64</v>
      </c>
      <c r="H4216" s="89" t="s">
        <v>847</v>
      </c>
      <c r="I4216" s="72">
        <v>0</v>
      </c>
      <c r="J4216" s="72">
        <v>0</v>
      </c>
      <c r="K4216" s="72">
        <v>7.37</v>
      </c>
      <c r="L4216" s="97">
        <v>0</v>
      </c>
      <c r="M4216" s="73" t="s">
        <v>3925</v>
      </c>
      <c r="N4216" s="99">
        <f t="shared" si="96"/>
        <v>7.37</v>
      </c>
    </row>
    <row r="4217" spans="1:14">
      <c r="A4217" s="12">
        <v>4216</v>
      </c>
      <c r="B4217" s="71" t="s">
        <v>5600</v>
      </c>
      <c r="C4217" s="42" t="s">
        <v>5601</v>
      </c>
      <c r="D4217" s="71" t="s">
        <v>5956</v>
      </c>
      <c r="E4217" s="72" t="s">
        <v>5957</v>
      </c>
      <c r="F4217" s="72">
        <v>33498.1</v>
      </c>
      <c r="G4217" s="73" t="s">
        <v>64</v>
      </c>
      <c r="H4217" s="101" t="s">
        <v>1839</v>
      </c>
      <c r="I4217" s="72">
        <v>0</v>
      </c>
      <c r="J4217" s="72">
        <v>0</v>
      </c>
      <c r="K4217" s="72">
        <v>5109.8999999999996</v>
      </c>
      <c r="L4217" s="97">
        <v>0</v>
      </c>
      <c r="M4217" s="73" t="s">
        <v>3925</v>
      </c>
      <c r="N4217" s="99">
        <f t="shared" si="96"/>
        <v>5109.8999999999996</v>
      </c>
    </row>
    <row r="4218" spans="1:14">
      <c r="A4218" s="12">
        <v>4217</v>
      </c>
      <c r="B4218" s="71" t="s">
        <v>5094</v>
      </c>
      <c r="C4218" s="42" t="s">
        <v>5095</v>
      </c>
      <c r="D4218" s="71" t="s">
        <v>5958</v>
      </c>
      <c r="E4218" s="72" t="s">
        <v>5959</v>
      </c>
      <c r="F4218" s="72">
        <v>21000</v>
      </c>
      <c r="G4218" s="73" t="s">
        <v>182</v>
      </c>
      <c r="H4218" s="73">
        <v>9403</v>
      </c>
      <c r="I4218" s="72">
        <v>0</v>
      </c>
      <c r="J4218" s="72">
        <v>0</v>
      </c>
      <c r="K4218" s="72">
        <v>1000</v>
      </c>
      <c r="L4218" s="97">
        <v>0</v>
      </c>
      <c r="M4218" s="73" t="s">
        <v>3925</v>
      </c>
      <c r="N4218" s="99">
        <f t="shared" si="96"/>
        <v>1000</v>
      </c>
    </row>
    <row r="4219" spans="1:14">
      <c r="A4219" s="12">
        <v>4218</v>
      </c>
      <c r="B4219" s="71" t="s">
        <v>5094</v>
      </c>
      <c r="C4219" s="42" t="s">
        <v>5095</v>
      </c>
      <c r="D4219" s="71" t="s">
        <v>5960</v>
      </c>
      <c r="E4219" s="72" t="s">
        <v>5952</v>
      </c>
      <c r="F4219" s="72">
        <v>28350</v>
      </c>
      <c r="G4219" s="73" t="s">
        <v>182</v>
      </c>
      <c r="H4219" s="73">
        <v>9403</v>
      </c>
      <c r="I4219" s="72">
        <v>0</v>
      </c>
      <c r="J4219" s="72">
        <v>0</v>
      </c>
      <c r="K4219" s="72">
        <v>1350</v>
      </c>
      <c r="L4219" s="97">
        <v>0</v>
      </c>
      <c r="M4219" s="73" t="s">
        <v>3925</v>
      </c>
      <c r="N4219" s="99">
        <f t="shared" si="96"/>
        <v>1350</v>
      </c>
    </row>
    <row r="4220" spans="1:14">
      <c r="A4220" s="12">
        <v>4219</v>
      </c>
      <c r="B4220" s="71" t="s">
        <v>5094</v>
      </c>
      <c r="C4220" s="42" t="s">
        <v>5095</v>
      </c>
      <c r="D4220" s="71" t="s">
        <v>5961</v>
      </c>
      <c r="E4220" s="72" t="s">
        <v>5962</v>
      </c>
      <c r="F4220" s="72">
        <v>21240</v>
      </c>
      <c r="G4220" s="73" t="s">
        <v>182</v>
      </c>
      <c r="H4220" s="73">
        <v>9403</v>
      </c>
      <c r="I4220" s="72">
        <v>0</v>
      </c>
      <c r="J4220" s="72">
        <v>0</v>
      </c>
      <c r="K4220" s="72">
        <v>3240</v>
      </c>
      <c r="L4220" s="97">
        <v>0</v>
      </c>
      <c r="M4220" s="73" t="s">
        <v>3925</v>
      </c>
      <c r="N4220" s="99">
        <f t="shared" si="96"/>
        <v>3240</v>
      </c>
    </row>
    <row r="4221" spans="1:14">
      <c r="A4221" s="12">
        <v>4220</v>
      </c>
      <c r="B4221" s="71" t="s">
        <v>5094</v>
      </c>
      <c r="C4221" s="42" t="s">
        <v>5095</v>
      </c>
      <c r="D4221" s="71" t="s">
        <v>5963</v>
      </c>
      <c r="E4221" s="72" t="s">
        <v>5957</v>
      </c>
      <c r="F4221" s="72">
        <v>22050</v>
      </c>
      <c r="G4221" s="73" t="s">
        <v>182</v>
      </c>
      <c r="H4221" s="73">
        <v>9403</v>
      </c>
      <c r="I4221" s="72">
        <v>0</v>
      </c>
      <c r="J4221" s="72">
        <v>0</v>
      </c>
      <c r="K4221" s="72">
        <v>1050</v>
      </c>
      <c r="L4221" s="97">
        <v>0</v>
      </c>
      <c r="M4221" s="73" t="s">
        <v>3925</v>
      </c>
      <c r="N4221" s="99">
        <f t="shared" si="96"/>
        <v>1050</v>
      </c>
    </row>
    <row r="4222" spans="1:14">
      <c r="A4222" s="12">
        <v>4221</v>
      </c>
      <c r="B4222" s="71" t="s">
        <v>5094</v>
      </c>
      <c r="C4222" s="42" t="s">
        <v>5095</v>
      </c>
      <c r="D4222" s="71" t="s">
        <v>5964</v>
      </c>
      <c r="E4222" s="72" t="s">
        <v>4951</v>
      </c>
      <c r="F4222" s="72">
        <v>29400</v>
      </c>
      <c r="G4222" s="73" t="s">
        <v>182</v>
      </c>
      <c r="H4222" s="73">
        <v>9403</v>
      </c>
      <c r="I4222" s="72">
        <v>0</v>
      </c>
      <c r="J4222" s="72">
        <v>0</v>
      </c>
      <c r="K4222" s="72">
        <v>1400</v>
      </c>
      <c r="L4222" s="97">
        <v>0</v>
      </c>
      <c r="M4222" s="73" t="s">
        <v>3925</v>
      </c>
      <c r="N4222" s="99">
        <f t="shared" si="96"/>
        <v>1400</v>
      </c>
    </row>
    <row r="4223" spans="1:14">
      <c r="A4223" s="12">
        <v>4222</v>
      </c>
      <c r="B4223" s="71" t="s">
        <v>3936</v>
      </c>
      <c r="C4223" s="42" t="s">
        <v>3937</v>
      </c>
      <c r="D4223" s="71" t="s">
        <v>5965</v>
      </c>
      <c r="E4223" s="72" t="s">
        <v>4849</v>
      </c>
      <c r="F4223" s="72">
        <v>1475</v>
      </c>
      <c r="G4223" s="73" t="s">
        <v>64</v>
      </c>
      <c r="H4223" s="73">
        <v>9971</v>
      </c>
      <c r="I4223" s="72">
        <v>112.5</v>
      </c>
      <c r="J4223" s="72">
        <v>112.5</v>
      </c>
      <c r="K4223" s="72">
        <v>0</v>
      </c>
      <c r="L4223" s="97">
        <v>0</v>
      </c>
      <c r="M4223" s="73" t="s">
        <v>3925</v>
      </c>
      <c r="N4223" s="99">
        <f t="shared" si="96"/>
        <v>225</v>
      </c>
    </row>
    <row r="4224" spans="1:14">
      <c r="A4224" s="12">
        <v>4223</v>
      </c>
      <c r="B4224" s="71" t="s">
        <v>3936</v>
      </c>
      <c r="C4224" s="42" t="s">
        <v>3937</v>
      </c>
      <c r="D4224" s="71" t="s">
        <v>5966</v>
      </c>
      <c r="E4224" s="72" t="s">
        <v>4849</v>
      </c>
      <c r="F4224" s="72">
        <v>654.82000000000005</v>
      </c>
      <c r="G4224" s="73" t="s">
        <v>64</v>
      </c>
      <c r="H4224" s="73">
        <v>9971</v>
      </c>
      <c r="I4224" s="72">
        <v>49.94</v>
      </c>
      <c r="J4224" s="72">
        <v>49.94</v>
      </c>
      <c r="K4224" s="72">
        <v>0</v>
      </c>
      <c r="L4224" s="97">
        <v>0</v>
      </c>
      <c r="M4224" s="73" t="s">
        <v>3925</v>
      </c>
      <c r="N4224" s="99">
        <f t="shared" si="96"/>
        <v>99.88</v>
      </c>
    </row>
    <row r="4225" spans="1:14">
      <c r="A4225" s="12">
        <v>4224</v>
      </c>
      <c r="B4225" s="71" t="s">
        <v>3936</v>
      </c>
      <c r="C4225" s="42" t="s">
        <v>3937</v>
      </c>
      <c r="D4225" s="71" t="s">
        <v>5967</v>
      </c>
      <c r="E4225" s="72" t="s">
        <v>4849</v>
      </c>
      <c r="F4225" s="72">
        <v>418.07</v>
      </c>
      <c r="G4225" s="73" t="s">
        <v>64</v>
      </c>
      <c r="H4225" s="73">
        <v>9971</v>
      </c>
      <c r="I4225" s="72">
        <v>31.89</v>
      </c>
      <c r="J4225" s="72">
        <v>31.89</v>
      </c>
      <c r="K4225" s="72">
        <v>0</v>
      </c>
      <c r="L4225" s="97">
        <v>0</v>
      </c>
      <c r="M4225" s="73" t="s">
        <v>3925</v>
      </c>
      <c r="N4225" s="99">
        <f t="shared" si="96"/>
        <v>63.78</v>
      </c>
    </row>
    <row r="4226" spans="1:14">
      <c r="A4226" s="12">
        <v>4225</v>
      </c>
      <c r="B4226" s="71" t="s">
        <v>3936</v>
      </c>
      <c r="C4226" s="42" t="s">
        <v>3937</v>
      </c>
      <c r="D4226" s="71" t="s">
        <v>5968</v>
      </c>
      <c r="E4226" s="72" t="s">
        <v>4849</v>
      </c>
      <c r="F4226" s="72">
        <v>1475</v>
      </c>
      <c r="G4226" s="73" t="s">
        <v>64</v>
      </c>
      <c r="H4226" s="73">
        <v>9971</v>
      </c>
      <c r="I4226" s="72">
        <v>112.5</v>
      </c>
      <c r="J4226" s="72">
        <v>112.5</v>
      </c>
      <c r="K4226" s="72">
        <v>0</v>
      </c>
      <c r="L4226" s="97">
        <v>0</v>
      </c>
      <c r="M4226" s="73" t="s">
        <v>3925</v>
      </c>
      <c r="N4226" s="99">
        <f t="shared" si="96"/>
        <v>225</v>
      </c>
    </row>
    <row r="4227" spans="1:14">
      <c r="A4227" s="12">
        <v>4226</v>
      </c>
      <c r="B4227" s="71" t="s">
        <v>3936</v>
      </c>
      <c r="C4227" s="42" t="s">
        <v>3937</v>
      </c>
      <c r="D4227" s="71" t="s">
        <v>5969</v>
      </c>
      <c r="E4227" s="72" t="s">
        <v>4855</v>
      </c>
      <c r="F4227" s="72">
        <v>5.9</v>
      </c>
      <c r="G4227" s="73" t="s">
        <v>64</v>
      </c>
      <c r="H4227" s="73">
        <v>9971</v>
      </c>
      <c r="I4227" s="72">
        <v>0.45</v>
      </c>
      <c r="J4227" s="72">
        <v>0.45</v>
      </c>
      <c r="K4227" s="72">
        <v>0</v>
      </c>
      <c r="L4227" s="97">
        <v>0</v>
      </c>
      <c r="M4227" s="73" t="s">
        <v>3925</v>
      </c>
      <c r="N4227" s="99">
        <f t="shared" si="96"/>
        <v>0.9</v>
      </c>
    </row>
    <row r="4228" spans="1:14">
      <c r="A4228" s="12">
        <v>4227</v>
      </c>
      <c r="B4228" s="71" t="s">
        <v>3936</v>
      </c>
      <c r="C4228" s="42" t="s">
        <v>3937</v>
      </c>
      <c r="D4228" s="71" t="s">
        <v>5970</v>
      </c>
      <c r="E4228" s="72" t="s">
        <v>4857</v>
      </c>
      <c r="F4228" s="72">
        <v>5.9</v>
      </c>
      <c r="G4228" s="73" t="s">
        <v>64</v>
      </c>
      <c r="H4228" s="73">
        <v>9971</v>
      </c>
      <c r="I4228" s="72">
        <v>0.45</v>
      </c>
      <c r="J4228" s="72">
        <v>0.45</v>
      </c>
      <c r="K4228" s="72">
        <v>0</v>
      </c>
      <c r="L4228" s="97">
        <v>0</v>
      </c>
      <c r="M4228" s="73" t="s">
        <v>3925</v>
      </c>
      <c r="N4228" s="99">
        <f t="shared" si="96"/>
        <v>0.9</v>
      </c>
    </row>
    <row r="4229" spans="1:14">
      <c r="A4229" s="12">
        <v>4228</v>
      </c>
      <c r="B4229" s="71" t="s">
        <v>3936</v>
      </c>
      <c r="C4229" s="42" t="s">
        <v>3937</v>
      </c>
      <c r="D4229" s="71" t="s">
        <v>5971</v>
      </c>
      <c r="E4229" s="72" t="s">
        <v>5972</v>
      </c>
      <c r="F4229" s="72">
        <v>177</v>
      </c>
      <c r="G4229" s="73" t="s">
        <v>64</v>
      </c>
      <c r="H4229" s="73">
        <v>9971</v>
      </c>
      <c r="I4229" s="72">
        <v>13.5</v>
      </c>
      <c r="J4229" s="72">
        <v>13.5</v>
      </c>
      <c r="K4229" s="72">
        <v>0</v>
      </c>
      <c r="L4229" s="97">
        <v>0</v>
      </c>
      <c r="M4229" s="73" t="s">
        <v>3925</v>
      </c>
      <c r="N4229" s="99">
        <f t="shared" si="96"/>
        <v>27</v>
      </c>
    </row>
    <row r="4230" spans="1:14">
      <c r="A4230" s="12">
        <v>4229</v>
      </c>
      <c r="B4230" s="71" t="s">
        <v>3936</v>
      </c>
      <c r="C4230" s="42" t="s">
        <v>3937</v>
      </c>
      <c r="D4230" s="71" t="s">
        <v>5973</v>
      </c>
      <c r="E4230" s="72" t="s">
        <v>4830</v>
      </c>
      <c r="F4230" s="72">
        <v>5.9</v>
      </c>
      <c r="G4230" s="73" t="s">
        <v>64</v>
      </c>
      <c r="H4230" s="73">
        <v>9971</v>
      </c>
      <c r="I4230" s="72">
        <v>0.45</v>
      </c>
      <c r="J4230" s="72">
        <v>0.45</v>
      </c>
      <c r="K4230" s="72">
        <v>0</v>
      </c>
      <c r="L4230" s="97">
        <v>0</v>
      </c>
      <c r="M4230" s="73" t="s">
        <v>3925</v>
      </c>
      <c r="N4230" s="99">
        <f t="shared" si="96"/>
        <v>0.9</v>
      </c>
    </row>
    <row r="4231" spans="1:14">
      <c r="A4231" s="12">
        <v>4230</v>
      </c>
      <c r="B4231" s="71" t="s">
        <v>5600</v>
      </c>
      <c r="C4231" s="42" t="s">
        <v>5601</v>
      </c>
      <c r="D4231" s="71" t="s">
        <v>5974</v>
      </c>
      <c r="E4231" s="72" t="s">
        <v>4825</v>
      </c>
      <c r="F4231" s="72">
        <v>94802.4</v>
      </c>
      <c r="G4231" s="73" t="s">
        <v>64</v>
      </c>
      <c r="H4231" s="101" t="s">
        <v>1839</v>
      </c>
      <c r="I4231" s="72">
        <v>0</v>
      </c>
      <c r="J4231" s="72">
        <v>0</v>
      </c>
      <c r="K4231" s="72">
        <v>14461.4</v>
      </c>
      <c r="L4231" s="97">
        <v>0</v>
      </c>
      <c r="M4231" s="73" t="s">
        <v>3925</v>
      </c>
      <c r="N4231" s="99">
        <f t="shared" si="96"/>
        <v>14461.4</v>
      </c>
    </row>
    <row r="4232" spans="1:14">
      <c r="A4232" s="12">
        <v>4231</v>
      </c>
      <c r="B4232" s="71" t="s">
        <v>5600</v>
      </c>
      <c r="C4232" s="42" t="s">
        <v>5601</v>
      </c>
      <c r="D4232" s="71" t="s">
        <v>5975</v>
      </c>
      <c r="E4232" s="72" t="s">
        <v>4884</v>
      </c>
      <c r="F4232" s="72">
        <v>45354.400000000001</v>
      </c>
      <c r="G4232" s="73" t="s">
        <v>64</v>
      </c>
      <c r="H4232" s="101" t="s">
        <v>1839</v>
      </c>
      <c r="I4232" s="72">
        <v>0</v>
      </c>
      <c r="J4232" s="72">
        <v>0</v>
      </c>
      <c r="K4232" s="72">
        <v>6918.5</v>
      </c>
      <c r="L4232" s="97">
        <v>0</v>
      </c>
      <c r="M4232" s="73" t="s">
        <v>3925</v>
      </c>
      <c r="N4232" s="99">
        <f t="shared" si="96"/>
        <v>6918.5</v>
      </c>
    </row>
    <row r="4233" spans="1:14">
      <c r="A4233" s="12">
        <v>4232</v>
      </c>
      <c r="B4233" s="71" t="s">
        <v>5600</v>
      </c>
      <c r="C4233" s="42" t="s">
        <v>5601</v>
      </c>
      <c r="D4233" s="71" t="s">
        <v>5976</v>
      </c>
      <c r="E4233" s="72" t="s">
        <v>4889</v>
      </c>
      <c r="F4233" s="72">
        <v>207202.1</v>
      </c>
      <c r="G4233" s="73" t="s">
        <v>64</v>
      </c>
      <c r="H4233" s="101" t="s">
        <v>1839</v>
      </c>
      <c r="I4233" s="72">
        <v>0</v>
      </c>
      <c r="J4233" s="72">
        <v>0</v>
      </c>
      <c r="K4233" s="72">
        <v>31607.1</v>
      </c>
      <c r="L4233" s="97">
        <v>0</v>
      </c>
      <c r="M4233" s="73" t="s">
        <v>3925</v>
      </c>
      <c r="N4233" s="99">
        <f t="shared" si="96"/>
        <v>31607.1</v>
      </c>
    </row>
    <row r="4234" spans="1:14">
      <c r="A4234" s="12">
        <v>4233</v>
      </c>
      <c r="B4234" s="71" t="s">
        <v>5467</v>
      </c>
      <c r="C4234" s="42" t="s">
        <v>5468</v>
      </c>
      <c r="D4234" s="71" t="s">
        <v>5977</v>
      </c>
      <c r="E4234" s="72" t="s">
        <v>5978</v>
      </c>
      <c r="F4234" s="72">
        <v>5917</v>
      </c>
      <c r="G4234" s="73" t="s">
        <v>632</v>
      </c>
      <c r="H4234" s="74">
        <v>84841090</v>
      </c>
      <c r="I4234" s="72">
        <v>451.29</v>
      </c>
      <c r="J4234" s="72">
        <v>451.29</v>
      </c>
      <c r="K4234" s="72">
        <v>0</v>
      </c>
      <c r="L4234" s="97">
        <v>0</v>
      </c>
      <c r="M4234" s="73" t="s">
        <v>4847</v>
      </c>
      <c r="N4234" s="99">
        <f t="shared" si="96"/>
        <v>0</v>
      </c>
    </row>
    <row r="4235" spans="1:14">
      <c r="A4235" s="12">
        <v>4234</v>
      </c>
      <c r="B4235" s="71" t="s">
        <v>5088</v>
      </c>
      <c r="C4235" s="42" t="s">
        <v>5570</v>
      </c>
      <c r="D4235" s="71" t="s">
        <v>5979</v>
      </c>
      <c r="E4235" s="72" t="s">
        <v>4964</v>
      </c>
      <c r="F4235" s="72">
        <v>11111.66</v>
      </c>
      <c r="G4235" s="73" t="s">
        <v>64</v>
      </c>
      <c r="H4235" s="74">
        <v>997119</v>
      </c>
      <c r="I4235" s="72">
        <v>0</v>
      </c>
      <c r="J4235" s="72">
        <v>0</v>
      </c>
      <c r="K4235" s="72">
        <v>1695</v>
      </c>
      <c r="L4235" s="97">
        <v>0</v>
      </c>
      <c r="M4235" s="73" t="s">
        <v>3925</v>
      </c>
      <c r="N4235" s="99">
        <f t="shared" si="96"/>
        <v>1695</v>
      </c>
    </row>
    <row r="4236" spans="1:14">
      <c r="A4236" s="12">
        <v>4235</v>
      </c>
      <c r="B4236" s="71" t="s">
        <v>1166</v>
      </c>
      <c r="C4236" s="42" t="s">
        <v>1167</v>
      </c>
      <c r="D4236" s="71" t="s">
        <v>5980</v>
      </c>
      <c r="E4236" s="72" t="s">
        <v>5981</v>
      </c>
      <c r="F4236" s="72">
        <v>4682.58</v>
      </c>
      <c r="G4236" s="73" t="s">
        <v>64</v>
      </c>
      <c r="H4236" s="74">
        <v>9971</v>
      </c>
      <c r="I4236" s="72">
        <v>357.15</v>
      </c>
      <c r="J4236" s="72">
        <v>357.15</v>
      </c>
      <c r="K4236" s="72">
        <v>0</v>
      </c>
      <c r="L4236" s="97">
        <v>0</v>
      </c>
      <c r="M4236" s="73" t="s">
        <v>3925</v>
      </c>
      <c r="N4236" s="99">
        <f t="shared" si="96"/>
        <v>714.3</v>
      </c>
    </row>
    <row r="4237" spans="1:14">
      <c r="A4237" s="12">
        <v>4236</v>
      </c>
      <c r="B4237" s="71" t="s">
        <v>557</v>
      </c>
      <c r="C4237" s="42" t="s">
        <v>558</v>
      </c>
      <c r="D4237" s="71" t="s">
        <v>5982</v>
      </c>
      <c r="E4237" s="72" t="s">
        <v>5983</v>
      </c>
      <c r="F4237" s="72">
        <v>1462.46</v>
      </c>
      <c r="G4237" s="73" t="s">
        <v>64</v>
      </c>
      <c r="H4237" s="89" t="s">
        <v>847</v>
      </c>
      <c r="I4237" s="72">
        <v>0</v>
      </c>
      <c r="J4237" s="72">
        <v>0</v>
      </c>
      <c r="K4237" s="72">
        <v>223.09</v>
      </c>
      <c r="L4237" s="97">
        <v>0</v>
      </c>
      <c r="M4237" s="73" t="s">
        <v>3925</v>
      </c>
      <c r="N4237" s="99">
        <f t="shared" si="96"/>
        <v>223.09</v>
      </c>
    </row>
    <row r="4238" spans="1:14">
      <c r="A4238" s="12">
        <v>4237</v>
      </c>
      <c r="B4238" s="71" t="s">
        <v>557</v>
      </c>
      <c r="C4238" s="42" t="s">
        <v>558</v>
      </c>
      <c r="D4238" s="71" t="s">
        <v>5984</v>
      </c>
      <c r="E4238" s="72" t="s">
        <v>5985</v>
      </c>
      <c r="F4238" s="72">
        <v>1535.44</v>
      </c>
      <c r="G4238" s="73" t="s">
        <v>64</v>
      </c>
      <c r="H4238" s="89" t="s">
        <v>847</v>
      </c>
      <c r="I4238" s="72">
        <v>0</v>
      </c>
      <c r="J4238" s="72">
        <v>0</v>
      </c>
      <c r="K4238" s="72">
        <v>234.22</v>
      </c>
      <c r="L4238" s="97">
        <v>0</v>
      </c>
      <c r="M4238" s="73" t="s">
        <v>3925</v>
      </c>
      <c r="N4238" s="99">
        <f t="shared" si="96"/>
        <v>234.22</v>
      </c>
    </row>
    <row r="4239" spans="1:14">
      <c r="A4239" s="12">
        <v>4238</v>
      </c>
      <c r="B4239" s="71" t="s">
        <v>557</v>
      </c>
      <c r="C4239" s="42" t="s">
        <v>558</v>
      </c>
      <c r="D4239" s="71" t="s">
        <v>5986</v>
      </c>
      <c r="E4239" s="72" t="s">
        <v>4911</v>
      </c>
      <c r="F4239" s="72">
        <v>1518.88</v>
      </c>
      <c r="G4239" s="73" t="s">
        <v>64</v>
      </c>
      <c r="H4239" s="89" t="s">
        <v>847</v>
      </c>
      <c r="I4239" s="72">
        <v>0</v>
      </c>
      <c r="J4239" s="72">
        <v>0</v>
      </c>
      <c r="K4239" s="72">
        <v>231.69</v>
      </c>
      <c r="L4239" s="97">
        <v>0</v>
      </c>
      <c r="M4239" s="73" t="s">
        <v>3925</v>
      </c>
      <c r="N4239" s="99">
        <f t="shared" si="96"/>
        <v>231.69</v>
      </c>
    </row>
    <row r="4240" spans="1:14">
      <c r="A4240" s="12">
        <v>4239</v>
      </c>
      <c r="B4240" s="71" t="s">
        <v>557</v>
      </c>
      <c r="C4240" s="42" t="s">
        <v>558</v>
      </c>
      <c r="D4240" s="71" t="s">
        <v>5987</v>
      </c>
      <c r="E4240" s="72" t="s">
        <v>5988</v>
      </c>
      <c r="F4240" s="72">
        <v>483.16</v>
      </c>
      <c r="G4240" s="73" t="s">
        <v>64</v>
      </c>
      <c r="H4240" s="89" t="s">
        <v>847</v>
      </c>
      <c r="I4240" s="72">
        <v>0</v>
      </c>
      <c r="J4240" s="72">
        <v>0</v>
      </c>
      <c r="K4240" s="72">
        <v>73.7</v>
      </c>
      <c r="L4240" s="97">
        <v>0</v>
      </c>
      <c r="M4240" s="73" t="s">
        <v>3925</v>
      </c>
      <c r="N4240" s="99">
        <f t="shared" si="96"/>
        <v>73.7</v>
      </c>
    </row>
    <row r="4241" spans="1:14">
      <c r="A4241" s="12">
        <v>4240</v>
      </c>
      <c r="B4241" s="71" t="s">
        <v>557</v>
      </c>
      <c r="C4241" s="42" t="s">
        <v>558</v>
      </c>
      <c r="D4241" s="71" t="s">
        <v>5989</v>
      </c>
      <c r="E4241" s="72" t="s">
        <v>4903</v>
      </c>
      <c r="F4241" s="72">
        <v>485.1</v>
      </c>
      <c r="G4241" s="73" t="s">
        <v>64</v>
      </c>
      <c r="H4241" s="89" t="s">
        <v>847</v>
      </c>
      <c r="I4241" s="72">
        <v>0</v>
      </c>
      <c r="J4241" s="72">
        <v>0</v>
      </c>
      <c r="K4241" s="72">
        <v>74</v>
      </c>
      <c r="L4241" s="97">
        <v>0</v>
      </c>
      <c r="M4241" s="73" t="s">
        <v>3925</v>
      </c>
      <c r="N4241" s="99">
        <f t="shared" si="96"/>
        <v>74</v>
      </c>
    </row>
    <row r="4242" spans="1:14">
      <c r="A4242" s="12">
        <v>4241</v>
      </c>
      <c r="B4242" s="71" t="s">
        <v>557</v>
      </c>
      <c r="C4242" s="42" t="s">
        <v>558</v>
      </c>
      <c r="D4242" s="71" t="s">
        <v>5990</v>
      </c>
      <c r="E4242" s="72" t="s">
        <v>5991</v>
      </c>
      <c r="F4242" s="72">
        <v>14.9</v>
      </c>
      <c r="G4242" s="73" t="s">
        <v>64</v>
      </c>
      <c r="H4242" s="89" t="s">
        <v>847</v>
      </c>
      <c r="I4242" s="72">
        <v>0</v>
      </c>
      <c r="J4242" s="72">
        <v>0</v>
      </c>
      <c r="K4242" s="72">
        <v>2.27</v>
      </c>
      <c r="L4242" s="97">
        <v>0</v>
      </c>
      <c r="M4242" s="73" t="s">
        <v>3925</v>
      </c>
      <c r="N4242" s="99">
        <f t="shared" si="96"/>
        <v>2.27</v>
      </c>
    </row>
    <row r="4243" spans="1:14">
      <c r="A4243" s="12">
        <v>4242</v>
      </c>
      <c r="B4243" s="71" t="s">
        <v>557</v>
      </c>
      <c r="C4243" s="42" t="s">
        <v>558</v>
      </c>
      <c r="D4243" s="71" t="s">
        <v>5992</v>
      </c>
      <c r="E4243" s="72" t="s">
        <v>4894</v>
      </c>
      <c r="F4243" s="72">
        <v>526.76</v>
      </c>
      <c r="G4243" s="73" t="s">
        <v>64</v>
      </c>
      <c r="H4243" s="89" t="s">
        <v>847</v>
      </c>
      <c r="I4243" s="72">
        <v>0</v>
      </c>
      <c r="J4243" s="72">
        <v>0</v>
      </c>
      <c r="K4243" s="72">
        <v>80.349999999999994</v>
      </c>
      <c r="L4243" s="97">
        <v>0</v>
      </c>
      <c r="M4243" s="73" t="s">
        <v>3925</v>
      </c>
      <c r="N4243" s="99">
        <f t="shared" si="96"/>
        <v>80.349999999999994</v>
      </c>
    </row>
    <row r="4244" spans="1:14">
      <c r="A4244" s="12">
        <v>4243</v>
      </c>
      <c r="B4244" s="71" t="s">
        <v>557</v>
      </c>
      <c r="C4244" s="42" t="s">
        <v>558</v>
      </c>
      <c r="D4244" s="71" t="s">
        <v>5993</v>
      </c>
      <c r="E4244" s="72" t="s">
        <v>5994</v>
      </c>
      <c r="F4244" s="72">
        <v>1477.22</v>
      </c>
      <c r="G4244" s="73" t="s">
        <v>64</v>
      </c>
      <c r="H4244" s="89" t="s">
        <v>847</v>
      </c>
      <c r="I4244" s="72">
        <v>0</v>
      </c>
      <c r="J4244" s="72">
        <v>0</v>
      </c>
      <c r="K4244" s="72">
        <v>225.34</v>
      </c>
      <c r="L4244" s="97">
        <v>0</v>
      </c>
      <c r="M4244" s="73" t="s">
        <v>3925</v>
      </c>
      <c r="N4244" s="99">
        <f t="shared" si="96"/>
        <v>225.34</v>
      </c>
    </row>
    <row r="4245" spans="1:14">
      <c r="A4245" s="12">
        <v>4244</v>
      </c>
      <c r="B4245" s="71" t="s">
        <v>557</v>
      </c>
      <c r="C4245" s="42" t="s">
        <v>558</v>
      </c>
      <c r="D4245" s="71" t="s">
        <v>5995</v>
      </c>
      <c r="E4245" s="72" t="s">
        <v>5996</v>
      </c>
      <c r="F4245" s="72">
        <v>1207.53</v>
      </c>
      <c r="G4245" s="73" t="s">
        <v>64</v>
      </c>
      <c r="H4245" s="89" t="s">
        <v>847</v>
      </c>
      <c r="I4245" s="72">
        <v>0</v>
      </c>
      <c r="J4245" s="72">
        <v>0</v>
      </c>
      <c r="K4245" s="72">
        <v>184.2</v>
      </c>
      <c r="L4245" s="97">
        <v>0</v>
      </c>
      <c r="M4245" s="73" t="s">
        <v>3925</v>
      </c>
      <c r="N4245" s="99">
        <f t="shared" si="96"/>
        <v>184.2</v>
      </c>
    </row>
    <row r="4246" spans="1:14">
      <c r="A4246" s="12">
        <v>4245</v>
      </c>
      <c r="B4246" s="71" t="s">
        <v>557</v>
      </c>
      <c r="C4246" s="42" t="s">
        <v>558</v>
      </c>
      <c r="D4246" s="71" t="s">
        <v>5997</v>
      </c>
      <c r="E4246" s="72" t="s">
        <v>4936</v>
      </c>
      <c r="F4246" s="72">
        <v>1303.46</v>
      </c>
      <c r="G4246" s="73" t="s">
        <v>64</v>
      </c>
      <c r="H4246" s="89" t="s">
        <v>847</v>
      </c>
      <c r="I4246" s="72">
        <v>0</v>
      </c>
      <c r="J4246" s="72">
        <v>0</v>
      </c>
      <c r="K4246" s="72">
        <v>198.83</v>
      </c>
      <c r="L4246" s="97">
        <v>0</v>
      </c>
      <c r="M4246" s="73" t="s">
        <v>3925</v>
      </c>
      <c r="N4246" s="99">
        <f t="shared" si="96"/>
        <v>198.83</v>
      </c>
    </row>
    <row r="4247" spans="1:14">
      <c r="A4247" s="12">
        <v>4246</v>
      </c>
      <c r="B4247" s="71" t="s">
        <v>557</v>
      </c>
      <c r="C4247" s="42" t="s">
        <v>558</v>
      </c>
      <c r="D4247" s="71" t="s">
        <v>5998</v>
      </c>
      <c r="E4247" s="72" t="s">
        <v>4905</v>
      </c>
      <c r="F4247" s="72">
        <v>485.04</v>
      </c>
      <c r="G4247" s="73" t="s">
        <v>64</v>
      </c>
      <c r="H4247" s="89" t="s">
        <v>847</v>
      </c>
      <c r="I4247" s="72">
        <v>0</v>
      </c>
      <c r="J4247" s="72">
        <v>0</v>
      </c>
      <c r="K4247" s="72">
        <v>73.989999999999995</v>
      </c>
      <c r="L4247" s="97">
        <v>0</v>
      </c>
      <c r="M4247" s="73" t="s">
        <v>3925</v>
      </c>
      <c r="N4247" s="99">
        <f t="shared" si="96"/>
        <v>73.989999999999995</v>
      </c>
    </row>
    <row r="4248" spans="1:14">
      <c r="A4248" s="12">
        <v>4247</v>
      </c>
      <c r="B4248" s="71" t="s">
        <v>557</v>
      </c>
      <c r="C4248" s="42" t="s">
        <v>558</v>
      </c>
      <c r="D4248" s="71" t="s">
        <v>5999</v>
      </c>
      <c r="E4248" s="72" t="s">
        <v>5978</v>
      </c>
      <c r="F4248" s="72">
        <v>534.01</v>
      </c>
      <c r="G4248" s="73" t="s">
        <v>64</v>
      </c>
      <c r="H4248" s="89" t="s">
        <v>847</v>
      </c>
      <c r="I4248" s="72">
        <v>0</v>
      </c>
      <c r="J4248" s="72">
        <v>0</v>
      </c>
      <c r="K4248" s="72">
        <v>81.459999999999994</v>
      </c>
      <c r="L4248" s="97">
        <v>0</v>
      </c>
      <c r="M4248" s="73" t="s">
        <v>3925</v>
      </c>
      <c r="N4248" s="99">
        <f t="shared" si="96"/>
        <v>81.459999999999994</v>
      </c>
    </row>
    <row r="4249" spans="1:14">
      <c r="A4249" s="12">
        <v>4248</v>
      </c>
      <c r="B4249" s="71" t="s">
        <v>557</v>
      </c>
      <c r="C4249" s="42" t="s">
        <v>558</v>
      </c>
      <c r="D4249" s="71" t="s">
        <v>6000</v>
      </c>
      <c r="E4249" s="72" t="s">
        <v>6001</v>
      </c>
      <c r="F4249" s="72">
        <v>1162.81</v>
      </c>
      <c r="G4249" s="73" t="s">
        <v>64</v>
      </c>
      <c r="H4249" s="89" t="s">
        <v>847</v>
      </c>
      <c r="I4249" s="72">
        <v>0</v>
      </c>
      <c r="J4249" s="72">
        <v>0</v>
      </c>
      <c r="K4249" s="72">
        <v>177.38</v>
      </c>
      <c r="L4249" s="97">
        <v>0</v>
      </c>
      <c r="M4249" s="73" t="s">
        <v>3925</v>
      </c>
      <c r="N4249" s="99">
        <f t="shared" si="96"/>
        <v>177.38</v>
      </c>
    </row>
    <row r="4250" spans="1:14">
      <c r="A4250" s="12">
        <v>4249</v>
      </c>
      <c r="B4250" s="71" t="s">
        <v>557</v>
      </c>
      <c r="C4250" s="42" t="s">
        <v>558</v>
      </c>
      <c r="D4250" s="71" t="s">
        <v>6002</v>
      </c>
      <c r="E4250" s="72" t="s">
        <v>4940</v>
      </c>
      <c r="F4250" s="72">
        <v>891.99</v>
      </c>
      <c r="G4250" s="73" t="s">
        <v>64</v>
      </c>
      <c r="H4250" s="89" t="s">
        <v>847</v>
      </c>
      <c r="I4250" s="72">
        <v>0</v>
      </c>
      <c r="J4250" s="72">
        <v>0</v>
      </c>
      <c r="K4250" s="72">
        <v>136.07</v>
      </c>
      <c r="L4250" s="97">
        <v>0</v>
      </c>
      <c r="M4250" s="73" t="s">
        <v>3925</v>
      </c>
      <c r="N4250" s="99">
        <f t="shared" si="96"/>
        <v>136.07</v>
      </c>
    </row>
    <row r="4251" spans="1:14">
      <c r="A4251" s="12">
        <v>4250</v>
      </c>
      <c r="B4251" s="71" t="s">
        <v>557</v>
      </c>
      <c r="C4251" s="42" t="s">
        <v>558</v>
      </c>
      <c r="D4251" s="71" t="s">
        <v>6003</v>
      </c>
      <c r="E4251" s="72" t="s">
        <v>4917</v>
      </c>
      <c r="F4251" s="72">
        <v>871.98</v>
      </c>
      <c r="G4251" s="73" t="s">
        <v>64</v>
      </c>
      <c r="H4251" s="89" t="s">
        <v>847</v>
      </c>
      <c r="I4251" s="72">
        <v>0</v>
      </c>
      <c r="J4251" s="72">
        <v>0</v>
      </c>
      <c r="K4251" s="72">
        <v>133.01</v>
      </c>
      <c r="L4251" s="97">
        <v>0</v>
      </c>
      <c r="M4251" s="73" t="s">
        <v>3925</v>
      </c>
      <c r="N4251" s="99">
        <f t="shared" si="96"/>
        <v>133.01</v>
      </c>
    </row>
    <row r="4252" spans="1:14">
      <c r="A4252" s="12">
        <v>4251</v>
      </c>
      <c r="B4252" s="71" t="s">
        <v>557</v>
      </c>
      <c r="C4252" s="42" t="s">
        <v>558</v>
      </c>
      <c r="D4252" s="71" t="s">
        <v>6004</v>
      </c>
      <c r="E4252" s="72" t="s">
        <v>4898</v>
      </c>
      <c r="F4252" s="72">
        <v>899.94</v>
      </c>
      <c r="G4252" s="73" t="s">
        <v>64</v>
      </c>
      <c r="H4252" s="89" t="s">
        <v>847</v>
      </c>
      <c r="I4252" s="72">
        <v>0</v>
      </c>
      <c r="J4252" s="72">
        <v>0</v>
      </c>
      <c r="K4252" s="72">
        <v>137.28</v>
      </c>
      <c r="L4252" s="97">
        <v>0</v>
      </c>
      <c r="M4252" s="73" t="s">
        <v>3925</v>
      </c>
      <c r="N4252" s="99">
        <f t="shared" si="96"/>
        <v>137.28</v>
      </c>
    </row>
    <row r="4253" spans="1:14">
      <c r="A4253" s="12">
        <v>4252</v>
      </c>
      <c r="B4253" s="71" t="s">
        <v>557</v>
      </c>
      <c r="C4253" s="42" t="s">
        <v>558</v>
      </c>
      <c r="D4253" s="71" t="s">
        <v>6005</v>
      </c>
      <c r="E4253" s="72" t="s">
        <v>6006</v>
      </c>
      <c r="F4253" s="72">
        <v>870.4</v>
      </c>
      <c r="G4253" s="73" t="s">
        <v>64</v>
      </c>
      <c r="H4253" s="89" t="s">
        <v>847</v>
      </c>
      <c r="I4253" s="72">
        <v>0</v>
      </c>
      <c r="J4253" s="72">
        <v>0</v>
      </c>
      <c r="K4253" s="72">
        <v>132.77000000000001</v>
      </c>
      <c r="L4253" s="97">
        <v>0</v>
      </c>
      <c r="M4253" s="73" t="s">
        <v>3925</v>
      </c>
      <c r="N4253" s="99">
        <f t="shared" si="96"/>
        <v>132.77000000000001</v>
      </c>
    </row>
    <row r="4254" spans="1:14">
      <c r="A4254" s="12">
        <v>4253</v>
      </c>
      <c r="B4254" s="71" t="s">
        <v>557</v>
      </c>
      <c r="C4254" s="42" t="s">
        <v>558</v>
      </c>
      <c r="D4254" s="71" t="s">
        <v>6007</v>
      </c>
      <c r="E4254" s="72" t="s">
        <v>4920</v>
      </c>
      <c r="F4254" s="72">
        <v>761.6</v>
      </c>
      <c r="G4254" s="73" t="s">
        <v>64</v>
      </c>
      <c r="H4254" s="89" t="s">
        <v>847</v>
      </c>
      <c r="I4254" s="72">
        <v>0</v>
      </c>
      <c r="J4254" s="72">
        <v>0</v>
      </c>
      <c r="K4254" s="72">
        <v>116.18</v>
      </c>
      <c r="L4254" s="97">
        <v>0</v>
      </c>
      <c r="M4254" s="73" t="s">
        <v>3925</v>
      </c>
      <c r="N4254" s="99">
        <f t="shared" si="96"/>
        <v>116.18</v>
      </c>
    </row>
    <row r="4255" spans="1:14">
      <c r="A4255" s="12">
        <v>4254</v>
      </c>
      <c r="B4255" s="71" t="s">
        <v>557</v>
      </c>
      <c r="C4255" s="42" t="s">
        <v>558</v>
      </c>
      <c r="D4255" s="71" t="s">
        <v>6008</v>
      </c>
      <c r="E4255" s="72" t="s">
        <v>4896</v>
      </c>
      <c r="F4255" s="72">
        <v>7.27</v>
      </c>
      <c r="G4255" s="73" t="s">
        <v>64</v>
      </c>
      <c r="H4255" s="89" t="s">
        <v>847</v>
      </c>
      <c r="I4255" s="72">
        <v>0</v>
      </c>
      <c r="J4255" s="72">
        <v>0</v>
      </c>
      <c r="K4255" s="72">
        <v>1.1100000000000001</v>
      </c>
      <c r="L4255" s="97">
        <v>0</v>
      </c>
      <c r="M4255" s="73" t="s">
        <v>3925</v>
      </c>
      <c r="N4255" s="99">
        <f t="shared" si="96"/>
        <v>1.1100000000000001</v>
      </c>
    </row>
    <row r="4256" spans="1:14">
      <c r="A4256" s="12">
        <v>4255</v>
      </c>
      <c r="B4256" s="71" t="s">
        <v>6009</v>
      </c>
      <c r="C4256" s="42" t="s">
        <v>6010</v>
      </c>
      <c r="D4256" s="71" t="s">
        <v>6011</v>
      </c>
      <c r="E4256" s="72" t="s">
        <v>4924</v>
      </c>
      <c r="F4256" s="72">
        <v>14942</v>
      </c>
      <c r="G4256" s="73" t="s">
        <v>632</v>
      </c>
      <c r="H4256" s="74">
        <v>84213920</v>
      </c>
      <c r="I4256" s="72">
        <v>1139.6400000000001</v>
      </c>
      <c r="J4256" s="72">
        <v>1139.6400000000001</v>
      </c>
      <c r="K4256" s="72">
        <v>0</v>
      </c>
      <c r="L4256" s="97">
        <v>0</v>
      </c>
      <c r="M4256" s="73" t="s">
        <v>4847</v>
      </c>
      <c r="N4256" s="99">
        <f t="shared" si="96"/>
        <v>0</v>
      </c>
    </row>
    <row r="4257" spans="1:14">
      <c r="A4257" s="12">
        <v>4256</v>
      </c>
      <c r="B4257" s="71" t="s">
        <v>1759</v>
      </c>
      <c r="C4257" s="42" t="s">
        <v>1760</v>
      </c>
      <c r="D4257" s="71" t="s">
        <v>6012</v>
      </c>
      <c r="E4257" s="72" t="s">
        <v>4964</v>
      </c>
      <c r="F4257" s="72">
        <v>2000.01</v>
      </c>
      <c r="G4257" s="73" t="s">
        <v>64</v>
      </c>
      <c r="H4257" s="89" t="s">
        <v>561</v>
      </c>
      <c r="I4257" s="72">
        <v>0</v>
      </c>
      <c r="J4257" s="72">
        <v>0</v>
      </c>
      <c r="K4257" s="72">
        <v>305.08999999999997</v>
      </c>
      <c r="L4257" s="97">
        <v>0</v>
      </c>
      <c r="M4257" s="73" t="s">
        <v>3925</v>
      </c>
      <c r="N4257" s="99">
        <f t="shared" si="96"/>
        <v>305.08999999999997</v>
      </c>
    </row>
    <row r="4258" spans="1:14">
      <c r="A4258" s="12">
        <v>4257</v>
      </c>
      <c r="B4258" s="71" t="s">
        <v>1759</v>
      </c>
      <c r="C4258" s="42" t="s">
        <v>1760</v>
      </c>
      <c r="D4258" s="71" t="s">
        <v>6013</v>
      </c>
      <c r="E4258" s="72" t="s">
        <v>4891</v>
      </c>
      <c r="F4258" s="72">
        <v>3999.99</v>
      </c>
      <c r="G4258" s="73" t="s">
        <v>64</v>
      </c>
      <c r="H4258" s="89" t="s">
        <v>561</v>
      </c>
      <c r="I4258" s="72">
        <v>0</v>
      </c>
      <c r="J4258" s="72">
        <v>0</v>
      </c>
      <c r="K4258" s="72">
        <v>610.16999999999996</v>
      </c>
      <c r="L4258" s="97">
        <v>0</v>
      </c>
      <c r="M4258" s="73" t="s">
        <v>3925</v>
      </c>
      <c r="N4258" s="99">
        <f t="shared" si="96"/>
        <v>610.16999999999996</v>
      </c>
    </row>
    <row r="4259" spans="1:14">
      <c r="A4259" s="12">
        <v>4258</v>
      </c>
      <c r="B4259" s="71" t="s">
        <v>5094</v>
      </c>
      <c r="C4259" s="42" t="s">
        <v>5095</v>
      </c>
      <c r="D4259" s="71" t="s">
        <v>6014</v>
      </c>
      <c r="E4259" s="72" t="s">
        <v>4911</v>
      </c>
      <c r="F4259" s="72">
        <v>38850</v>
      </c>
      <c r="G4259" s="73" t="s">
        <v>182</v>
      </c>
      <c r="H4259" s="73">
        <v>9403</v>
      </c>
      <c r="I4259" s="72">
        <v>0</v>
      </c>
      <c r="J4259" s="72">
        <v>0</v>
      </c>
      <c r="K4259" s="72">
        <v>1850</v>
      </c>
      <c r="L4259" s="97">
        <v>0</v>
      </c>
      <c r="M4259" s="73" t="s">
        <v>3925</v>
      </c>
      <c r="N4259" s="99">
        <f t="shared" si="96"/>
        <v>1850</v>
      </c>
    </row>
    <row r="4260" spans="1:14">
      <c r="A4260" s="12">
        <v>4259</v>
      </c>
      <c r="B4260" s="71" t="s">
        <v>5094</v>
      </c>
      <c r="C4260" s="42" t="s">
        <v>5095</v>
      </c>
      <c r="D4260" s="71" t="s">
        <v>6015</v>
      </c>
      <c r="E4260" s="72" t="s">
        <v>4894</v>
      </c>
      <c r="F4260" s="72">
        <v>45150</v>
      </c>
      <c r="G4260" s="73" t="s">
        <v>182</v>
      </c>
      <c r="H4260" s="73">
        <v>9403</v>
      </c>
      <c r="I4260" s="72">
        <v>0</v>
      </c>
      <c r="J4260" s="72">
        <v>0</v>
      </c>
      <c r="K4260" s="72">
        <v>2150</v>
      </c>
      <c r="L4260" s="97">
        <v>0</v>
      </c>
      <c r="M4260" s="73" t="s">
        <v>3925</v>
      </c>
      <c r="N4260" s="99">
        <f t="shared" si="96"/>
        <v>2150</v>
      </c>
    </row>
    <row r="4261" spans="1:14">
      <c r="A4261" s="12">
        <v>4260</v>
      </c>
      <c r="B4261" s="71" t="s">
        <v>3936</v>
      </c>
      <c r="C4261" s="42" t="s">
        <v>3937</v>
      </c>
      <c r="D4261" s="71" t="s">
        <v>6016</v>
      </c>
      <c r="E4261" s="72" t="s">
        <v>6006</v>
      </c>
      <c r="F4261" s="72">
        <v>188.36</v>
      </c>
      <c r="G4261" s="73" t="s">
        <v>64</v>
      </c>
      <c r="H4261" s="73">
        <v>9971</v>
      </c>
      <c r="I4261" s="72">
        <v>14.37</v>
      </c>
      <c r="J4261" s="72">
        <v>14.37</v>
      </c>
      <c r="K4261" s="72">
        <v>0</v>
      </c>
      <c r="L4261" s="97">
        <v>0</v>
      </c>
      <c r="M4261" s="73" t="s">
        <v>3925</v>
      </c>
      <c r="N4261" s="99">
        <f t="shared" si="96"/>
        <v>28.74</v>
      </c>
    </row>
    <row r="4262" spans="1:14">
      <c r="A4262" s="12">
        <v>4261</v>
      </c>
      <c r="B4262" s="71" t="s">
        <v>3936</v>
      </c>
      <c r="C4262" s="42" t="s">
        <v>3937</v>
      </c>
      <c r="D4262" s="71" t="s">
        <v>6017</v>
      </c>
      <c r="E4262" s="72" t="s">
        <v>6006</v>
      </c>
      <c r="F4262" s="72">
        <v>1475</v>
      </c>
      <c r="G4262" s="73" t="s">
        <v>64</v>
      </c>
      <c r="H4262" s="73">
        <v>9971</v>
      </c>
      <c r="I4262" s="72">
        <v>112.5</v>
      </c>
      <c r="J4262" s="72">
        <v>112.5</v>
      </c>
      <c r="K4262" s="72">
        <v>0</v>
      </c>
      <c r="L4262" s="97">
        <v>0</v>
      </c>
      <c r="M4262" s="73" t="s">
        <v>3925</v>
      </c>
      <c r="N4262" s="99">
        <f t="shared" si="96"/>
        <v>225</v>
      </c>
    </row>
    <row r="4263" spans="1:14">
      <c r="A4263" s="12">
        <v>4262</v>
      </c>
      <c r="B4263" s="71" t="s">
        <v>3936</v>
      </c>
      <c r="C4263" s="42" t="s">
        <v>3937</v>
      </c>
      <c r="D4263" s="71" t="s">
        <v>6018</v>
      </c>
      <c r="E4263" s="72" t="s">
        <v>5983</v>
      </c>
      <c r="F4263" s="72">
        <v>5.9</v>
      </c>
      <c r="G4263" s="73" t="s">
        <v>64</v>
      </c>
      <c r="H4263" s="73">
        <v>9971</v>
      </c>
      <c r="I4263" s="72">
        <v>0.45</v>
      </c>
      <c r="J4263" s="72">
        <v>0.45</v>
      </c>
      <c r="K4263" s="72">
        <v>0</v>
      </c>
      <c r="L4263" s="97">
        <v>0</v>
      </c>
      <c r="M4263" s="73" t="s">
        <v>3925</v>
      </c>
      <c r="N4263" s="99">
        <f t="shared" si="96"/>
        <v>0.9</v>
      </c>
    </row>
    <row r="4264" spans="1:14">
      <c r="A4264" s="12">
        <v>4263</v>
      </c>
      <c r="B4264" s="71" t="s">
        <v>3936</v>
      </c>
      <c r="C4264" s="42" t="s">
        <v>3937</v>
      </c>
      <c r="D4264" s="71" t="s">
        <v>6019</v>
      </c>
      <c r="E4264" s="72" t="s">
        <v>4903</v>
      </c>
      <c r="F4264" s="72">
        <v>5.9</v>
      </c>
      <c r="G4264" s="73" t="s">
        <v>64</v>
      </c>
      <c r="H4264" s="73">
        <v>9971</v>
      </c>
      <c r="I4264" s="72">
        <v>0.45</v>
      </c>
      <c r="J4264" s="72">
        <v>0.45</v>
      </c>
      <c r="K4264" s="72">
        <v>0</v>
      </c>
      <c r="L4264" s="97">
        <v>0</v>
      </c>
      <c r="M4264" s="73" t="s">
        <v>3925</v>
      </c>
      <c r="N4264" s="99">
        <f t="shared" si="96"/>
        <v>0.9</v>
      </c>
    </row>
    <row r="4265" spans="1:14">
      <c r="A4265" s="12">
        <v>4264</v>
      </c>
      <c r="B4265" s="71" t="s">
        <v>3936</v>
      </c>
      <c r="C4265" s="42" t="s">
        <v>3937</v>
      </c>
      <c r="D4265" s="71" t="s">
        <v>6020</v>
      </c>
      <c r="E4265" s="72" t="s">
        <v>4894</v>
      </c>
      <c r="F4265" s="72">
        <v>1475</v>
      </c>
      <c r="G4265" s="73" t="s">
        <v>64</v>
      </c>
      <c r="H4265" s="73">
        <v>9971</v>
      </c>
      <c r="I4265" s="72">
        <v>112.5</v>
      </c>
      <c r="J4265" s="72">
        <v>112.5</v>
      </c>
      <c r="K4265" s="72">
        <v>0</v>
      </c>
      <c r="L4265" s="97">
        <v>0</v>
      </c>
      <c r="M4265" s="73" t="s">
        <v>3925</v>
      </c>
      <c r="N4265" s="99">
        <f t="shared" si="96"/>
        <v>225</v>
      </c>
    </row>
    <row r="4266" spans="1:14">
      <c r="A4266" s="12">
        <v>4265</v>
      </c>
      <c r="B4266" s="71" t="s">
        <v>3936</v>
      </c>
      <c r="C4266" s="42" t="s">
        <v>3937</v>
      </c>
      <c r="D4266" s="71" t="s">
        <v>6021</v>
      </c>
      <c r="E4266" s="72" t="s">
        <v>4915</v>
      </c>
      <c r="F4266" s="72">
        <v>1123.53</v>
      </c>
      <c r="G4266" s="73" t="s">
        <v>64</v>
      </c>
      <c r="H4266" s="73">
        <v>9971</v>
      </c>
      <c r="I4266" s="72">
        <v>85.69</v>
      </c>
      <c r="J4266" s="72">
        <v>85.69</v>
      </c>
      <c r="K4266" s="72">
        <v>0</v>
      </c>
      <c r="L4266" s="97">
        <v>0</v>
      </c>
      <c r="M4266" s="73" t="s">
        <v>3925</v>
      </c>
      <c r="N4266" s="99">
        <f t="shared" si="96"/>
        <v>171.38</v>
      </c>
    </row>
    <row r="4267" spans="1:14">
      <c r="A4267" s="12">
        <v>4266</v>
      </c>
      <c r="B4267" s="71" t="s">
        <v>3936</v>
      </c>
      <c r="C4267" s="42" t="s">
        <v>3937</v>
      </c>
      <c r="D4267" s="71" t="s">
        <v>6022</v>
      </c>
      <c r="E4267" s="72" t="s">
        <v>4915</v>
      </c>
      <c r="F4267" s="72">
        <v>1475</v>
      </c>
      <c r="G4267" s="73" t="s">
        <v>64</v>
      </c>
      <c r="H4267" s="73">
        <v>9971</v>
      </c>
      <c r="I4267" s="72">
        <v>112.5</v>
      </c>
      <c r="J4267" s="72">
        <v>112.5</v>
      </c>
      <c r="K4267" s="72">
        <v>0</v>
      </c>
      <c r="L4267" s="97">
        <v>0</v>
      </c>
      <c r="M4267" s="73" t="s">
        <v>3925</v>
      </c>
      <c r="N4267" s="99">
        <f t="shared" si="96"/>
        <v>225</v>
      </c>
    </row>
    <row r="4268" spans="1:14">
      <c r="A4268" s="12">
        <v>4267</v>
      </c>
      <c r="B4268" s="71" t="s">
        <v>3936</v>
      </c>
      <c r="C4268" s="42" t="s">
        <v>3937</v>
      </c>
      <c r="D4268" s="71" t="s">
        <v>6023</v>
      </c>
      <c r="E4268" s="72" t="s">
        <v>4915</v>
      </c>
      <c r="F4268" s="72">
        <v>1475</v>
      </c>
      <c r="G4268" s="73" t="s">
        <v>64</v>
      </c>
      <c r="H4268" s="73">
        <v>9971</v>
      </c>
      <c r="I4268" s="72">
        <v>112.5</v>
      </c>
      <c r="J4268" s="72">
        <v>112.5</v>
      </c>
      <c r="K4268" s="72">
        <v>0</v>
      </c>
      <c r="L4268" s="97">
        <v>0</v>
      </c>
      <c r="M4268" s="73" t="s">
        <v>3925</v>
      </c>
      <c r="N4268" s="99">
        <f t="shared" ref="N4268:N4289" si="97">IF(M4268="YES", I4268+J4268+K4268, 0)</f>
        <v>225</v>
      </c>
    </row>
    <row r="4269" spans="1:14">
      <c r="A4269" s="12">
        <v>4268</v>
      </c>
      <c r="B4269" s="71" t="s">
        <v>3936</v>
      </c>
      <c r="C4269" s="42" t="s">
        <v>3937</v>
      </c>
      <c r="D4269" s="71" t="s">
        <v>6024</v>
      </c>
      <c r="E4269" s="72" t="s">
        <v>4915</v>
      </c>
      <c r="F4269" s="72">
        <v>150.19</v>
      </c>
      <c r="G4269" s="73" t="s">
        <v>64</v>
      </c>
      <c r="H4269" s="73">
        <v>9971</v>
      </c>
      <c r="I4269" s="72">
        <v>11.46</v>
      </c>
      <c r="J4269" s="72">
        <v>11.46</v>
      </c>
      <c r="K4269" s="72">
        <v>0</v>
      </c>
      <c r="L4269" s="97">
        <v>0</v>
      </c>
      <c r="M4269" s="73" t="s">
        <v>3925</v>
      </c>
      <c r="N4269" s="99">
        <f t="shared" si="97"/>
        <v>22.92</v>
      </c>
    </row>
    <row r="4270" spans="1:14">
      <c r="A4270" s="12">
        <v>4269</v>
      </c>
      <c r="B4270" s="71" t="s">
        <v>3936</v>
      </c>
      <c r="C4270" s="42" t="s">
        <v>3937</v>
      </c>
      <c r="D4270" s="71" t="s">
        <v>6025</v>
      </c>
      <c r="E4270" s="72" t="s">
        <v>4909</v>
      </c>
      <c r="F4270" s="72">
        <v>529.16</v>
      </c>
      <c r="G4270" s="73" t="s">
        <v>64</v>
      </c>
      <c r="H4270" s="73">
        <v>9971</v>
      </c>
      <c r="I4270" s="72">
        <v>40.36</v>
      </c>
      <c r="J4270" s="72">
        <v>40.36</v>
      </c>
      <c r="K4270" s="72">
        <v>0</v>
      </c>
      <c r="L4270" s="97">
        <v>0</v>
      </c>
      <c r="M4270" s="73" t="s">
        <v>3925</v>
      </c>
      <c r="N4270" s="99">
        <f t="shared" si="97"/>
        <v>80.72</v>
      </c>
    </row>
    <row r="4271" spans="1:14">
      <c r="A4271" s="12">
        <v>4270</v>
      </c>
      <c r="B4271" s="71" t="s">
        <v>3936</v>
      </c>
      <c r="C4271" s="42" t="s">
        <v>3937</v>
      </c>
      <c r="D4271" s="71" t="s">
        <v>6026</v>
      </c>
      <c r="E4271" s="72" t="s">
        <v>4909</v>
      </c>
      <c r="F4271" s="72">
        <v>1475</v>
      </c>
      <c r="G4271" s="73" t="s">
        <v>64</v>
      </c>
      <c r="H4271" s="73">
        <v>9971</v>
      </c>
      <c r="I4271" s="72">
        <v>112.5</v>
      </c>
      <c r="J4271" s="72">
        <v>112.5</v>
      </c>
      <c r="K4271" s="72">
        <v>0</v>
      </c>
      <c r="L4271" s="97">
        <v>0</v>
      </c>
      <c r="M4271" s="73" t="s">
        <v>3925</v>
      </c>
      <c r="N4271" s="99">
        <f t="shared" si="97"/>
        <v>225</v>
      </c>
    </row>
    <row r="4272" spans="1:14">
      <c r="A4272" s="12">
        <v>4271</v>
      </c>
      <c r="B4272" s="71" t="s">
        <v>3936</v>
      </c>
      <c r="C4272" s="42" t="s">
        <v>3937</v>
      </c>
      <c r="D4272" s="71" t="s">
        <v>6027</v>
      </c>
      <c r="E4272" s="72" t="s">
        <v>4909</v>
      </c>
      <c r="F4272" s="72">
        <v>430.48</v>
      </c>
      <c r="G4272" s="73" t="s">
        <v>64</v>
      </c>
      <c r="H4272" s="73">
        <v>9971</v>
      </c>
      <c r="I4272" s="72">
        <v>32.83</v>
      </c>
      <c r="J4272" s="72">
        <v>32.83</v>
      </c>
      <c r="K4272" s="72">
        <v>0</v>
      </c>
      <c r="L4272" s="97">
        <v>0</v>
      </c>
      <c r="M4272" s="73" t="s">
        <v>3925</v>
      </c>
      <c r="N4272" s="99">
        <f t="shared" si="97"/>
        <v>65.66</v>
      </c>
    </row>
    <row r="4273" spans="1:14">
      <c r="A4273" s="12">
        <v>4272</v>
      </c>
      <c r="B4273" s="71" t="s">
        <v>3936</v>
      </c>
      <c r="C4273" s="42" t="s">
        <v>3937</v>
      </c>
      <c r="D4273" s="71" t="s">
        <v>6028</v>
      </c>
      <c r="E4273" s="72" t="s">
        <v>4909</v>
      </c>
      <c r="F4273" s="72">
        <v>315.2</v>
      </c>
      <c r="G4273" s="73" t="s">
        <v>64</v>
      </c>
      <c r="H4273" s="73">
        <v>9971</v>
      </c>
      <c r="I4273" s="72">
        <v>24.04</v>
      </c>
      <c r="J4273" s="72">
        <v>24.04</v>
      </c>
      <c r="K4273" s="72">
        <v>0</v>
      </c>
      <c r="L4273" s="97">
        <v>0</v>
      </c>
      <c r="M4273" s="73" t="s">
        <v>3925</v>
      </c>
      <c r="N4273" s="99">
        <f t="shared" si="97"/>
        <v>48.08</v>
      </c>
    </row>
    <row r="4274" spans="1:14">
      <c r="A4274" s="12">
        <v>4273</v>
      </c>
      <c r="B4274" s="71" t="s">
        <v>3936</v>
      </c>
      <c r="C4274" s="42" t="s">
        <v>3937</v>
      </c>
      <c r="D4274" s="71" t="s">
        <v>6029</v>
      </c>
      <c r="E4274" s="72" t="s">
        <v>4909</v>
      </c>
      <c r="F4274" s="72">
        <v>210.81</v>
      </c>
      <c r="G4274" s="73" t="s">
        <v>64</v>
      </c>
      <c r="H4274" s="73">
        <v>9971</v>
      </c>
      <c r="I4274" s="72">
        <v>16.079999999999998</v>
      </c>
      <c r="J4274" s="72">
        <v>16.079999999999998</v>
      </c>
      <c r="K4274" s="72">
        <v>0</v>
      </c>
      <c r="L4274" s="97">
        <v>0</v>
      </c>
      <c r="M4274" s="73" t="s">
        <v>3925</v>
      </c>
      <c r="N4274" s="99">
        <f t="shared" si="97"/>
        <v>32.159999999999997</v>
      </c>
    </row>
    <row r="4275" spans="1:14">
      <c r="A4275" s="12">
        <v>4274</v>
      </c>
      <c r="B4275" s="71" t="s">
        <v>3936</v>
      </c>
      <c r="C4275" s="42" t="s">
        <v>3937</v>
      </c>
      <c r="D4275" s="71" t="s">
        <v>6030</v>
      </c>
      <c r="E4275" s="72" t="s">
        <v>4909</v>
      </c>
      <c r="F4275" s="72">
        <v>1475</v>
      </c>
      <c r="G4275" s="73" t="s">
        <v>64</v>
      </c>
      <c r="H4275" s="73">
        <v>9971</v>
      </c>
      <c r="I4275" s="72">
        <v>112.5</v>
      </c>
      <c r="J4275" s="72">
        <v>112.5</v>
      </c>
      <c r="K4275" s="72">
        <v>0</v>
      </c>
      <c r="L4275" s="97">
        <v>0</v>
      </c>
      <c r="M4275" s="73" t="s">
        <v>3925</v>
      </c>
      <c r="N4275" s="99">
        <f t="shared" si="97"/>
        <v>225</v>
      </c>
    </row>
    <row r="4276" spans="1:14">
      <c r="A4276" s="12">
        <v>4275</v>
      </c>
      <c r="B4276" s="71" t="s">
        <v>3936</v>
      </c>
      <c r="C4276" s="42" t="s">
        <v>3937</v>
      </c>
      <c r="D4276" s="71" t="s">
        <v>6031</v>
      </c>
      <c r="E4276" s="72" t="s">
        <v>4909</v>
      </c>
      <c r="F4276" s="72">
        <v>1475</v>
      </c>
      <c r="G4276" s="73" t="s">
        <v>64</v>
      </c>
      <c r="H4276" s="73">
        <v>9971</v>
      </c>
      <c r="I4276" s="72">
        <v>112.5</v>
      </c>
      <c r="J4276" s="72">
        <v>112.5</v>
      </c>
      <c r="K4276" s="72">
        <v>0</v>
      </c>
      <c r="L4276" s="97">
        <v>0</v>
      </c>
      <c r="M4276" s="73" t="s">
        <v>3925</v>
      </c>
      <c r="N4276" s="99">
        <f t="shared" si="97"/>
        <v>225</v>
      </c>
    </row>
    <row r="4277" spans="1:14">
      <c r="A4277" s="12">
        <v>4276</v>
      </c>
      <c r="B4277" s="71" t="s">
        <v>3936</v>
      </c>
      <c r="C4277" s="42" t="s">
        <v>3937</v>
      </c>
      <c r="D4277" s="71" t="s">
        <v>6032</v>
      </c>
      <c r="E4277" s="72" t="s">
        <v>4909</v>
      </c>
      <c r="F4277" s="72">
        <v>1475</v>
      </c>
      <c r="G4277" s="73" t="s">
        <v>64</v>
      </c>
      <c r="H4277" s="73">
        <v>9971</v>
      </c>
      <c r="I4277" s="72">
        <v>112.5</v>
      </c>
      <c r="J4277" s="72">
        <v>112.5</v>
      </c>
      <c r="K4277" s="72">
        <v>0</v>
      </c>
      <c r="L4277" s="97">
        <v>0</v>
      </c>
      <c r="M4277" s="73" t="s">
        <v>3925</v>
      </c>
      <c r="N4277" s="99">
        <f t="shared" si="97"/>
        <v>225</v>
      </c>
    </row>
    <row r="4278" spans="1:14">
      <c r="A4278" s="12">
        <v>4277</v>
      </c>
      <c r="B4278" s="71" t="s">
        <v>3936</v>
      </c>
      <c r="C4278" s="42" t="s">
        <v>3937</v>
      </c>
      <c r="D4278" s="71" t="s">
        <v>6033</v>
      </c>
      <c r="E4278" s="72" t="s">
        <v>4909</v>
      </c>
      <c r="F4278" s="72">
        <v>1332.93</v>
      </c>
      <c r="G4278" s="73" t="s">
        <v>64</v>
      </c>
      <c r="H4278" s="73">
        <v>9971</v>
      </c>
      <c r="I4278" s="72">
        <v>101.66</v>
      </c>
      <c r="J4278" s="72">
        <v>101.66</v>
      </c>
      <c r="K4278" s="72">
        <v>0</v>
      </c>
      <c r="L4278" s="97">
        <v>0</v>
      </c>
      <c r="M4278" s="73" t="s">
        <v>3925</v>
      </c>
      <c r="N4278" s="99">
        <f t="shared" si="97"/>
        <v>203.32</v>
      </c>
    </row>
    <row r="4279" spans="1:14">
      <c r="A4279" s="12">
        <v>4278</v>
      </c>
      <c r="B4279" s="71" t="s">
        <v>3936</v>
      </c>
      <c r="C4279" s="42" t="s">
        <v>3937</v>
      </c>
      <c r="D4279" s="71" t="s">
        <v>6034</v>
      </c>
      <c r="E4279" s="72" t="s">
        <v>4909</v>
      </c>
      <c r="F4279" s="72">
        <v>1475</v>
      </c>
      <c r="G4279" s="73" t="s">
        <v>64</v>
      </c>
      <c r="H4279" s="73">
        <v>9971</v>
      </c>
      <c r="I4279" s="72">
        <v>112.5</v>
      </c>
      <c r="J4279" s="72">
        <v>112.5</v>
      </c>
      <c r="K4279" s="72">
        <v>0</v>
      </c>
      <c r="L4279" s="97">
        <v>0</v>
      </c>
      <c r="M4279" s="73" t="s">
        <v>3925</v>
      </c>
      <c r="N4279" s="99">
        <f t="shared" si="97"/>
        <v>225</v>
      </c>
    </row>
    <row r="4280" spans="1:14">
      <c r="A4280" s="12">
        <v>4279</v>
      </c>
      <c r="B4280" s="71" t="s">
        <v>3936</v>
      </c>
      <c r="C4280" s="42" t="s">
        <v>3937</v>
      </c>
      <c r="D4280" s="71" t="s">
        <v>6035</v>
      </c>
      <c r="E4280" s="72" t="s">
        <v>4909</v>
      </c>
      <c r="F4280" s="72">
        <v>187.24</v>
      </c>
      <c r="G4280" s="73" t="s">
        <v>64</v>
      </c>
      <c r="H4280" s="73">
        <v>9971</v>
      </c>
      <c r="I4280" s="72">
        <v>14.28</v>
      </c>
      <c r="J4280" s="72">
        <v>14.28</v>
      </c>
      <c r="K4280" s="72">
        <v>0</v>
      </c>
      <c r="L4280" s="97">
        <v>0</v>
      </c>
      <c r="M4280" s="73" t="s">
        <v>3925</v>
      </c>
      <c r="N4280" s="99">
        <f t="shared" si="97"/>
        <v>28.56</v>
      </c>
    </row>
    <row r="4281" spans="1:14">
      <c r="A4281" s="12">
        <v>4280</v>
      </c>
      <c r="B4281" s="71" t="s">
        <v>3936</v>
      </c>
      <c r="C4281" s="42" t="s">
        <v>3937</v>
      </c>
      <c r="D4281" s="71" t="s">
        <v>6036</v>
      </c>
      <c r="E4281" s="72" t="s">
        <v>4909</v>
      </c>
      <c r="F4281" s="72">
        <v>1475</v>
      </c>
      <c r="G4281" s="73" t="s">
        <v>64</v>
      </c>
      <c r="H4281" s="73">
        <v>9971</v>
      </c>
      <c r="I4281" s="72">
        <v>112.5</v>
      </c>
      <c r="J4281" s="72">
        <v>112.5</v>
      </c>
      <c r="K4281" s="72">
        <v>0</v>
      </c>
      <c r="L4281" s="97">
        <v>0</v>
      </c>
      <c r="M4281" s="73" t="s">
        <v>3925</v>
      </c>
      <c r="N4281" s="99">
        <f t="shared" si="97"/>
        <v>225</v>
      </c>
    </row>
    <row r="4282" spans="1:14">
      <c r="A4282" s="12">
        <v>4281</v>
      </c>
      <c r="B4282" s="71" t="s">
        <v>3936</v>
      </c>
      <c r="C4282" s="42" t="s">
        <v>3937</v>
      </c>
      <c r="D4282" s="71" t="s">
        <v>6037</v>
      </c>
      <c r="E4282" s="72" t="s">
        <v>4909</v>
      </c>
      <c r="F4282" s="72">
        <v>500.39</v>
      </c>
      <c r="G4282" s="73" t="s">
        <v>64</v>
      </c>
      <c r="H4282" s="73">
        <v>9971</v>
      </c>
      <c r="I4282" s="72">
        <v>38.17</v>
      </c>
      <c r="J4282" s="72">
        <v>38.17</v>
      </c>
      <c r="K4282" s="72">
        <v>0</v>
      </c>
      <c r="L4282" s="97">
        <v>0</v>
      </c>
      <c r="M4282" s="73" t="s">
        <v>3925</v>
      </c>
      <c r="N4282" s="99">
        <f t="shared" si="97"/>
        <v>76.34</v>
      </c>
    </row>
    <row r="4283" spans="1:14">
      <c r="A4283" s="12">
        <v>4282</v>
      </c>
      <c r="B4283" s="71" t="s">
        <v>3936</v>
      </c>
      <c r="C4283" s="42" t="s">
        <v>3937</v>
      </c>
      <c r="D4283" s="71" t="s">
        <v>6038</v>
      </c>
      <c r="E4283" s="72" t="s">
        <v>4909</v>
      </c>
      <c r="F4283" s="72">
        <v>1475</v>
      </c>
      <c r="G4283" s="73" t="s">
        <v>64</v>
      </c>
      <c r="H4283" s="73">
        <v>9971</v>
      </c>
      <c r="I4283" s="72">
        <v>112.5</v>
      </c>
      <c r="J4283" s="72">
        <v>112.5</v>
      </c>
      <c r="K4283" s="72">
        <v>0</v>
      </c>
      <c r="L4283" s="97">
        <v>0</v>
      </c>
      <c r="M4283" s="73" t="s">
        <v>3925</v>
      </c>
      <c r="N4283" s="99">
        <f t="shared" si="97"/>
        <v>225</v>
      </c>
    </row>
    <row r="4284" spans="1:14">
      <c r="A4284" s="12">
        <v>4283</v>
      </c>
      <c r="B4284" s="71" t="s">
        <v>3936</v>
      </c>
      <c r="C4284" s="42" t="s">
        <v>3937</v>
      </c>
      <c r="D4284" s="71" t="s">
        <v>6039</v>
      </c>
      <c r="E4284" s="72" t="s">
        <v>6001</v>
      </c>
      <c r="F4284" s="72">
        <v>177</v>
      </c>
      <c r="G4284" s="73" t="s">
        <v>64</v>
      </c>
      <c r="H4284" s="73">
        <v>9971</v>
      </c>
      <c r="I4284" s="72">
        <v>13.5</v>
      </c>
      <c r="J4284" s="72">
        <v>13.5</v>
      </c>
      <c r="K4284" s="72">
        <v>0</v>
      </c>
      <c r="L4284" s="97">
        <v>0</v>
      </c>
      <c r="M4284" s="73" t="s">
        <v>3925</v>
      </c>
      <c r="N4284" s="99">
        <f t="shared" si="97"/>
        <v>27</v>
      </c>
    </row>
    <row r="4285" spans="1:14">
      <c r="A4285" s="12">
        <v>4284</v>
      </c>
      <c r="B4285" s="71" t="s">
        <v>5263</v>
      </c>
      <c r="C4285" s="42" t="s">
        <v>5264</v>
      </c>
      <c r="D4285" s="71" t="s">
        <v>6040</v>
      </c>
      <c r="E4285" s="72" t="s">
        <v>5931</v>
      </c>
      <c r="F4285" s="72">
        <v>1616.6</v>
      </c>
      <c r="G4285" s="74" t="s">
        <v>5266</v>
      </c>
      <c r="H4285" s="74">
        <v>6103</v>
      </c>
      <c r="I4285" s="72">
        <v>0</v>
      </c>
      <c r="J4285" s="72">
        <v>0</v>
      </c>
      <c r="K4285" s="72">
        <v>246.6</v>
      </c>
      <c r="L4285" s="97">
        <v>0</v>
      </c>
      <c r="M4285" s="74" t="s">
        <v>4847</v>
      </c>
      <c r="N4285" s="99">
        <f t="shared" si="97"/>
        <v>0</v>
      </c>
    </row>
    <row r="4286" spans="1:14">
      <c r="A4286" s="12">
        <v>4285</v>
      </c>
      <c r="B4286" s="71" t="s">
        <v>557</v>
      </c>
      <c r="C4286" s="42" t="s">
        <v>558</v>
      </c>
      <c r="D4286" s="71" t="s">
        <v>6041</v>
      </c>
      <c r="E4286" s="72" t="s">
        <v>4887</v>
      </c>
      <c r="F4286" s="100">
        <v>-336.68</v>
      </c>
      <c r="G4286" s="73" t="s">
        <v>64</v>
      </c>
      <c r="H4286" s="89" t="s">
        <v>847</v>
      </c>
      <c r="I4286" s="100">
        <v>0</v>
      </c>
      <c r="J4286" s="100">
        <v>0</v>
      </c>
      <c r="K4286" s="100">
        <v>-51.36</v>
      </c>
      <c r="L4286" s="97">
        <v>0</v>
      </c>
      <c r="M4286" s="73" t="s">
        <v>3925</v>
      </c>
      <c r="N4286" s="99">
        <f t="shared" si="97"/>
        <v>-51.36</v>
      </c>
    </row>
    <row r="4287" spans="1:14">
      <c r="A4287" s="12">
        <v>4286</v>
      </c>
      <c r="B4287" s="71" t="s">
        <v>557</v>
      </c>
      <c r="C4287" s="42" t="s">
        <v>558</v>
      </c>
      <c r="D4287" s="71" t="s">
        <v>6042</v>
      </c>
      <c r="E4287" s="72" t="s">
        <v>4887</v>
      </c>
      <c r="F4287" s="100">
        <v>-81.2</v>
      </c>
      <c r="G4287" s="73" t="s">
        <v>64</v>
      </c>
      <c r="H4287" s="89" t="s">
        <v>847</v>
      </c>
      <c r="I4287" s="100">
        <v>0</v>
      </c>
      <c r="J4287" s="100">
        <v>0</v>
      </c>
      <c r="K4287" s="100">
        <v>-12.39</v>
      </c>
      <c r="L4287" s="97">
        <v>0</v>
      </c>
      <c r="M4287" s="73" t="s">
        <v>3925</v>
      </c>
      <c r="N4287" s="99">
        <f t="shared" si="97"/>
        <v>-12.39</v>
      </c>
    </row>
    <row r="4288" spans="1:14">
      <c r="A4288" s="12">
        <v>4287</v>
      </c>
      <c r="B4288" s="71" t="s">
        <v>557</v>
      </c>
      <c r="C4288" s="42" t="s">
        <v>558</v>
      </c>
      <c r="D4288" s="71" t="s">
        <v>6043</v>
      </c>
      <c r="E4288" s="72" t="s">
        <v>6044</v>
      </c>
      <c r="F4288" s="100">
        <v>-0.18</v>
      </c>
      <c r="G4288" s="73" t="s">
        <v>64</v>
      </c>
      <c r="H4288" s="89" t="s">
        <v>847</v>
      </c>
      <c r="I4288" s="100">
        <v>0</v>
      </c>
      <c r="J4288" s="100">
        <v>0</v>
      </c>
      <c r="K4288" s="100">
        <v>-0.03</v>
      </c>
      <c r="L4288" s="97">
        <v>0</v>
      </c>
      <c r="M4288" s="73" t="s">
        <v>3925</v>
      </c>
      <c r="N4288" s="99">
        <f t="shared" si="97"/>
        <v>-0.03</v>
      </c>
    </row>
    <row r="4289" spans="1:14">
      <c r="A4289" s="12">
        <v>4288</v>
      </c>
      <c r="B4289" s="71" t="s">
        <v>5600</v>
      </c>
      <c r="C4289" s="42" t="s">
        <v>5601</v>
      </c>
      <c r="D4289" s="71" t="s">
        <v>6045</v>
      </c>
      <c r="E4289" s="72" t="s">
        <v>884</v>
      </c>
      <c r="F4289" s="100">
        <v>-8132.55</v>
      </c>
      <c r="G4289" s="73" t="s">
        <v>64</v>
      </c>
      <c r="H4289" s="101" t="s">
        <v>1839</v>
      </c>
      <c r="I4289" s="100">
        <v>0</v>
      </c>
      <c r="J4289" s="100">
        <v>0</v>
      </c>
      <c r="K4289" s="100">
        <v>-1240.56</v>
      </c>
      <c r="L4289" s="97">
        <v>0</v>
      </c>
      <c r="M4289" s="73" t="s">
        <v>3925</v>
      </c>
      <c r="N4289" s="99">
        <f t="shared" si="97"/>
        <v>-1240.56</v>
      </c>
    </row>
  </sheetData>
  <autoFilter ref="A1:XFC4289" xr:uid="{1856084D-54BD-4A7E-BC26-DEFDC9DE4E4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2025-07-21T09:59:32Z</dcterms:created>
  <dcterms:modified xsi:type="dcterms:W3CDTF">2026-04-14T07:11:37Z</dcterms:modified>
</cp:coreProperties>
</file>